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19200" windowHeight="11580" activeTab="1"/>
  </bookViews>
  <sheets>
    <sheet name="BASE_Pot" sheetId="52" r:id="rId1"/>
    <sheet name="Sheet1" sheetId="54" r:id="rId2"/>
    <sheet name="Dados" sheetId="50" r:id="rId3"/>
    <sheet name="MP" sheetId="51" r:id="rId4"/>
    <sheet name="DP" sheetId="53" r:id="rId5"/>
    <sheet name="BASE-CCEE-bakp" sheetId="46" state="hidden" r:id="rId6"/>
  </sheets>
  <functionGroups builtInGroupCount="18"/>
  <definedNames>
    <definedName name="_xlnm._FilterDatabase" localSheetId="2" hidden="1">Dados!$A$1:$I$184</definedName>
    <definedName name="_xlnm._FilterDatabase" localSheetId="4" hidden="1">DP!$G$1:$N$118</definedName>
    <definedName name="_xlnm._FilterDatabase" localSheetId="1" hidden="1">Sheet1!$K$183:$R$183</definedName>
  </definedNames>
  <calcPr calcId="152511" calcMode="manual" calcOnSave="0"/>
</workbook>
</file>

<file path=xl/calcChain.xml><?xml version="1.0" encoding="utf-8"?>
<calcChain xmlns="http://schemas.openxmlformats.org/spreadsheetml/2006/main">
  <c r="S4" i="54" l="1"/>
  <c r="L4" i="54"/>
  <c r="L179" i="54" s="1"/>
  <c r="S3" i="54"/>
  <c r="I181" i="54"/>
  <c r="I180" i="54"/>
  <c r="I179" i="54"/>
  <c r="I178" i="54"/>
  <c r="I177" i="54"/>
  <c r="I176" i="54"/>
  <c r="I175" i="54"/>
  <c r="I174" i="54"/>
  <c r="I173" i="54"/>
  <c r="I172" i="54"/>
  <c r="I171" i="54"/>
  <c r="I170" i="54"/>
  <c r="I169" i="54"/>
  <c r="I168" i="54"/>
  <c r="I167" i="54"/>
  <c r="I166" i="54"/>
  <c r="I165" i="54"/>
  <c r="I164" i="54"/>
  <c r="I163" i="54"/>
  <c r="I162" i="54"/>
  <c r="I161" i="54"/>
  <c r="I160" i="54"/>
  <c r="I159" i="54"/>
  <c r="I158" i="54"/>
  <c r="I157" i="54"/>
  <c r="I156" i="54"/>
  <c r="I155" i="54"/>
  <c r="I154" i="54"/>
  <c r="I153" i="54"/>
  <c r="I152" i="54"/>
  <c r="I151" i="54"/>
  <c r="I150" i="54"/>
  <c r="I149" i="54"/>
  <c r="I148" i="54"/>
  <c r="I147" i="54"/>
  <c r="I146" i="54"/>
  <c r="I145" i="54"/>
  <c r="I144" i="54"/>
  <c r="I143" i="54"/>
  <c r="I142" i="54"/>
  <c r="I141" i="54"/>
  <c r="I140" i="54"/>
  <c r="I139" i="54"/>
  <c r="I138" i="54"/>
  <c r="I137" i="54"/>
  <c r="I136" i="54"/>
  <c r="I135" i="54"/>
  <c r="I134" i="54"/>
  <c r="I133" i="54"/>
  <c r="I132" i="54"/>
  <c r="I131" i="54"/>
  <c r="I130" i="54"/>
  <c r="I129" i="54"/>
  <c r="I128" i="54"/>
  <c r="I127" i="54"/>
  <c r="I126" i="54"/>
  <c r="I125" i="54"/>
  <c r="I124" i="54"/>
  <c r="I123" i="54"/>
  <c r="I122" i="54"/>
  <c r="I121" i="54"/>
  <c r="I120" i="54"/>
  <c r="I119" i="54"/>
  <c r="I118" i="54"/>
  <c r="I117" i="54"/>
  <c r="I116" i="54"/>
  <c r="I115" i="54"/>
  <c r="I114" i="54"/>
  <c r="I113" i="54"/>
  <c r="I112" i="54"/>
  <c r="I111" i="54"/>
  <c r="I110" i="54"/>
  <c r="I109" i="54"/>
  <c r="I108" i="54"/>
  <c r="I107" i="54"/>
  <c r="I106" i="54"/>
  <c r="I105" i="54"/>
  <c r="I104" i="54"/>
  <c r="I103" i="54"/>
  <c r="I102" i="54"/>
  <c r="I101" i="54"/>
  <c r="I100" i="54"/>
  <c r="I99" i="54"/>
  <c r="I98" i="54"/>
  <c r="I97" i="54"/>
  <c r="I96" i="54"/>
  <c r="I95" i="54"/>
  <c r="I94" i="54"/>
  <c r="I93" i="54"/>
  <c r="I92" i="54"/>
  <c r="I91" i="54"/>
  <c r="I90" i="54"/>
  <c r="I89" i="54"/>
  <c r="I88" i="54"/>
  <c r="I87" i="54"/>
  <c r="I86" i="54"/>
  <c r="I85" i="54"/>
  <c r="I84" i="54"/>
  <c r="I83" i="54"/>
  <c r="I82" i="54"/>
  <c r="I81" i="54"/>
  <c r="I80" i="54"/>
  <c r="I79" i="54"/>
  <c r="I78" i="54"/>
  <c r="I77" i="54"/>
  <c r="I76" i="54"/>
  <c r="I75" i="54"/>
  <c r="I74" i="54"/>
  <c r="I73" i="54"/>
  <c r="I72" i="54"/>
  <c r="I71" i="54"/>
  <c r="I70" i="54"/>
  <c r="I69" i="54"/>
  <c r="I68" i="54"/>
  <c r="I67" i="54"/>
  <c r="I66" i="54"/>
  <c r="I65" i="54"/>
  <c r="I64" i="54"/>
  <c r="I63" i="54"/>
  <c r="I62" i="54"/>
  <c r="I61" i="54"/>
  <c r="I60" i="54"/>
  <c r="I59" i="54"/>
  <c r="I58" i="54"/>
  <c r="I57" i="54"/>
  <c r="I56" i="54"/>
  <c r="I55" i="54"/>
  <c r="I54" i="54"/>
  <c r="I53" i="54"/>
  <c r="I52" i="54"/>
  <c r="I51" i="54"/>
  <c r="I50" i="54"/>
  <c r="I49" i="54"/>
  <c r="I48" i="54"/>
  <c r="I47" i="54"/>
  <c r="I46" i="54"/>
  <c r="I45" i="54"/>
  <c r="I44" i="54"/>
  <c r="I43" i="54"/>
  <c r="I42" i="54"/>
  <c r="I41" i="54"/>
  <c r="I40" i="54"/>
  <c r="I39" i="54"/>
  <c r="I38" i="54"/>
  <c r="I37" i="54"/>
  <c r="I36" i="54"/>
  <c r="I35" i="54"/>
  <c r="I34" i="54"/>
  <c r="I33" i="54"/>
  <c r="I32" i="54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11" i="54"/>
  <c r="I10" i="54"/>
  <c r="I9" i="54"/>
  <c r="I8" i="54"/>
  <c r="I7" i="54"/>
  <c r="I6" i="54"/>
  <c r="I5" i="54"/>
  <c r="H181" i="54"/>
  <c r="H180" i="54"/>
  <c r="H179" i="54"/>
  <c r="H178" i="54"/>
  <c r="H177" i="54"/>
  <c r="H176" i="54"/>
  <c r="H175" i="54"/>
  <c r="H174" i="54"/>
  <c r="H173" i="54"/>
  <c r="H172" i="54"/>
  <c r="H171" i="54"/>
  <c r="H170" i="54"/>
  <c r="H169" i="54"/>
  <c r="H168" i="54"/>
  <c r="H167" i="54"/>
  <c r="H166" i="54"/>
  <c r="H165" i="54"/>
  <c r="H164" i="54"/>
  <c r="H163" i="54"/>
  <c r="H162" i="54"/>
  <c r="H161" i="54"/>
  <c r="H160" i="54"/>
  <c r="H159" i="54"/>
  <c r="H158" i="54"/>
  <c r="H157" i="54"/>
  <c r="H156" i="54"/>
  <c r="H155" i="54"/>
  <c r="H154" i="54"/>
  <c r="H153" i="54"/>
  <c r="H152" i="54"/>
  <c r="H151" i="54"/>
  <c r="H150" i="54"/>
  <c r="H149" i="54"/>
  <c r="H148" i="54"/>
  <c r="H147" i="54"/>
  <c r="H146" i="54"/>
  <c r="H145" i="54"/>
  <c r="H144" i="54"/>
  <c r="H143" i="54"/>
  <c r="H142" i="54"/>
  <c r="H141" i="54"/>
  <c r="H140" i="54"/>
  <c r="H139" i="54"/>
  <c r="H138" i="54"/>
  <c r="H137" i="54"/>
  <c r="H136" i="54"/>
  <c r="H135" i="54"/>
  <c r="H134" i="54"/>
  <c r="H133" i="54"/>
  <c r="H132" i="54"/>
  <c r="H131" i="54"/>
  <c r="H130" i="54"/>
  <c r="H129" i="54"/>
  <c r="H128" i="54"/>
  <c r="H127" i="54"/>
  <c r="H126" i="54"/>
  <c r="H125" i="54"/>
  <c r="H124" i="54"/>
  <c r="H123" i="54"/>
  <c r="H122" i="54"/>
  <c r="H121" i="54"/>
  <c r="H120" i="54"/>
  <c r="H119" i="54"/>
  <c r="H118" i="54"/>
  <c r="H117" i="54"/>
  <c r="H116" i="54"/>
  <c r="H115" i="54"/>
  <c r="H114" i="54"/>
  <c r="H113" i="54"/>
  <c r="H112" i="54"/>
  <c r="H111" i="54"/>
  <c r="H110" i="54"/>
  <c r="H109" i="54"/>
  <c r="H108" i="54"/>
  <c r="H107" i="54"/>
  <c r="H106" i="54"/>
  <c r="H105" i="54"/>
  <c r="H104" i="54"/>
  <c r="H103" i="54"/>
  <c r="H102" i="54"/>
  <c r="H101" i="54"/>
  <c r="H100" i="54"/>
  <c r="H99" i="54"/>
  <c r="H98" i="54"/>
  <c r="H97" i="54"/>
  <c r="H96" i="54"/>
  <c r="H95" i="54"/>
  <c r="H94" i="54"/>
  <c r="H93" i="54"/>
  <c r="H92" i="54"/>
  <c r="H91" i="54"/>
  <c r="H90" i="54"/>
  <c r="H89" i="54"/>
  <c r="H88" i="54"/>
  <c r="H87" i="54"/>
  <c r="H86" i="54"/>
  <c r="H85" i="54"/>
  <c r="H84" i="54"/>
  <c r="H83" i="54"/>
  <c r="H82" i="54"/>
  <c r="H81" i="54"/>
  <c r="H80" i="54"/>
  <c r="H79" i="54"/>
  <c r="H78" i="54"/>
  <c r="H77" i="54"/>
  <c r="H76" i="54"/>
  <c r="H75" i="54"/>
  <c r="H74" i="54"/>
  <c r="H73" i="54"/>
  <c r="H72" i="54"/>
  <c r="H71" i="54"/>
  <c r="H70" i="54"/>
  <c r="H69" i="54"/>
  <c r="H68" i="54"/>
  <c r="H67" i="54"/>
  <c r="H66" i="54"/>
  <c r="H65" i="54"/>
  <c r="H64" i="54"/>
  <c r="H63" i="54"/>
  <c r="H62" i="54"/>
  <c r="H61" i="54"/>
  <c r="H60" i="54"/>
  <c r="H59" i="54"/>
  <c r="H58" i="54"/>
  <c r="H57" i="54"/>
  <c r="H56" i="54"/>
  <c r="H55" i="54"/>
  <c r="H54" i="54"/>
  <c r="H53" i="54"/>
  <c r="H52" i="54"/>
  <c r="H51" i="54"/>
  <c r="H50" i="54"/>
  <c r="H49" i="54"/>
  <c r="H48" i="54"/>
  <c r="H47" i="54"/>
  <c r="H46" i="54"/>
  <c r="H45" i="54"/>
  <c r="H44" i="54"/>
  <c r="H43" i="54"/>
  <c r="H42" i="54"/>
  <c r="H41" i="54"/>
  <c r="H40" i="54"/>
  <c r="H39" i="54"/>
  <c r="H38" i="54"/>
  <c r="H37" i="54"/>
  <c r="H36" i="54"/>
  <c r="H35" i="54"/>
  <c r="H34" i="54"/>
  <c r="H33" i="54"/>
  <c r="H32" i="54"/>
  <c r="H31" i="54"/>
  <c r="H30" i="54"/>
  <c r="H29" i="54"/>
  <c r="H28" i="54"/>
  <c r="H27" i="54"/>
  <c r="H26" i="54"/>
  <c r="H25" i="54"/>
  <c r="H24" i="54"/>
  <c r="H23" i="54"/>
  <c r="H22" i="54"/>
  <c r="H21" i="54"/>
  <c r="H20" i="54"/>
  <c r="H19" i="54"/>
  <c r="H18" i="54"/>
  <c r="H17" i="54"/>
  <c r="H16" i="54"/>
  <c r="H15" i="54"/>
  <c r="H14" i="54"/>
  <c r="H13" i="54"/>
  <c r="H12" i="54"/>
  <c r="H11" i="54"/>
  <c r="H10" i="54"/>
  <c r="H9" i="54"/>
  <c r="H8" i="54"/>
  <c r="H7" i="54"/>
  <c r="H6" i="54"/>
  <c r="H5" i="54"/>
  <c r="K158" i="54"/>
  <c r="K118" i="54"/>
  <c r="J181" i="54"/>
  <c r="K181" i="54" s="1"/>
  <c r="J180" i="54"/>
  <c r="K180" i="54" s="1"/>
  <c r="J179" i="54"/>
  <c r="K179" i="54" s="1"/>
  <c r="J178" i="54"/>
  <c r="K178" i="54" s="1"/>
  <c r="J177" i="54"/>
  <c r="K177" i="54" s="1"/>
  <c r="J176" i="54"/>
  <c r="K176" i="54" s="1"/>
  <c r="J175" i="54"/>
  <c r="K175" i="54" s="1"/>
  <c r="J174" i="54"/>
  <c r="K174" i="54" s="1"/>
  <c r="J173" i="54"/>
  <c r="K173" i="54" s="1"/>
  <c r="J172" i="54"/>
  <c r="K172" i="54" s="1"/>
  <c r="J171" i="54"/>
  <c r="K171" i="54" s="1"/>
  <c r="J170" i="54"/>
  <c r="K170" i="54" s="1"/>
  <c r="J169" i="54"/>
  <c r="K169" i="54" s="1"/>
  <c r="J168" i="54"/>
  <c r="K168" i="54" s="1"/>
  <c r="J167" i="54"/>
  <c r="K167" i="54" s="1"/>
  <c r="J166" i="54"/>
  <c r="K166" i="54" s="1"/>
  <c r="J165" i="54"/>
  <c r="K165" i="54" s="1"/>
  <c r="J164" i="54"/>
  <c r="K164" i="54" s="1"/>
  <c r="J163" i="54"/>
  <c r="K163" i="54" s="1"/>
  <c r="J162" i="54"/>
  <c r="K162" i="54" s="1"/>
  <c r="J161" i="54"/>
  <c r="K161" i="54" s="1"/>
  <c r="J160" i="54"/>
  <c r="K160" i="54" s="1"/>
  <c r="J159" i="54"/>
  <c r="K159" i="54" s="1"/>
  <c r="J158" i="54"/>
  <c r="J157" i="54"/>
  <c r="K157" i="54" s="1"/>
  <c r="J156" i="54"/>
  <c r="K156" i="54" s="1"/>
  <c r="J155" i="54"/>
  <c r="K155" i="54" s="1"/>
  <c r="J154" i="54"/>
  <c r="K154" i="54" s="1"/>
  <c r="J153" i="54"/>
  <c r="K153" i="54" s="1"/>
  <c r="J152" i="54"/>
  <c r="K152" i="54" s="1"/>
  <c r="J151" i="54"/>
  <c r="K151" i="54" s="1"/>
  <c r="J150" i="54"/>
  <c r="K150" i="54" s="1"/>
  <c r="J149" i="54"/>
  <c r="K149" i="54" s="1"/>
  <c r="J148" i="54"/>
  <c r="K148" i="54" s="1"/>
  <c r="J147" i="54"/>
  <c r="K147" i="54" s="1"/>
  <c r="J146" i="54"/>
  <c r="K146" i="54" s="1"/>
  <c r="J145" i="54"/>
  <c r="K145" i="54" s="1"/>
  <c r="J144" i="54"/>
  <c r="K144" i="54" s="1"/>
  <c r="J143" i="54"/>
  <c r="K143" i="54" s="1"/>
  <c r="J142" i="54"/>
  <c r="K142" i="54" s="1"/>
  <c r="J141" i="54"/>
  <c r="K141" i="54" s="1"/>
  <c r="J140" i="54"/>
  <c r="K140" i="54" s="1"/>
  <c r="J139" i="54"/>
  <c r="K139" i="54" s="1"/>
  <c r="J138" i="54"/>
  <c r="K138" i="54" s="1"/>
  <c r="J137" i="54"/>
  <c r="K137" i="54" s="1"/>
  <c r="J136" i="54"/>
  <c r="K136" i="54" s="1"/>
  <c r="J135" i="54"/>
  <c r="K135" i="54" s="1"/>
  <c r="J134" i="54"/>
  <c r="K134" i="54" s="1"/>
  <c r="J133" i="54"/>
  <c r="K133" i="54" s="1"/>
  <c r="J132" i="54"/>
  <c r="K132" i="54" s="1"/>
  <c r="J131" i="54"/>
  <c r="K131" i="54" s="1"/>
  <c r="J130" i="54"/>
  <c r="K130" i="54" s="1"/>
  <c r="J129" i="54"/>
  <c r="K129" i="54" s="1"/>
  <c r="J128" i="54"/>
  <c r="K128" i="54" s="1"/>
  <c r="J127" i="54"/>
  <c r="K127" i="54" s="1"/>
  <c r="J126" i="54"/>
  <c r="K126" i="54" s="1"/>
  <c r="J125" i="54"/>
  <c r="K125" i="54" s="1"/>
  <c r="J124" i="54"/>
  <c r="K124" i="54" s="1"/>
  <c r="J123" i="54"/>
  <c r="K123" i="54" s="1"/>
  <c r="J122" i="54"/>
  <c r="K122" i="54" s="1"/>
  <c r="J121" i="54"/>
  <c r="K121" i="54" s="1"/>
  <c r="J120" i="54"/>
  <c r="K120" i="54" s="1"/>
  <c r="J119" i="54"/>
  <c r="K119" i="54" s="1"/>
  <c r="J118" i="54"/>
  <c r="J117" i="54"/>
  <c r="K117" i="54" s="1"/>
  <c r="J116" i="54"/>
  <c r="K116" i="54" s="1"/>
  <c r="J115" i="54"/>
  <c r="K115" i="54" s="1"/>
  <c r="J114" i="54"/>
  <c r="K114" i="54" s="1"/>
  <c r="J113" i="54"/>
  <c r="K113" i="54" s="1"/>
  <c r="J112" i="54"/>
  <c r="K112" i="54" s="1"/>
  <c r="J111" i="54"/>
  <c r="K111" i="54" s="1"/>
  <c r="J110" i="54"/>
  <c r="K110" i="54" s="1"/>
  <c r="J109" i="54"/>
  <c r="K109" i="54" s="1"/>
  <c r="J108" i="54"/>
  <c r="K108" i="54" s="1"/>
  <c r="J107" i="54"/>
  <c r="K107" i="54" s="1"/>
  <c r="J106" i="54"/>
  <c r="K106" i="54" s="1"/>
  <c r="J105" i="54"/>
  <c r="K105" i="54" s="1"/>
  <c r="J104" i="54"/>
  <c r="K104" i="54" s="1"/>
  <c r="J103" i="54"/>
  <c r="K103" i="54" s="1"/>
  <c r="J102" i="54"/>
  <c r="K102" i="54" s="1"/>
  <c r="J101" i="54"/>
  <c r="K101" i="54" s="1"/>
  <c r="J100" i="54"/>
  <c r="K100" i="54" s="1"/>
  <c r="J99" i="54"/>
  <c r="K99" i="54" s="1"/>
  <c r="J98" i="54"/>
  <c r="K98" i="54" s="1"/>
  <c r="J97" i="54"/>
  <c r="K97" i="54" s="1"/>
  <c r="J96" i="54"/>
  <c r="K96" i="54" s="1"/>
  <c r="J95" i="54"/>
  <c r="K95" i="54" s="1"/>
  <c r="J94" i="54"/>
  <c r="K94" i="54" s="1"/>
  <c r="J93" i="54"/>
  <c r="K93" i="54" s="1"/>
  <c r="J92" i="54"/>
  <c r="K92" i="54" s="1"/>
  <c r="J91" i="54"/>
  <c r="K91" i="54" s="1"/>
  <c r="J90" i="54"/>
  <c r="K90" i="54" s="1"/>
  <c r="J89" i="54"/>
  <c r="K89" i="54" s="1"/>
  <c r="J88" i="54"/>
  <c r="K88" i="54" s="1"/>
  <c r="J87" i="54"/>
  <c r="K87" i="54" s="1"/>
  <c r="J86" i="54"/>
  <c r="K86" i="54" s="1"/>
  <c r="J85" i="54"/>
  <c r="K85" i="54" s="1"/>
  <c r="J84" i="54"/>
  <c r="K84" i="54" s="1"/>
  <c r="J83" i="54"/>
  <c r="K83" i="54" s="1"/>
  <c r="J82" i="54"/>
  <c r="K82" i="54" s="1"/>
  <c r="J81" i="54"/>
  <c r="K81" i="54" s="1"/>
  <c r="J80" i="54"/>
  <c r="K80" i="54" s="1"/>
  <c r="J79" i="54"/>
  <c r="K79" i="54" s="1"/>
  <c r="J78" i="54"/>
  <c r="K78" i="54" s="1"/>
  <c r="J77" i="54"/>
  <c r="K77" i="54" s="1"/>
  <c r="J76" i="54"/>
  <c r="K76" i="54" s="1"/>
  <c r="J75" i="54"/>
  <c r="K75" i="54" s="1"/>
  <c r="J74" i="54"/>
  <c r="K74" i="54" s="1"/>
  <c r="J73" i="54"/>
  <c r="K73" i="54" s="1"/>
  <c r="J72" i="54"/>
  <c r="K72" i="54" s="1"/>
  <c r="J71" i="54"/>
  <c r="K71" i="54" s="1"/>
  <c r="J70" i="54"/>
  <c r="K70" i="54" s="1"/>
  <c r="J69" i="54"/>
  <c r="K69" i="54" s="1"/>
  <c r="J68" i="54"/>
  <c r="K68" i="54" s="1"/>
  <c r="J67" i="54"/>
  <c r="K67" i="54" s="1"/>
  <c r="J66" i="54"/>
  <c r="K66" i="54" s="1"/>
  <c r="J65" i="54"/>
  <c r="K65" i="54" s="1"/>
  <c r="J64" i="54"/>
  <c r="K64" i="54" s="1"/>
  <c r="J63" i="54"/>
  <c r="K63" i="54" s="1"/>
  <c r="J62" i="54"/>
  <c r="K62" i="54" s="1"/>
  <c r="J61" i="54"/>
  <c r="K61" i="54" s="1"/>
  <c r="J60" i="54"/>
  <c r="K60" i="54" s="1"/>
  <c r="J59" i="54"/>
  <c r="K59" i="54" s="1"/>
  <c r="J58" i="54"/>
  <c r="K58" i="54" s="1"/>
  <c r="J57" i="54"/>
  <c r="K57" i="54" s="1"/>
  <c r="J56" i="54"/>
  <c r="K56" i="54" s="1"/>
  <c r="J55" i="54"/>
  <c r="K55" i="54" s="1"/>
  <c r="J54" i="54"/>
  <c r="K54" i="54" s="1"/>
  <c r="J53" i="54"/>
  <c r="K53" i="54" s="1"/>
  <c r="J52" i="54"/>
  <c r="K52" i="54" s="1"/>
  <c r="J51" i="54"/>
  <c r="K51" i="54" s="1"/>
  <c r="J50" i="54"/>
  <c r="K50" i="54" s="1"/>
  <c r="J49" i="54"/>
  <c r="K49" i="54" s="1"/>
  <c r="J48" i="54"/>
  <c r="K48" i="54" s="1"/>
  <c r="J47" i="54"/>
  <c r="K47" i="54" s="1"/>
  <c r="J46" i="54"/>
  <c r="K46" i="54" s="1"/>
  <c r="J45" i="54"/>
  <c r="K45" i="54" s="1"/>
  <c r="J44" i="54"/>
  <c r="K44" i="54" s="1"/>
  <c r="J43" i="54"/>
  <c r="K43" i="54" s="1"/>
  <c r="J42" i="54"/>
  <c r="K42" i="54" s="1"/>
  <c r="J41" i="54"/>
  <c r="K41" i="54" s="1"/>
  <c r="J40" i="54"/>
  <c r="K40" i="54" s="1"/>
  <c r="J39" i="54"/>
  <c r="K39" i="54" s="1"/>
  <c r="J38" i="54"/>
  <c r="K38" i="54" s="1"/>
  <c r="J37" i="54"/>
  <c r="K37" i="54" s="1"/>
  <c r="J36" i="54"/>
  <c r="K36" i="54" s="1"/>
  <c r="J35" i="54"/>
  <c r="K35" i="54" s="1"/>
  <c r="J34" i="54"/>
  <c r="K34" i="54" s="1"/>
  <c r="J33" i="54"/>
  <c r="K33" i="54" s="1"/>
  <c r="J32" i="54"/>
  <c r="K32" i="54" s="1"/>
  <c r="J31" i="54"/>
  <c r="K31" i="54" s="1"/>
  <c r="J30" i="54"/>
  <c r="K30" i="54" s="1"/>
  <c r="J29" i="54"/>
  <c r="K29" i="54" s="1"/>
  <c r="J28" i="54"/>
  <c r="K28" i="54" s="1"/>
  <c r="J27" i="54"/>
  <c r="K27" i="54" s="1"/>
  <c r="J26" i="54"/>
  <c r="K26" i="54" s="1"/>
  <c r="J25" i="54"/>
  <c r="K25" i="54" s="1"/>
  <c r="J24" i="54"/>
  <c r="K24" i="54" s="1"/>
  <c r="J23" i="54"/>
  <c r="K23" i="54" s="1"/>
  <c r="J22" i="54"/>
  <c r="K22" i="54" s="1"/>
  <c r="J21" i="54"/>
  <c r="K21" i="54" s="1"/>
  <c r="J20" i="54"/>
  <c r="K20" i="54" s="1"/>
  <c r="J19" i="54"/>
  <c r="K19" i="54" s="1"/>
  <c r="J18" i="54"/>
  <c r="K18" i="54" s="1"/>
  <c r="J17" i="54"/>
  <c r="K17" i="54" s="1"/>
  <c r="J16" i="54"/>
  <c r="K16" i="54" s="1"/>
  <c r="J15" i="54"/>
  <c r="K15" i="54" s="1"/>
  <c r="J14" i="54"/>
  <c r="K14" i="54" s="1"/>
  <c r="J13" i="54"/>
  <c r="K13" i="54" s="1"/>
  <c r="J12" i="54"/>
  <c r="K12" i="54" s="1"/>
  <c r="J11" i="54"/>
  <c r="K11" i="54" s="1"/>
  <c r="J10" i="54"/>
  <c r="K10" i="54" s="1"/>
  <c r="J9" i="54"/>
  <c r="K9" i="54" s="1"/>
  <c r="J8" i="54"/>
  <c r="K8" i="54" s="1"/>
  <c r="J7" i="54"/>
  <c r="K7" i="54" s="1"/>
  <c r="J6" i="54"/>
  <c r="K6" i="54" s="1"/>
  <c r="J5" i="54"/>
  <c r="K5" i="54" s="1"/>
  <c r="L21" i="54" l="1"/>
  <c r="L57" i="54"/>
  <c r="L106" i="54"/>
  <c r="L170" i="54"/>
  <c r="L222" i="54" s="1"/>
  <c r="L8" i="54"/>
  <c r="L16" i="54"/>
  <c r="L28" i="54"/>
  <c r="L43" i="54"/>
  <c r="L53" i="54"/>
  <c r="L64" i="54"/>
  <c r="L78" i="54"/>
  <c r="L99" i="54"/>
  <c r="L118" i="54"/>
  <c r="L139" i="54"/>
  <c r="L159" i="54"/>
  <c r="L9" i="54"/>
  <c r="L17" i="54"/>
  <c r="L29" i="54"/>
  <c r="L44" i="54"/>
  <c r="L55" i="54"/>
  <c r="L67" i="54"/>
  <c r="L82" i="54"/>
  <c r="L102" i="54"/>
  <c r="L119" i="54"/>
  <c r="L143" i="54"/>
  <c r="L162" i="54"/>
  <c r="L10" i="54"/>
  <c r="L20" i="54"/>
  <c r="L31" i="54"/>
  <c r="L45" i="54"/>
  <c r="L56" i="54"/>
  <c r="L69" i="54"/>
  <c r="L83" i="54"/>
  <c r="L103" i="54"/>
  <c r="L122" i="54"/>
  <c r="L146" i="54"/>
  <c r="L166" i="54"/>
  <c r="L11" i="54"/>
  <c r="L47" i="54"/>
  <c r="L87" i="54"/>
  <c r="L147" i="54"/>
  <c r="L22" i="54"/>
  <c r="L48" i="54"/>
  <c r="L90" i="54"/>
  <c r="L127" i="54"/>
  <c r="L150" i="54"/>
  <c r="L5" i="54"/>
  <c r="L184" i="54" s="1"/>
  <c r="L24" i="54"/>
  <c r="L49" i="54"/>
  <c r="L72" i="54"/>
  <c r="L111" i="54"/>
  <c r="L151" i="54"/>
  <c r="L6" i="54"/>
  <c r="L185" i="54" s="1"/>
  <c r="L14" i="54"/>
  <c r="L189" i="54" s="1"/>
  <c r="L25" i="54"/>
  <c r="L40" i="54"/>
  <c r="L51" i="54"/>
  <c r="L61" i="54"/>
  <c r="L73" i="54"/>
  <c r="L95" i="54"/>
  <c r="L114" i="54"/>
  <c r="L134" i="54"/>
  <c r="L154" i="54"/>
  <c r="L178" i="54"/>
  <c r="L228" i="54" s="1"/>
  <c r="L32" i="54"/>
  <c r="L70" i="54"/>
  <c r="L126" i="54"/>
  <c r="L12" i="54"/>
  <c r="L188" i="54" s="1"/>
  <c r="L35" i="54"/>
  <c r="L196" i="54" s="1"/>
  <c r="L59" i="54"/>
  <c r="L71" i="54"/>
  <c r="L107" i="54"/>
  <c r="L171" i="54"/>
  <c r="L13" i="54"/>
  <c r="L37" i="54"/>
  <c r="L60" i="54"/>
  <c r="L94" i="54"/>
  <c r="L131" i="54"/>
  <c r="L175" i="54"/>
  <c r="L225" i="54" s="1"/>
  <c r="L7" i="54"/>
  <c r="L15" i="54"/>
  <c r="L26" i="54"/>
  <c r="L41" i="54"/>
  <c r="L52" i="54"/>
  <c r="L63" i="54"/>
  <c r="L74" i="54"/>
  <c r="L98" i="54"/>
  <c r="L115" i="54"/>
  <c r="L138" i="54"/>
  <c r="L158" i="54"/>
  <c r="L180" i="54"/>
  <c r="L176" i="54"/>
  <c r="L226" i="54" s="1"/>
  <c r="L172" i="54"/>
  <c r="L168" i="54"/>
  <c r="L164" i="54"/>
  <c r="L160" i="54"/>
  <c r="L156" i="54"/>
  <c r="L152" i="54"/>
  <c r="L148" i="54"/>
  <c r="L144" i="54"/>
  <c r="L140" i="54"/>
  <c r="L136" i="54"/>
  <c r="L132" i="54"/>
  <c r="L128" i="54"/>
  <c r="L124" i="54"/>
  <c r="L120" i="54"/>
  <c r="L116" i="54"/>
  <c r="L112" i="54"/>
  <c r="L108" i="54"/>
  <c r="L211" i="54" s="1"/>
  <c r="L104" i="54"/>
  <c r="L100" i="54"/>
  <c r="L96" i="54"/>
  <c r="L92" i="54"/>
  <c r="L88" i="54"/>
  <c r="L84" i="54"/>
  <c r="L80" i="54"/>
  <c r="L76" i="54"/>
  <c r="L181" i="54"/>
  <c r="L177" i="54"/>
  <c r="L227" i="54" s="1"/>
  <c r="L173" i="54"/>
  <c r="L169" i="54"/>
  <c r="L165" i="54"/>
  <c r="L161" i="54"/>
  <c r="L157" i="54"/>
  <c r="L153" i="54"/>
  <c r="L149" i="54"/>
  <c r="L145" i="54"/>
  <c r="L141" i="54"/>
  <c r="L137" i="54"/>
  <c r="L133" i="54"/>
  <c r="L129" i="54"/>
  <c r="L125" i="54"/>
  <c r="L121" i="54"/>
  <c r="L117" i="54"/>
  <c r="L113" i="54"/>
  <c r="L109" i="54"/>
  <c r="L105" i="54"/>
  <c r="L101" i="54"/>
  <c r="L97" i="54"/>
  <c r="L93" i="54"/>
  <c r="L89" i="54"/>
  <c r="L85" i="54"/>
  <c r="L81" i="54"/>
  <c r="L18" i="54"/>
  <c r="L192" i="54" s="1"/>
  <c r="L163" i="54"/>
  <c r="L167" i="54"/>
  <c r="L174" i="54"/>
  <c r="L155" i="54"/>
  <c r="L142" i="54"/>
  <c r="L123" i="54"/>
  <c r="L110" i="54"/>
  <c r="L91" i="54"/>
  <c r="L66" i="54"/>
  <c r="L62" i="54"/>
  <c r="L58" i="54"/>
  <c r="L54" i="54"/>
  <c r="L50" i="54"/>
  <c r="L46" i="54"/>
  <c r="L42" i="54"/>
  <c r="L38" i="54"/>
  <c r="L34" i="54"/>
  <c r="L30" i="54"/>
  <c r="L19" i="54"/>
  <c r="L23" i="54"/>
  <c r="L27" i="54"/>
  <c r="L33" i="54"/>
  <c r="L36" i="54"/>
  <c r="L197" i="54" s="1"/>
  <c r="L39" i="54"/>
  <c r="L199" i="54" s="1"/>
  <c r="L65" i="54"/>
  <c r="L68" i="54"/>
  <c r="L75" i="54"/>
  <c r="L77" i="54"/>
  <c r="L79" i="54"/>
  <c r="L86" i="54"/>
  <c r="L130" i="54"/>
  <c r="L135" i="54"/>
  <c r="M3" i="54"/>
  <c r="L194" i="54"/>
  <c r="L221" i="54"/>
  <c r="L191" i="54"/>
  <c r="L224" i="54"/>
  <c r="L203" i="54"/>
  <c r="L218" i="54"/>
  <c r="D118" i="53"/>
  <c r="D117" i="53"/>
  <c r="D116" i="53"/>
  <c r="D115" i="53"/>
  <c r="D114" i="53"/>
  <c r="D113" i="53"/>
  <c r="D112" i="53"/>
  <c r="D111" i="53"/>
  <c r="D110" i="53"/>
  <c r="D109" i="53"/>
  <c r="D108" i="53"/>
  <c r="D107" i="53"/>
  <c r="D106" i="53"/>
  <c r="D105" i="53"/>
  <c r="D104" i="53"/>
  <c r="D103" i="53"/>
  <c r="D102" i="53"/>
  <c r="D101" i="53"/>
  <c r="D100" i="53"/>
  <c r="D99" i="53"/>
  <c r="D98" i="53"/>
  <c r="D97" i="53"/>
  <c r="D96" i="53"/>
  <c r="D95" i="53"/>
  <c r="D94" i="53"/>
  <c r="D93" i="53"/>
  <c r="D92" i="53"/>
  <c r="D91" i="53"/>
  <c r="D90" i="53"/>
  <c r="D89" i="53"/>
  <c r="D88" i="53"/>
  <c r="D87" i="53"/>
  <c r="D86" i="53"/>
  <c r="D85" i="53"/>
  <c r="D84" i="53"/>
  <c r="D83" i="53"/>
  <c r="D82" i="53"/>
  <c r="D81" i="53"/>
  <c r="D80" i="53"/>
  <c r="D79" i="53"/>
  <c r="D78" i="53"/>
  <c r="D77" i="53"/>
  <c r="D76" i="53"/>
  <c r="D75" i="53"/>
  <c r="D74" i="53"/>
  <c r="D73" i="53"/>
  <c r="D72" i="53"/>
  <c r="D71" i="53"/>
  <c r="D70" i="53"/>
  <c r="D69" i="53"/>
  <c r="D68" i="53"/>
  <c r="D67" i="53"/>
  <c r="D66" i="53"/>
  <c r="D65" i="53"/>
  <c r="D64" i="53"/>
  <c r="D63" i="53"/>
  <c r="D62" i="53"/>
  <c r="D61" i="53"/>
  <c r="D60" i="53"/>
  <c r="D59" i="53"/>
  <c r="D58" i="53"/>
  <c r="D57" i="53"/>
  <c r="D56" i="53"/>
  <c r="D55" i="53"/>
  <c r="D54" i="53"/>
  <c r="D53" i="53"/>
  <c r="D52" i="53"/>
  <c r="D51" i="53"/>
  <c r="D50" i="53"/>
  <c r="D49" i="53"/>
  <c r="D48" i="53"/>
  <c r="D47" i="53"/>
  <c r="D46" i="53"/>
  <c r="D45" i="53"/>
  <c r="D44" i="53"/>
  <c r="D43" i="53"/>
  <c r="D42" i="53"/>
  <c r="D41" i="53"/>
  <c r="D40" i="53"/>
  <c r="D39" i="53"/>
  <c r="D38" i="53"/>
  <c r="D37" i="53"/>
  <c r="D36" i="53"/>
  <c r="D35" i="53"/>
  <c r="D34" i="53"/>
  <c r="D33" i="53"/>
  <c r="D32" i="53"/>
  <c r="D31" i="53"/>
  <c r="D30" i="53"/>
  <c r="D29" i="53"/>
  <c r="D28" i="53"/>
  <c r="D27" i="53"/>
  <c r="D26" i="53"/>
  <c r="D25" i="53"/>
  <c r="D24" i="53"/>
  <c r="D23" i="53"/>
  <c r="D22" i="53"/>
  <c r="D21" i="53"/>
  <c r="D20" i="53"/>
  <c r="D19" i="53"/>
  <c r="D18" i="53"/>
  <c r="D17" i="53"/>
  <c r="D16" i="53"/>
  <c r="D15" i="53"/>
  <c r="D14" i="53"/>
  <c r="D13" i="53"/>
  <c r="D12" i="53"/>
  <c r="D11" i="53"/>
  <c r="D10" i="53"/>
  <c r="D9" i="53"/>
  <c r="D8" i="53"/>
  <c r="D7" i="53"/>
  <c r="D6" i="53"/>
  <c r="D5" i="53"/>
  <c r="D4" i="53"/>
  <c r="D3" i="53"/>
  <c r="N2" i="53"/>
  <c r="G2" i="53"/>
  <c r="H1" i="53" s="1"/>
  <c r="H2" i="53" s="1"/>
  <c r="I1" i="53" s="1"/>
  <c r="I2" i="53" s="1"/>
  <c r="J1" i="53" s="1"/>
  <c r="J2" i="53" s="1"/>
  <c r="K1" i="53" s="1"/>
  <c r="K2" i="53" s="1"/>
  <c r="L1" i="53" s="1"/>
  <c r="L2" i="53" s="1"/>
  <c r="N1" i="53"/>
  <c r="I117" i="53"/>
  <c r="I109" i="53"/>
  <c r="I101" i="53"/>
  <c r="I93" i="53"/>
  <c r="I85" i="53"/>
  <c r="I77" i="53"/>
  <c r="I69" i="53"/>
  <c r="I61" i="53"/>
  <c r="I53" i="53"/>
  <c r="I45" i="53"/>
  <c r="I37" i="53"/>
  <c r="I29" i="53"/>
  <c r="I21" i="53"/>
  <c r="I13" i="53"/>
  <c r="I5" i="53"/>
  <c r="H113" i="53"/>
  <c r="G113" i="53"/>
  <c r="G105" i="53"/>
  <c r="G97" i="53"/>
  <c r="G89" i="53"/>
  <c r="G81" i="53"/>
  <c r="G73" i="53"/>
  <c r="G65" i="53"/>
  <c r="G57" i="53"/>
  <c r="G49" i="53"/>
  <c r="G41" i="53"/>
  <c r="G33" i="53"/>
  <c r="G25" i="53"/>
  <c r="G17" i="53"/>
  <c r="G9" i="53"/>
  <c r="L115" i="53"/>
  <c r="K97" i="53"/>
  <c r="K81" i="53"/>
  <c r="K65" i="53"/>
  <c r="K49" i="53"/>
  <c r="K33" i="53"/>
  <c r="J109" i="53"/>
  <c r="J93" i="53"/>
  <c r="J77" i="53"/>
  <c r="J61" i="53"/>
  <c r="J45" i="53"/>
  <c r="J29" i="53"/>
  <c r="J13" i="53"/>
  <c r="J110" i="53"/>
  <c r="J94" i="53"/>
  <c r="J78" i="53"/>
  <c r="J62" i="53"/>
  <c r="J46" i="53"/>
  <c r="J30" i="53"/>
  <c r="J14" i="53"/>
  <c r="L111" i="53"/>
  <c r="K95" i="53"/>
  <c r="K79" i="53"/>
  <c r="K63" i="53"/>
  <c r="K47" i="53"/>
  <c r="K31" i="53"/>
  <c r="H101" i="53"/>
  <c r="K78" i="53"/>
  <c r="H51" i="53"/>
  <c r="J28" i="53"/>
  <c r="K111" i="53"/>
  <c r="K74" i="53"/>
  <c r="J83" i="53"/>
  <c r="J87" i="53"/>
  <c r="L41" i="53"/>
  <c r="H16" i="53"/>
  <c r="H105" i="53"/>
  <c r="K82" i="53"/>
  <c r="H55" i="53"/>
  <c r="J32" i="53"/>
  <c r="H11" i="53"/>
  <c r="K72" i="53"/>
  <c r="L108" i="53"/>
  <c r="L24" i="53"/>
  <c r="J51" i="53"/>
  <c r="J107" i="53"/>
  <c r="L61" i="53"/>
  <c r="H25" i="53"/>
  <c r="H109" i="53"/>
  <c r="K86" i="53"/>
  <c r="H59" i="53"/>
  <c r="J36" i="53"/>
  <c r="J4" i="53"/>
  <c r="H20" i="53"/>
  <c r="H81" i="53"/>
  <c r="L28" i="53"/>
  <c r="K92" i="53"/>
  <c r="I106" i="53"/>
  <c r="I90" i="53"/>
  <c r="I66" i="53"/>
  <c r="I42" i="53"/>
  <c r="I10" i="53"/>
  <c r="G110" i="53"/>
  <c r="G86" i="53"/>
  <c r="G62" i="53"/>
  <c r="G46" i="53"/>
  <c r="G22" i="53"/>
  <c r="H108" i="53"/>
  <c r="H60" i="53"/>
  <c r="L102" i="53"/>
  <c r="L54" i="53"/>
  <c r="L6" i="53"/>
  <c r="L71" i="53"/>
  <c r="L7" i="53"/>
  <c r="H106" i="53"/>
  <c r="H58" i="53"/>
  <c r="K94" i="53"/>
  <c r="J16" i="53"/>
  <c r="K42" i="53"/>
  <c r="L25" i="53"/>
  <c r="H71" i="53"/>
  <c r="L4" i="53"/>
  <c r="K5" i="53"/>
  <c r="L45" i="53"/>
  <c r="H75" i="53"/>
  <c r="J79" i="53"/>
  <c r="L53" i="53"/>
  <c r="I97" i="53"/>
  <c r="I57" i="53"/>
  <c r="I41" i="53"/>
  <c r="I17" i="53"/>
  <c r="G117" i="53"/>
  <c r="G93" i="53"/>
  <c r="G61" i="53"/>
  <c r="G37" i="53"/>
  <c r="G13" i="53"/>
  <c r="K89" i="53"/>
  <c r="I116" i="53"/>
  <c r="I108" i="53"/>
  <c r="I100" i="53"/>
  <c r="I92" i="53"/>
  <c r="I84" i="53"/>
  <c r="I76" i="53"/>
  <c r="I68" i="53"/>
  <c r="I60" i="53"/>
  <c r="I52" i="53"/>
  <c r="I44" i="53"/>
  <c r="I36" i="53"/>
  <c r="I28" i="53"/>
  <c r="I20" i="53"/>
  <c r="I12" i="53"/>
  <c r="I4" i="53"/>
  <c r="H112" i="53"/>
  <c r="G112" i="53"/>
  <c r="G104" i="53"/>
  <c r="G96" i="53"/>
  <c r="G88" i="53"/>
  <c r="G80" i="53"/>
  <c r="G72" i="53"/>
  <c r="G64" i="53"/>
  <c r="G56" i="53"/>
  <c r="G48" i="53"/>
  <c r="G40" i="53"/>
  <c r="G32" i="53"/>
  <c r="G24" i="53"/>
  <c r="G16" i="53"/>
  <c r="G8" i="53"/>
  <c r="K112" i="53"/>
  <c r="H96" i="53"/>
  <c r="H80" i="53"/>
  <c r="H64" i="53"/>
  <c r="H48" i="53"/>
  <c r="H32" i="53"/>
  <c r="L106" i="53"/>
  <c r="L90" i="53"/>
  <c r="L74" i="53"/>
  <c r="L58" i="53"/>
  <c r="L42" i="53"/>
  <c r="L26" i="53"/>
  <c r="L10" i="53"/>
  <c r="L107" i="53"/>
  <c r="L91" i="53"/>
  <c r="L75" i="53"/>
  <c r="L59" i="53"/>
  <c r="L43" i="53"/>
  <c r="L27" i="53"/>
  <c r="L11" i="53"/>
  <c r="H110" i="53"/>
  <c r="H94" i="53"/>
  <c r="H78" i="53"/>
  <c r="H62" i="53"/>
  <c r="H46" i="53"/>
  <c r="H30" i="53"/>
  <c r="H99" i="53"/>
  <c r="J76" i="53"/>
  <c r="L48" i="53"/>
  <c r="J24" i="53"/>
  <c r="J23" i="53"/>
  <c r="L60" i="53"/>
  <c r="L37" i="53"/>
  <c r="K80" i="53"/>
  <c r="J39" i="53"/>
  <c r="K14" i="53"/>
  <c r="H103" i="53"/>
  <c r="J80" i="53"/>
  <c r="L52" i="53"/>
  <c r="K25" i="53"/>
  <c r="K9" i="53"/>
  <c r="J63" i="53"/>
  <c r="K106" i="53"/>
  <c r="L16" i="53"/>
  <c r="K44" i="53"/>
  <c r="K100" i="53"/>
  <c r="J59" i="53"/>
  <c r="K20" i="53"/>
  <c r="H107" i="53"/>
  <c r="J84" i="53"/>
  <c r="L56" i="53"/>
  <c r="H29" i="53"/>
  <c r="L97" i="53"/>
  <c r="J15" i="53"/>
  <c r="L76" i="53"/>
  <c r="H23" i="53"/>
  <c r="K76" i="53"/>
  <c r="I114" i="53"/>
  <c r="I82" i="53"/>
  <c r="I58" i="53"/>
  <c r="I34" i="53"/>
  <c r="I18" i="53"/>
  <c r="G118" i="53"/>
  <c r="G102" i="53"/>
  <c r="G78" i="53"/>
  <c r="G54" i="53"/>
  <c r="G30" i="53"/>
  <c r="G6" i="53"/>
  <c r="H76" i="53"/>
  <c r="H28" i="53"/>
  <c r="L70" i="53"/>
  <c r="L22" i="53"/>
  <c r="L87" i="53"/>
  <c r="L39" i="53"/>
  <c r="H74" i="53"/>
  <c r="H26" i="53"/>
  <c r="J44" i="53"/>
  <c r="K16" i="53"/>
  <c r="L9" i="53"/>
  <c r="J48" i="53"/>
  <c r="K40" i="53"/>
  <c r="K8" i="53"/>
  <c r="K12" i="53"/>
  <c r="J52" i="53"/>
  <c r="H4" i="53"/>
  <c r="K13" i="53"/>
  <c r="I113" i="53"/>
  <c r="I105" i="53"/>
  <c r="I81" i="53"/>
  <c r="I65" i="53"/>
  <c r="I33" i="53"/>
  <c r="I9" i="53"/>
  <c r="G109" i="53"/>
  <c r="G85" i="53"/>
  <c r="G53" i="53"/>
  <c r="G29" i="53"/>
  <c r="G5" i="53"/>
  <c r="I115" i="53"/>
  <c r="I107" i="53"/>
  <c r="I99" i="53"/>
  <c r="I91" i="53"/>
  <c r="I83" i="53"/>
  <c r="I75" i="53"/>
  <c r="I67" i="53"/>
  <c r="I59" i="53"/>
  <c r="I51" i="53"/>
  <c r="I43" i="53"/>
  <c r="I35" i="53"/>
  <c r="I27" i="53"/>
  <c r="I19" i="53"/>
  <c r="I11" i="53"/>
  <c r="I3" i="53"/>
  <c r="H111" i="53"/>
  <c r="G111" i="53"/>
  <c r="G103" i="53"/>
  <c r="G95" i="53"/>
  <c r="G87" i="53"/>
  <c r="G79" i="53"/>
  <c r="G71" i="53"/>
  <c r="G63" i="53"/>
  <c r="G55" i="53"/>
  <c r="G47" i="53"/>
  <c r="G39" i="53"/>
  <c r="G31" i="53"/>
  <c r="G23" i="53"/>
  <c r="G15" i="53"/>
  <c r="G7" i="53"/>
  <c r="K109" i="53"/>
  <c r="K93" i="53"/>
  <c r="K77" i="53"/>
  <c r="K61" i="53"/>
  <c r="K45" i="53"/>
  <c r="K29" i="53"/>
  <c r="J105" i="53"/>
  <c r="J89" i="53"/>
  <c r="J73" i="53"/>
  <c r="J57" i="53"/>
  <c r="J41" i="53"/>
  <c r="J25" i="53"/>
  <c r="J9" i="53"/>
  <c r="J106" i="53"/>
  <c r="J90" i="53"/>
  <c r="J74" i="53"/>
  <c r="J58" i="53"/>
  <c r="J42" i="53"/>
  <c r="J26" i="53"/>
  <c r="J10" i="53"/>
  <c r="K107" i="53"/>
  <c r="K91" i="53"/>
  <c r="K75" i="53"/>
  <c r="K59" i="53"/>
  <c r="K43" i="53"/>
  <c r="K27" i="53"/>
  <c r="L96" i="53"/>
  <c r="H69" i="53"/>
  <c r="K46" i="53"/>
  <c r="K19" i="53"/>
  <c r="K18" i="53"/>
  <c r="H49" i="53"/>
  <c r="K24" i="53"/>
  <c r="L73" i="53"/>
  <c r="K32" i="53"/>
  <c r="J11" i="53"/>
  <c r="L100" i="53"/>
  <c r="H73" i="53"/>
  <c r="K50" i="53"/>
  <c r="H22" i="53"/>
  <c r="H6" i="53"/>
  <c r="L49" i="53"/>
  <c r="H95" i="53"/>
  <c r="L8" i="53"/>
  <c r="K28" i="53"/>
  <c r="L93" i="53"/>
  <c r="K52" i="53"/>
  <c r="H17" i="53"/>
  <c r="L104" i="53"/>
  <c r="H77" i="53"/>
  <c r="K54" i="53"/>
  <c r="H27" i="53"/>
  <c r="K88" i="53"/>
  <c r="H12" i="53"/>
  <c r="J72" i="53"/>
  <c r="H18" i="53"/>
  <c r="J67" i="53"/>
  <c r="I98" i="53"/>
  <c r="I74" i="53"/>
  <c r="I50" i="53"/>
  <c r="I26" i="53"/>
  <c r="H118" i="53"/>
  <c r="G94" i="53"/>
  <c r="G70" i="53"/>
  <c r="G38" i="53"/>
  <c r="G14" i="53"/>
  <c r="H92" i="53"/>
  <c r="H44" i="53"/>
  <c r="L86" i="53"/>
  <c r="L38" i="53"/>
  <c r="L103" i="53"/>
  <c r="L55" i="53"/>
  <c r="L23" i="53"/>
  <c r="H90" i="53"/>
  <c r="H42" i="53"/>
  <c r="H67" i="53"/>
  <c r="L13" i="53"/>
  <c r="J71" i="53"/>
  <c r="K98" i="53"/>
  <c r="L20" i="53"/>
  <c r="J88" i="53"/>
  <c r="J91" i="53"/>
  <c r="K102" i="53"/>
  <c r="K23" i="53"/>
  <c r="H63" i="53"/>
  <c r="I89" i="53"/>
  <c r="I73" i="53"/>
  <c r="I49" i="53"/>
  <c r="I25" i="53"/>
  <c r="H117" i="53"/>
  <c r="G101" i="53"/>
  <c r="G77" i="53"/>
  <c r="G69" i="53"/>
  <c r="G45" i="53"/>
  <c r="G21" i="53"/>
  <c r="K105" i="53"/>
  <c r="I102" i="53"/>
  <c r="I79" i="53"/>
  <c r="I56" i="53"/>
  <c r="I38" i="53"/>
  <c r="I15" i="53"/>
  <c r="G116" i="53"/>
  <c r="G98" i="53"/>
  <c r="G75" i="53"/>
  <c r="G52" i="53"/>
  <c r="G34" i="53"/>
  <c r="G11" i="53"/>
  <c r="H88" i="53"/>
  <c r="H56" i="53"/>
  <c r="K115" i="53"/>
  <c r="L82" i="53"/>
  <c r="L50" i="53"/>
  <c r="L18" i="53"/>
  <c r="L99" i="53"/>
  <c r="L67" i="53"/>
  <c r="L35" i="53"/>
  <c r="L3" i="53"/>
  <c r="H86" i="53"/>
  <c r="H54" i="53"/>
  <c r="L113" i="53"/>
  <c r="K62" i="53"/>
  <c r="J8" i="53"/>
  <c r="K21" i="53"/>
  <c r="L57" i="53"/>
  <c r="K6" i="53"/>
  <c r="K66" i="53"/>
  <c r="K17" i="53"/>
  <c r="L21" i="53"/>
  <c r="L85" i="53"/>
  <c r="L77" i="53"/>
  <c r="K4" i="53"/>
  <c r="K70" i="53"/>
  <c r="K15" i="53"/>
  <c r="J104" i="53"/>
  <c r="J116" i="53"/>
  <c r="G106" i="53"/>
  <c r="G42" i="53"/>
  <c r="I96" i="53"/>
  <c r="I78" i="53"/>
  <c r="I55" i="53"/>
  <c r="I32" i="53"/>
  <c r="I14" i="53"/>
  <c r="G115" i="53"/>
  <c r="G92" i="53"/>
  <c r="G74" i="53"/>
  <c r="G51" i="53"/>
  <c r="G28" i="53"/>
  <c r="G10" i="53"/>
  <c r="K85" i="53"/>
  <c r="K53" i="53"/>
  <c r="J112" i="53"/>
  <c r="J81" i="53"/>
  <c r="J49" i="53"/>
  <c r="J17" i="53"/>
  <c r="J98" i="53"/>
  <c r="J66" i="53"/>
  <c r="J34" i="53"/>
  <c r="K116" i="53"/>
  <c r="K83" i="53"/>
  <c r="K51" i="53"/>
  <c r="K110" i="53"/>
  <c r="J60" i="53"/>
  <c r="K3" i="53"/>
  <c r="H15" i="53"/>
  <c r="J55" i="53"/>
  <c r="J3" i="53"/>
  <c r="J64" i="53"/>
  <c r="H14" i="53"/>
  <c r="K10" i="53"/>
  <c r="L69" i="53"/>
  <c r="J75" i="53"/>
  <c r="K117" i="53"/>
  <c r="J68" i="53"/>
  <c r="J12" i="53"/>
  <c r="H97" i="53"/>
  <c r="K108" i="53"/>
  <c r="I46" i="53"/>
  <c r="G83" i="53"/>
  <c r="H104" i="53"/>
  <c r="I118" i="53"/>
  <c r="I95" i="53"/>
  <c r="I72" i="53"/>
  <c r="I54" i="53"/>
  <c r="I31" i="53"/>
  <c r="I8" i="53"/>
  <c r="G114" i="53"/>
  <c r="G91" i="53"/>
  <c r="G68" i="53"/>
  <c r="G50" i="53"/>
  <c r="G27" i="53"/>
  <c r="G4" i="53"/>
  <c r="H84" i="53"/>
  <c r="H52" i="53"/>
  <c r="L110" i="53"/>
  <c r="L78" i="53"/>
  <c r="L46" i="53"/>
  <c r="L14" i="53"/>
  <c r="L95" i="53"/>
  <c r="L63" i="53"/>
  <c r="L31" i="53"/>
  <c r="J113" i="53"/>
  <c r="H82" i="53"/>
  <c r="H50" i="53"/>
  <c r="J108" i="53"/>
  <c r="H53" i="53"/>
  <c r="H3" i="53"/>
  <c r="H10" i="53"/>
  <c r="K48" i="53"/>
  <c r="J115" i="53"/>
  <c r="H57" i="53"/>
  <c r="L12" i="53"/>
  <c r="L5" i="53"/>
  <c r="K60" i="53"/>
  <c r="K68" i="53"/>
  <c r="L114" i="53"/>
  <c r="H61" i="53"/>
  <c r="K7" i="53"/>
  <c r="L92" i="53"/>
  <c r="L101" i="53"/>
  <c r="I112" i="53"/>
  <c r="I94" i="53"/>
  <c r="I71" i="53"/>
  <c r="I48" i="53"/>
  <c r="I30" i="53"/>
  <c r="I7" i="53"/>
  <c r="G108" i="53"/>
  <c r="G90" i="53"/>
  <c r="G67" i="53"/>
  <c r="G44" i="53"/>
  <c r="G26" i="53"/>
  <c r="G3" i="53"/>
  <c r="K73" i="53"/>
  <c r="K41" i="53"/>
  <c r="J101" i="53"/>
  <c r="J69" i="53"/>
  <c r="J37" i="53"/>
  <c r="J5" i="53"/>
  <c r="J86" i="53"/>
  <c r="J54" i="53"/>
  <c r="J22" i="53"/>
  <c r="K103" i="53"/>
  <c r="K71" i="53"/>
  <c r="K39" i="53"/>
  <c r="J92" i="53"/>
  <c r="H37" i="53"/>
  <c r="J7" i="53"/>
  <c r="L105" i="53"/>
  <c r="H24" i="53"/>
  <c r="J96" i="53"/>
  <c r="H41" i="53"/>
  <c r="K114" i="53"/>
  <c r="H65" i="53"/>
  <c r="H5" i="53"/>
  <c r="J43" i="53"/>
  <c r="J100" i="53"/>
  <c r="H45" i="53"/>
  <c r="L65" i="53"/>
  <c r="K58" i="53"/>
  <c r="J35" i="53"/>
  <c r="I111" i="53"/>
  <c r="I88" i="53"/>
  <c r="I70" i="53"/>
  <c r="I47" i="53"/>
  <c r="I24" i="53"/>
  <c r="I6" i="53"/>
  <c r="G107" i="53"/>
  <c r="G84" i="53"/>
  <c r="G66" i="53"/>
  <c r="G43" i="53"/>
  <c r="G20" i="53"/>
  <c r="J117" i="53"/>
  <c r="H72" i="53"/>
  <c r="H40" i="53"/>
  <c r="L98" i="53"/>
  <c r="L66" i="53"/>
  <c r="L34" i="53"/>
  <c r="J118" i="53"/>
  <c r="L83" i="53"/>
  <c r="L51" i="53"/>
  <c r="L19" i="53"/>
  <c r="H102" i="53"/>
  <c r="H70" i="53"/>
  <c r="H38" i="53"/>
  <c r="H85" i="53"/>
  <c r="H35" i="53"/>
  <c r="J111" i="53"/>
  <c r="J103" i="53"/>
  <c r="K22" i="53"/>
  <c r="H89" i="53"/>
  <c r="H39" i="53"/>
  <c r="K104" i="53"/>
  <c r="J56" i="53"/>
  <c r="L117" i="53"/>
  <c r="K36" i="53"/>
  <c r="H93" i="53"/>
  <c r="H43" i="53"/>
  <c r="K56" i="53"/>
  <c r="H47" i="53"/>
  <c r="H21" i="53"/>
  <c r="I110" i="53"/>
  <c r="I87" i="53"/>
  <c r="I64" i="53"/>
  <c r="I23" i="53"/>
  <c r="H116" i="53"/>
  <c r="G60" i="53"/>
  <c r="G19" i="53"/>
  <c r="I63" i="53"/>
  <c r="G100" i="53"/>
  <c r="G18" i="53"/>
  <c r="H36" i="53"/>
  <c r="J33" i="53"/>
  <c r="J70" i="53"/>
  <c r="H98" i="53"/>
  <c r="H83" i="53"/>
  <c r="K26" i="53"/>
  <c r="L84" i="53"/>
  <c r="L44" i="53"/>
  <c r="H9" i="53"/>
  <c r="L33" i="53"/>
  <c r="J6" i="53"/>
  <c r="H8" i="53"/>
  <c r="J20" i="53"/>
  <c r="H114" i="53"/>
  <c r="J53" i="53"/>
  <c r="K118" i="53"/>
  <c r="J31" i="53"/>
  <c r="I62" i="53"/>
  <c r="G99" i="53"/>
  <c r="G12" i="53"/>
  <c r="L118" i="53"/>
  <c r="L30" i="53"/>
  <c r="J50" i="53"/>
  <c r="K87" i="53"/>
  <c r="L80" i="53"/>
  <c r="K96" i="53"/>
  <c r="L68" i="53"/>
  <c r="H31" i="53"/>
  <c r="H91" i="53"/>
  <c r="J114" i="53"/>
  <c r="J82" i="53"/>
  <c r="L81" i="53"/>
  <c r="G35" i="53"/>
  <c r="K99" i="53"/>
  <c r="H87" i="53"/>
  <c r="J47" i="53"/>
  <c r="I40" i="53"/>
  <c r="G82" i="53"/>
  <c r="K101" i="53"/>
  <c r="J97" i="53"/>
  <c r="J21" i="53"/>
  <c r="L47" i="53"/>
  <c r="K67" i="53"/>
  <c r="L64" i="53"/>
  <c r="L89" i="53"/>
  <c r="L36" i="53"/>
  <c r="J99" i="53"/>
  <c r="L88" i="53"/>
  <c r="J40" i="53"/>
  <c r="I39" i="53"/>
  <c r="G76" i="53"/>
  <c r="H100" i="53"/>
  <c r="L94" i="53"/>
  <c r="L116" i="53"/>
  <c r="J38" i="53"/>
  <c r="H66" i="53"/>
  <c r="L32" i="53"/>
  <c r="K64" i="53"/>
  <c r="K34" i="53"/>
  <c r="L112" i="53"/>
  <c r="L72" i="53"/>
  <c r="H33" i="53"/>
  <c r="I104" i="53"/>
  <c r="I22" i="53"/>
  <c r="G59" i="53"/>
  <c r="K69" i="53"/>
  <c r="J85" i="53"/>
  <c r="K113" i="53"/>
  <c r="J18" i="53"/>
  <c r="K55" i="53"/>
  <c r="K30" i="53"/>
  <c r="J19" i="53"/>
  <c r="H19" i="53"/>
  <c r="L109" i="53"/>
  <c r="L40" i="53"/>
  <c r="H7" i="53"/>
  <c r="I103" i="53"/>
  <c r="I16" i="53"/>
  <c r="G58" i="53"/>
  <c r="H68" i="53"/>
  <c r="J65" i="53"/>
  <c r="J102" i="53"/>
  <c r="L15" i="53"/>
  <c r="K35" i="53"/>
  <c r="K11" i="53"/>
  <c r="L17" i="53"/>
  <c r="J95" i="53"/>
  <c r="K84" i="53"/>
  <c r="K38" i="53"/>
  <c r="H13" i="53"/>
  <c r="I86" i="53"/>
  <c r="H115" i="53"/>
  <c r="G36" i="53"/>
  <c r="K57" i="53"/>
  <c r="L62" i="53"/>
  <c r="H34" i="53"/>
  <c r="K90" i="53"/>
  <c r="L29" i="53"/>
  <c r="I80" i="53"/>
  <c r="K37" i="53"/>
  <c r="L79" i="53"/>
  <c r="H79" i="53"/>
  <c r="J27" i="53"/>
  <c r="L187" i="54" l="1"/>
  <c r="L223" i="54"/>
  <c r="L186" i="54"/>
  <c r="L214" i="54"/>
  <c r="L229" i="54"/>
  <c r="L206" i="54"/>
  <c r="M177" i="54"/>
  <c r="M227" i="54" s="1"/>
  <c r="M6" i="54"/>
  <c r="M44" i="54"/>
  <c r="L200" i="54"/>
  <c r="L210" i="54"/>
  <c r="L212" i="54"/>
  <c r="L219" i="54"/>
  <c r="L195" i="54"/>
  <c r="L217" i="54"/>
  <c r="L198" i="54"/>
  <c r="L208" i="54"/>
  <c r="L220" i="54"/>
  <c r="L190" i="54"/>
  <c r="L205" i="54"/>
  <c r="L204" i="54"/>
  <c r="L216" i="54"/>
  <c r="L193" i="54"/>
  <c r="L207" i="54"/>
  <c r="L213" i="54"/>
  <c r="L201" i="54"/>
  <c r="L202" i="54"/>
  <c r="L215" i="54"/>
  <c r="L209" i="54"/>
  <c r="M4" i="54"/>
  <c r="M178" i="54" s="1"/>
  <c r="M228" i="54" s="1"/>
  <c r="O26" i="53"/>
  <c r="Q26" i="53"/>
  <c r="Q21" i="53"/>
  <c r="P21" i="53"/>
  <c r="T21" i="53"/>
  <c r="S21" i="53"/>
  <c r="S26" i="53"/>
  <c r="P26" i="53"/>
  <c r="R26" i="53"/>
  <c r="R21" i="53"/>
  <c r="T26" i="53"/>
  <c r="O21" i="53"/>
  <c r="M2" i="53"/>
  <c r="M1" i="53"/>
  <c r="L200" i="51"/>
  <c r="M51" i="53"/>
  <c r="M13" i="53"/>
  <c r="M65" i="53"/>
  <c r="M11" i="53"/>
  <c r="M43" i="53"/>
  <c r="M107" i="53"/>
  <c r="M19" i="53"/>
  <c r="M102" i="53"/>
  <c r="M14" i="53"/>
  <c r="M71" i="53"/>
  <c r="M36" i="53"/>
  <c r="M68" i="53"/>
  <c r="M100" i="53"/>
  <c r="M34" i="53"/>
  <c r="M66" i="53"/>
  <c r="M69" i="53"/>
  <c r="M18" i="53"/>
  <c r="M79" i="53"/>
  <c r="M37" i="53"/>
  <c r="M45" i="53"/>
  <c r="M109" i="53"/>
  <c r="M35" i="53"/>
  <c r="M106" i="53"/>
  <c r="M17" i="53"/>
  <c r="M73" i="53"/>
  <c r="M40" i="53"/>
  <c r="M72" i="53"/>
  <c r="M104" i="53"/>
  <c r="M38" i="53"/>
  <c r="M70" i="53"/>
  <c r="M31" i="53"/>
  <c r="M95" i="53"/>
  <c r="M61" i="53"/>
  <c r="M82" i="53"/>
  <c r="M25" i="53"/>
  <c r="M80" i="53"/>
  <c r="M114" i="53"/>
  <c r="M28" i="53"/>
  <c r="M26" i="53"/>
  <c r="M3" i="53"/>
  <c r="M29" i="53"/>
  <c r="M98" i="53"/>
  <c r="M32" i="53"/>
  <c r="M30" i="53"/>
  <c r="M85" i="53"/>
  <c r="M21" i="53"/>
  <c r="M81" i="53"/>
  <c r="M83" i="53"/>
  <c r="M59" i="53"/>
  <c r="M112" i="53"/>
  <c r="M78" i="53"/>
  <c r="M110" i="53"/>
  <c r="M22" i="53"/>
  <c r="M87" i="53"/>
  <c r="M44" i="53"/>
  <c r="M76" i="53"/>
  <c r="M108" i="53"/>
  <c r="M42" i="53"/>
  <c r="M74" i="53"/>
  <c r="M99" i="53"/>
  <c r="M101" i="53"/>
  <c r="M117" i="53"/>
  <c r="M118" i="53"/>
  <c r="M89" i="53"/>
  <c r="M48" i="53"/>
  <c r="M46" i="53"/>
  <c r="M92" i="53"/>
  <c r="M63" i="53"/>
  <c r="M93" i="53"/>
  <c r="M9" i="53"/>
  <c r="M64" i="53"/>
  <c r="M62" i="53"/>
  <c r="M8" i="53"/>
  <c r="M33" i="53"/>
  <c r="M97" i="53"/>
  <c r="M116" i="53"/>
  <c r="M75" i="53"/>
  <c r="M4" i="53"/>
  <c r="M86" i="53"/>
  <c r="M53" i="53"/>
  <c r="M39" i="53"/>
  <c r="M103" i="53"/>
  <c r="M52" i="53"/>
  <c r="M84" i="53"/>
  <c r="M111" i="53"/>
  <c r="M50" i="53"/>
  <c r="M24" i="53"/>
  <c r="M47" i="53"/>
  <c r="M7" i="53"/>
  <c r="M16" i="53"/>
  <c r="M77" i="53"/>
  <c r="M12" i="53"/>
  <c r="M90" i="53"/>
  <c r="M67" i="53"/>
  <c r="M41" i="53"/>
  <c r="M105" i="53"/>
  <c r="M56" i="53"/>
  <c r="M88" i="53"/>
  <c r="M113" i="53"/>
  <c r="M54" i="53"/>
  <c r="M5" i="53"/>
  <c r="M49" i="53"/>
  <c r="M15" i="53"/>
  <c r="M27" i="53"/>
  <c r="M91" i="53"/>
  <c r="M20" i="53"/>
  <c r="M94" i="53"/>
  <c r="M6" i="53"/>
  <c r="M55" i="53"/>
  <c r="M60" i="53"/>
  <c r="M58" i="53"/>
  <c r="M10" i="53"/>
  <c r="M23" i="53"/>
  <c r="M115" i="53"/>
  <c r="M57" i="53"/>
  <c r="M96" i="53"/>
  <c r="M105" i="54" l="1"/>
  <c r="M150" i="54"/>
  <c r="M14" i="54"/>
  <c r="M121" i="54"/>
  <c r="M88" i="54"/>
  <c r="M85" i="54"/>
  <c r="M25" i="54"/>
  <c r="M17" i="54"/>
  <c r="M191" i="54" s="1"/>
  <c r="M38" i="54"/>
  <c r="M96" i="54"/>
  <c r="M118" i="54"/>
  <c r="M75" i="54"/>
  <c r="M103" i="54"/>
  <c r="M122" i="54"/>
  <c r="M128" i="54"/>
  <c r="M5" i="54"/>
  <c r="M184" i="54" s="1"/>
  <c r="M108" i="54"/>
  <c r="M211" i="54" s="1"/>
  <c r="M153" i="54"/>
  <c r="M16" i="54"/>
  <c r="M90" i="54"/>
  <c r="M160" i="54"/>
  <c r="M80" i="54"/>
  <c r="M71" i="54"/>
  <c r="M112" i="54"/>
  <c r="M165" i="54"/>
  <c r="M148" i="54"/>
  <c r="M67" i="54"/>
  <c r="M12" i="54"/>
  <c r="M188" i="54" s="1"/>
  <c r="M13" i="54"/>
  <c r="M189" i="54" s="1"/>
  <c r="M86" i="54"/>
  <c r="M39" i="54"/>
  <c r="M84" i="54"/>
  <c r="M20" i="54"/>
  <c r="M46" i="54"/>
  <c r="M125" i="54"/>
  <c r="M154" i="54"/>
  <c r="M50" i="54"/>
  <c r="M61" i="54"/>
  <c r="M63" i="54"/>
  <c r="M107" i="54"/>
  <c r="M171" i="54"/>
  <c r="M11" i="54"/>
  <c r="M33" i="54"/>
  <c r="M7" i="54"/>
  <c r="M186" i="54" s="1"/>
  <c r="M10" i="54"/>
  <c r="M87" i="54"/>
  <c r="M97" i="54"/>
  <c r="M116" i="54"/>
  <c r="M143" i="54"/>
  <c r="M65" i="54"/>
  <c r="M24" i="54"/>
  <c r="M81" i="54"/>
  <c r="M42" i="54"/>
  <c r="M113" i="54"/>
  <c r="M49" i="54"/>
  <c r="M117" i="54"/>
  <c r="M34" i="54"/>
  <c r="M132" i="54"/>
  <c r="M127" i="54"/>
  <c r="M167" i="54"/>
  <c r="M220" i="54" s="1"/>
  <c r="M94" i="54"/>
  <c r="M126" i="54"/>
  <c r="M158" i="54"/>
  <c r="M218" i="54" s="1"/>
  <c r="M41" i="54"/>
  <c r="M92" i="54"/>
  <c r="M27" i="54"/>
  <c r="M15" i="54"/>
  <c r="M109" i="54"/>
  <c r="M111" i="54"/>
  <c r="M19" i="54"/>
  <c r="M119" i="54"/>
  <c r="M68" i="54"/>
  <c r="M28" i="54"/>
  <c r="M115" i="54"/>
  <c r="M45" i="54"/>
  <c r="M147" i="54"/>
  <c r="M52" i="54"/>
  <c r="M129" i="54"/>
  <c r="M37" i="54"/>
  <c r="M139" i="54"/>
  <c r="M140" i="54"/>
  <c r="M180" i="54"/>
  <c r="M98" i="54"/>
  <c r="M130" i="54"/>
  <c r="M162" i="54"/>
  <c r="M79" i="54"/>
  <c r="M89" i="54"/>
  <c r="M29" i="54"/>
  <c r="M22" i="54"/>
  <c r="M123" i="54"/>
  <c r="M124" i="54"/>
  <c r="M26" i="54"/>
  <c r="M141" i="54"/>
  <c r="M135" i="54"/>
  <c r="M31" i="54"/>
  <c r="M120" i="54"/>
  <c r="M48" i="54"/>
  <c r="M152" i="54"/>
  <c r="M55" i="54"/>
  <c r="M151" i="54"/>
  <c r="M40" i="54"/>
  <c r="M144" i="54"/>
  <c r="M157" i="54"/>
  <c r="M70" i="54"/>
  <c r="M102" i="54"/>
  <c r="M134" i="54"/>
  <c r="M166" i="54"/>
  <c r="M23" i="54"/>
  <c r="M133" i="54"/>
  <c r="M99" i="54"/>
  <c r="M30" i="54"/>
  <c r="M131" i="54"/>
  <c r="M155" i="54"/>
  <c r="M59" i="54"/>
  <c r="M173" i="54"/>
  <c r="M161" i="54"/>
  <c r="M54" i="54"/>
  <c r="M137" i="54"/>
  <c r="M51" i="54"/>
  <c r="M203" i="54" s="1"/>
  <c r="M176" i="54"/>
  <c r="M226" i="54" s="1"/>
  <c r="M69" i="54"/>
  <c r="M156" i="54"/>
  <c r="M43" i="54"/>
  <c r="M149" i="54"/>
  <c r="M159" i="54"/>
  <c r="M74" i="54"/>
  <c r="M106" i="54"/>
  <c r="M138" i="54"/>
  <c r="M170" i="54"/>
  <c r="M222" i="54" s="1"/>
  <c r="M36" i="54"/>
  <c r="M197" i="54" s="1"/>
  <c r="M18" i="54"/>
  <c r="M104" i="54"/>
  <c r="M32" i="54"/>
  <c r="M136" i="54"/>
  <c r="M53" i="54"/>
  <c r="M62" i="54"/>
  <c r="M58" i="54"/>
  <c r="M164" i="54"/>
  <c r="M57" i="54"/>
  <c r="M175" i="54"/>
  <c r="M225" i="54" s="1"/>
  <c r="M73" i="54"/>
  <c r="M179" i="54"/>
  <c r="M76" i="54"/>
  <c r="M168" i="54"/>
  <c r="M66" i="54"/>
  <c r="M93" i="54"/>
  <c r="M172" i="54"/>
  <c r="M223" i="54" s="1"/>
  <c r="M78" i="54"/>
  <c r="M110" i="54"/>
  <c r="M142" i="54"/>
  <c r="M174" i="54"/>
  <c r="M224" i="54" s="1"/>
  <c r="M72" i="54"/>
  <c r="M101" i="54"/>
  <c r="M47" i="54"/>
  <c r="M145" i="54"/>
  <c r="M35" i="54"/>
  <c r="M196" i="54" s="1"/>
  <c r="M163" i="54"/>
  <c r="M56" i="54"/>
  <c r="M64" i="54"/>
  <c r="M77" i="54"/>
  <c r="M181" i="54"/>
  <c r="M60" i="54"/>
  <c r="M8" i="54"/>
  <c r="M91" i="54"/>
  <c r="M21" i="54"/>
  <c r="M100" i="54"/>
  <c r="M9" i="54"/>
  <c r="M83" i="54"/>
  <c r="M95" i="54"/>
  <c r="M169" i="54"/>
  <c r="M221" i="54" s="1"/>
  <c r="M82" i="54"/>
  <c r="M114" i="54"/>
  <c r="M146" i="54"/>
  <c r="N3" i="54"/>
  <c r="M185" i="54"/>
  <c r="M194" i="54"/>
  <c r="I449" i="51"/>
  <c r="H449" i="51"/>
  <c r="G449" i="51"/>
  <c r="F449" i="51"/>
  <c r="E449" i="51"/>
  <c r="D449" i="51"/>
  <c r="C449" i="51"/>
  <c r="I447" i="51"/>
  <c r="H447" i="51"/>
  <c r="G447" i="51"/>
  <c r="F447" i="51"/>
  <c r="E447" i="51"/>
  <c r="D447" i="51"/>
  <c r="C447" i="51"/>
  <c r="I446" i="51"/>
  <c r="H446" i="51"/>
  <c r="G446" i="51"/>
  <c r="F446" i="51"/>
  <c r="E446" i="51"/>
  <c r="D446" i="51"/>
  <c r="C446" i="51"/>
  <c r="I445" i="51"/>
  <c r="H445" i="51"/>
  <c r="G445" i="51"/>
  <c r="F445" i="51"/>
  <c r="E445" i="51"/>
  <c r="D445" i="51"/>
  <c r="C445" i="51"/>
  <c r="I444" i="51"/>
  <c r="H444" i="51"/>
  <c r="G444" i="51"/>
  <c r="F444" i="51"/>
  <c r="E444" i="51"/>
  <c r="D444" i="51"/>
  <c r="C444" i="51"/>
  <c r="I442" i="51"/>
  <c r="H442" i="51"/>
  <c r="G442" i="51"/>
  <c r="F442" i="51"/>
  <c r="E442" i="51"/>
  <c r="D442" i="51"/>
  <c r="C442" i="51"/>
  <c r="I441" i="51"/>
  <c r="H441" i="51"/>
  <c r="G441" i="51"/>
  <c r="F441" i="51"/>
  <c r="E441" i="51"/>
  <c r="D441" i="51"/>
  <c r="C441" i="51"/>
  <c r="I440" i="51"/>
  <c r="H440" i="51"/>
  <c r="G440" i="51"/>
  <c r="F440" i="51"/>
  <c r="E440" i="51"/>
  <c r="D440" i="51"/>
  <c r="C440" i="51"/>
  <c r="I439" i="51"/>
  <c r="H439" i="51"/>
  <c r="G439" i="51"/>
  <c r="F439" i="51"/>
  <c r="E439" i="51"/>
  <c r="D439" i="51"/>
  <c r="C439" i="51"/>
  <c r="I437" i="51"/>
  <c r="H437" i="51"/>
  <c r="G437" i="51"/>
  <c r="F437" i="51"/>
  <c r="E437" i="51"/>
  <c r="D437" i="51"/>
  <c r="C437" i="51"/>
  <c r="I436" i="51"/>
  <c r="H436" i="51"/>
  <c r="G436" i="51"/>
  <c r="F436" i="51"/>
  <c r="E436" i="51"/>
  <c r="D436" i="51"/>
  <c r="C436" i="51"/>
  <c r="I435" i="51"/>
  <c r="H435" i="51"/>
  <c r="G435" i="51"/>
  <c r="F435" i="51"/>
  <c r="E435" i="51"/>
  <c r="D435" i="51"/>
  <c r="C435" i="51"/>
  <c r="I434" i="51"/>
  <c r="H434" i="51"/>
  <c r="G434" i="51"/>
  <c r="F434" i="51"/>
  <c r="E434" i="51"/>
  <c r="D434" i="51"/>
  <c r="C434" i="51"/>
  <c r="I432" i="51"/>
  <c r="H432" i="51"/>
  <c r="G432" i="51"/>
  <c r="F432" i="51"/>
  <c r="E432" i="51"/>
  <c r="D432" i="51"/>
  <c r="C432" i="51"/>
  <c r="I430" i="51"/>
  <c r="H430" i="51"/>
  <c r="G430" i="51"/>
  <c r="F430" i="51"/>
  <c r="E430" i="51"/>
  <c r="D430" i="51"/>
  <c r="C430" i="51"/>
  <c r="I429" i="51"/>
  <c r="H429" i="51"/>
  <c r="G429" i="51"/>
  <c r="F429" i="51"/>
  <c r="E429" i="51"/>
  <c r="D429" i="51"/>
  <c r="C429" i="51"/>
  <c r="I428" i="51"/>
  <c r="H428" i="51"/>
  <c r="G428" i="51"/>
  <c r="F428" i="51"/>
  <c r="E428" i="51"/>
  <c r="D428" i="51"/>
  <c r="C428" i="51"/>
  <c r="I427" i="51"/>
  <c r="H427" i="51"/>
  <c r="G427" i="51"/>
  <c r="F427" i="51"/>
  <c r="E427" i="51"/>
  <c r="D427" i="51"/>
  <c r="C427" i="51"/>
  <c r="I425" i="51"/>
  <c r="H425" i="51"/>
  <c r="G425" i="51"/>
  <c r="F425" i="51"/>
  <c r="E425" i="51"/>
  <c r="D425" i="51"/>
  <c r="C425" i="51"/>
  <c r="I424" i="51"/>
  <c r="H424" i="51"/>
  <c r="G424" i="51"/>
  <c r="F424" i="51"/>
  <c r="E424" i="51"/>
  <c r="D424" i="51"/>
  <c r="C424" i="51"/>
  <c r="I423" i="51"/>
  <c r="H423" i="51"/>
  <c r="G423" i="51"/>
  <c r="F423" i="51"/>
  <c r="E423" i="51"/>
  <c r="D423" i="51"/>
  <c r="C423" i="51"/>
  <c r="I422" i="51"/>
  <c r="H422" i="51"/>
  <c r="G422" i="51"/>
  <c r="F422" i="51"/>
  <c r="E422" i="51"/>
  <c r="D422" i="51"/>
  <c r="C422" i="51"/>
  <c r="I420" i="51"/>
  <c r="H420" i="51"/>
  <c r="G420" i="51"/>
  <c r="F420" i="51"/>
  <c r="E420" i="51"/>
  <c r="D420" i="51"/>
  <c r="C420" i="51"/>
  <c r="I419" i="51"/>
  <c r="H419" i="51"/>
  <c r="G419" i="51"/>
  <c r="F419" i="51"/>
  <c r="E419" i="51"/>
  <c r="D419" i="51"/>
  <c r="C419" i="51"/>
  <c r="I418" i="51"/>
  <c r="H418" i="51"/>
  <c r="G418" i="51"/>
  <c r="F418" i="51"/>
  <c r="E418" i="51"/>
  <c r="D418" i="51"/>
  <c r="C418" i="51"/>
  <c r="I417" i="51"/>
  <c r="H417" i="51"/>
  <c r="G417" i="51"/>
  <c r="F417" i="51"/>
  <c r="E417" i="51"/>
  <c r="D417" i="51"/>
  <c r="C417" i="51"/>
  <c r="I415" i="51"/>
  <c r="H415" i="51"/>
  <c r="G415" i="51"/>
  <c r="F415" i="51"/>
  <c r="E415" i="51"/>
  <c r="D415" i="51"/>
  <c r="C415" i="51"/>
  <c r="I414" i="51"/>
  <c r="H414" i="51"/>
  <c r="G414" i="51"/>
  <c r="F414" i="51"/>
  <c r="E414" i="51"/>
  <c r="D414" i="51"/>
  <c r="C414" i="51"/>
  <c r="I413" i="51"/>
  <c r="H413" i="51"/>
  <c r="G413" i="51"/>
  <c r="F413" i="51"/>
  <c r="E413" i="51"/>
  <c r="D413" i="51"/>
  <c r="C413" i="51"/>
  <c r="I412" i="51"/>
  <c r="H412" i="51"/>
  <c r="G412" i="51"/>
  <c r="F412" i="51"/>
  <c r="E412" i="51"/>
  <c r="D412" i="51"/>
  <c r="C412" i="51"/>
  <c r="I410" i="51"/>
  <c r="H410" i="51"/>
  <c r="G410" i="51"/>
  <c r="F410" i="51"/>
  <c r="E410" i="51"/>
  <c r="D410" i="51"/>
  <c r="C410" i="51"/>
  <c r="I409" i="51"/>
  <c r="H409" i="51"/>
  <c r="G409" i="51"/>
  <c r="F409" i="51"/>
  <c r="E409" i="51"/>
  <c r="D409" i="51"/>
  <c r="C409" i="51"/>
  <c r="I408" i="51"/>
  <c r="H408" i="51"/>
  <c r="G408" i="51"/>
  <c r="F408" i="51"/>
  <c r="E408" i="51"/>
  <c r="D408" i="51"/>
  <c r="C408" i="51"/>
  <c r="I407" i="51"/>
  <c r="H407" i="51"/>
  <c r="G407" i="51"/>
  <c r="F407" i="51"/>
  <c r="E407" i="51"/>
  <c r="D407" i="51"/>
  <c r="C407" i="51"/>
  <c r="I405" i="51"/>
  <c r="H405" i="51"/>
  <c r="G405" i="51"/>
  <c r="F405" i="51"/>
  <c r="E405" i="51"/>
  <c r="D405" i="51"/>
  <c r="C405" i="51"/>
  <c r="I404" i="51"/>
  <c r="H404" i="51"/>
  <c r="G404" i="51"/>
  <c r="F404" i="51"/>
  <c r="E404" i="51"/>
  <c r="D404" i="51"/>
  <c r="C404" i="51"/>
  <c r="I403" i="51"/>
  <c r="H403" i="51"/>
  <c r="G403" i="51"/>
  <c r="F403" i="51"/>
  <c r="E403" i="51"/>
  <c r="D403" i="51"/>
  <c r="C403" i="51"/>
  <c r="I402" i="51"/>
  <c r="H402" i="51"/>
  <c r="G402" i="51"/>
  <c r="F402" i="51"/>
  <c r="E402" i="51"/>
  <c r="D402" i="51"/>
  <c r="C402" i="51"/>
  <c r="I400" i="51"/>
  <c r="H400" i="51"/>
  <c r="G400" i="51"/>
  <c r="F400" i="51"/>
  <c r="E400" i="51"/>
  <c r="D400" i="51"/>
  <c r="C400" i="51"/>
  <c r="I399" i="51"/>
  <c r="H399" i="51"/>
  <c r="G399" i="51"/>
  <c r="F399" i="51"/>
  <c r="E399" i="51"/>
  <c r="D399" i="51"/>
  <c r="C399" i="51"/>
  <c r="I398" i="51"/>
  <c r="H398" i="51"/>
  <c r="G398" i="51"/>
  <c r="F398" i="51"/>
  <c r="E398" i="51"/>
  <c r="D398" i="51"/>
  <c r="C398" i="51"/>
  <c r="I397" i="51"/>
  <c r="H397" i="51"/>
  <c r="G397" i="51"/>
  <c r="F397" i="51"/>
  <c r="E397" i="51"/>
  <c r="D397" i="51"/>
  <c r="C397" i="51"/>
  <c r="I395" i="51"/>
  <c r="H395" i="51"/>
  <c r="G395" i="51"/>
  <c r="F395" i="51"/>
  <c r="E395" i="51"/>
  <c r="D395" i="51"/>
  <c r="C395" i="51"/>
  <c r="I394" i="51"/>
  <c r="H394" i="51"/>
  <c r="G394" i="51"/>
  <c r="F394" i="51"/>
  <c r="E394" i="51"/>
  <c r="D394" i="51"/>
  <c r="C394" i="51"/>
  <c r="I393" i="51"/>
  <c r="H393" i="51"/>
  <c r="G393" i="51"/>
  <c r="F393" i="51"/>
  <c r="E393" i="51"/>
  <c r="D393" i="51"/>
  <c r="C393" i="51"/>
  <c r="I392" i="51"/>
  <c r="H392" i="51"/>
  <c r="G392" i="51"/>
  <c r="F392" i="51"/>
  <c r="E392" i="51"/>
  <c r="D392" i="51"/>
  <c r="C392" i="51"/>
  <c r="I390" i="51"/>
  <c r="H390" i="51"/>
  <c r="G390" i="51"/>
  <c r="F390" i="51"/>
  <c r="E390" i="51"/>
  <c r="D390" i="51"/>
  <c r="C390" i="51"/>
  <c r="I389" i="51"/>
  <c r="H389" i="51"/>
  <c r="G389" i="51"/>
  <c r="F389" i="51"/>
  <c r="E389" i="51"/>
  <c r="D389" i="51"/>
  <c r="C389" i="51"/>
  <c r="I388" i="51"/>
  <c r="H388" i="51"/>
  <c r="G388" i="51"/>
  <c r="F388" i="51"/>
  <c r="E388" i="51"/>
  <c r="D388" i="51"/>
  <c r="C388" i="51"/>
  <c r="I387" i="51"/>
  <c r="H387" i="51"/>
  <c r="G387" i="51"/>
  <c r="F387" i="51"/>
  <c r="E387" i="51"/>
  <c r="D387" i="51"/>
  <c r="C387" i="51"/>
  <c r="I385" i="51"/>
  <c r="H385" i="51"/>
  <c r="G385" i="51"/>
  <c r="F385" i="51"/>
  <c r="E385" i="51"/>
  <c r="D385" i="51"/>
  <c r="C385" i="51"/>
  <c r="I383" i="51"/>
  <c r="H383" i="51"/>
  <c r="G383" i="51"/>
  <c r="F383" i="51"/>
  <c r="E383" i="51"/>
  <c r="D383" i="51"/>
  <c r="C383" i="51"/>
  <c r="I382" i="51"/>
  <c r="H382" i="51"/>
  <c r="G382" i="51"/>
  <c r="F382" i="51"/>
  <c r="E382" i="51"/>
  <c r="D382" i="51"/>
  <c r="C382" i="51"/>
  <c r="I381" i="51"/>
  <c r="H381" i="51"/>
  <c r="G381" i="51"/>
  <c r="F381" i="51"/>
  <c r="E381" i="51"/>
  <c r="D381" i="51"/>
  <c r="C381" i="51"/>
  <c r="I380" i="51"/>
  <c r="H380" i="51"/>
  <c r="G380" i="51"/>
  <c r="F380" i="51"/>
  <c r="E380" i="51"/>
  <c r="D380" i="51"/>
  <c r="C380" i="51"/>
  <c r="I378" i="51"/>
  <c r="H378" i="51"/>
  <c r="G378" i="51"/>
  <c r="F378" i="51"/>
  <c r="E378" i="51"/>
  <c r="D378" i="51"/>
  <c r="C378" i="51"/>
  <c r="I377" i="51"/>
  <c r="H377" i="51"/>
  <c r="G377" i="51"/>
  <c r="F377" i="51"/>
  <c r="E377" i="51"/>
  <c r="D377" i="51"/>
  <c r="C377" i="51"/>
  <c r="I376" i="51"/>
  <c r="H376" i="51"/>
  <c r="G376" i="51"/>
  <c r="F376" i="51"/>
  <c r="E376" i="51"/>
  <c r="D376" i="51"/>
  <c r="C376" i="51"/>
  <c r="I375" i="51"/>
  <c r="H375" i="51"/>
  <c r="G375" i="51"/>
  <c r="F375" i="51"/>
  <c r="E375" i="51"/>
  <c r="D375" i="51"/>
  <c r="C375" i="51"/>
  <c r="I373" i="51"/>
  <c r="H373" i="51"/>
  <c r="G373" i="51"/>
  <c r="F373" i="51"/>
  <c r="E373" i="51"/>
  <c r="D373" i="51"/>
  <c r="C373" i="51"/>
  <c r="I372" i="51"/>
  <c r="H372" i="51"/>
  <c r="G372" i="51"/>
  <c r="F372" i="51"/>
  <c r="E372" i="51"/>
  <c r="D372" i="51"/>
  <c r="C372" i="51"/>
  <c r="I371" i="51"/>
  <c r="H371" i="51"/>
  <c r="G371" i="51"/>
  <c r="F371" i="51"/>
  <c r="E371" i="51"/>
  <c r="D371" i="51"/>
  <c r="C371" i="51"/>
  <c r="I370" i="51"/>
  <c r="H370" i="51"/>
  <c r="G370" i="51"/>
  <c r="F370" i="51"/>
  <c r="E370" i="51"/>
  <c r="D370" i="51"/>
  <c r="C370" i="51"/>
  <c r="I368" i="51"/>
  <c r="H368" i="51"/>
  <c r="G368" i="51"/>
  <c r="F368" i="51"/>
  <c r="E368" i="51"/>
  <c r="D368" i="51"/>
  <c r="C368" i="51"/>
  <c r="I367" i="51"/>
  <c r="H367" i="51"/>
  <c r="G367" i="51"/>
  <c r="F367" i="51"/>
  <c r="E367" i="51"/>
  <c r="D367" i="51"/>
  <c r="C367" i="51"/>
  <c r="I366" i="51"/>
  <c r="H366" i="51"/>
  <c r="G366" i="51"/>
  <c r="F366" i="51"/>
  <c r="E366" i="51"/>
  <c r="D366" i="51"/>
  <c r="C366" i="51"/>
  <c r="I365" i="51"/>
  <c r="H365" i="51"/>
  <c r="G365" i="51"/>
  <c r="F365" i="51"/>
  <c r="E365" i="51"/>
  <c r="D365" i="51"/>
  <c r="C365" i="51"/>
  <c r="I363" i="51"/>
  <c r="H363" i="51"/>
  <c r="G363" i="51"/>
  <c r="F363" i="51"/>
  <c r="E363" i="51"/>
  <c r="D363" i="51"/>
  <c r="C363" i="51"/>
  <c r="I362" i="51"/>
  <c r="H362" i="51"/>
  <c r="G362" i="51"/>
  <c r="F362" i="51"/>
  <c r="E362" i="51"/>
  <c r="D362" i="51"/>
  <c r="C362" i="51"/>
  <c r="I361" i="51"/>
  <c r="H361" i="51"/>
  <c r="G361" i="51"/>
  <c r="F361" i="51"/>
  <c r="E361" i="51"/>
  <c r="D361" i="51"/>
  <c r="C361" i="51"/>
  <c r="I360" i="51"/>
  <c r="H360" i="51"/>
  <c r="G360" i="51"/>
  <c r="F360" i="51"/>
  <c r="E360" i="51"/>
  <c r="D360" i="51"/>
  <c r="C360" i="51"/>
  <c r="I358" i="51"/>
  <c r="H358" i="51"/>
  <c r="G358" i="51"/>
  <c r="F358" i="51"/>
  <c r="E358" i="51"/>
  <c r="D358" i="51"/>
  <c r="C358" i="51"/>
  <c r="I357" i="51"/>
  <c r="H357" i="51"/>
  <c r="G357" i="51"/>
  <c r="F357" i="51"/>
  <c r="E357" i="51"/>
  <c r="D357" i="51"/>
  <c r="C357" i="51"/>
  <c r="I356" i="51"/>
  <c r="H356" i="51"/>
  <c r="G356" i="51"/>
  <c r="F356" i="51"/>
  <c r="E356" i="51"/>
  <c r="D356" i="51"/>
  <c r="C356" i="51"/>
  <c r="I355" i="51"/>
  <c r="H355" i="51"/>
  <c r="G355" i="51"/>
  <c r="F355" i="51"/>
  <c r="E355" i="51"/>
  <c r="D355" i="51"/>
  <c r="C355" i="51"/>
  <c r="I353" i="51"/>
  <c r="H353" i="51"/>
  <c r="G353" i="51"/>
  <c r="F353" i="51"/>
  <c r="E353" i="51"/>
  <c r="D353" i="51"/>
  <c r="C353" i="51"/>
  <c r="I352" i="51"/>
  <c r="H352" i="51"/>
  <c r="G352" i="51"/>
  <c r="F352" i="51"/>
  <c r="E352" i="51"/>
  <c r="D352" i="51"/>
  <c r="C352" i="51"/>
  <c r="I351" i="51"/>
  <c r="H351" i="51"/>
  <c r="G351" i="51"/>
  <c r="F351" i="51"/>
  <c r="E351" i="51"/>
  <c r="D351" i="51"/>
  <c r="C351" i="51"/>
  <c r="I350" i="51"/>
  <c r="H350" i="51"/>
  <c r="G350" i="51"/>
  <c r="F350" i="51"/>
  <c r="E350" i="51"/>
  <c r="D350" i="51"/>
  <c r="C350" i="51"/>
  <c r="I348" i="51"/>
  <c r="H348" i="51"/>
  <c r="G348" i="51"/>
  <c r="F348" i="51"/>
  <c r="E348" i="51"/>
  <c r="D348" i="51"/>
  <c r="C348" i="51"/>
  <c r="I347" i="51"/>
  <c r="H347" i="51"/>
  <c r="G347" i="51"/>
  <c r="F347" i="51"/>
  <c r="E347" i="51"/>
  <c r="D347" i="51"/>
  <c r="C347" i="51"/>
  <c r="I346" i="51"/>
  <c r="H346" i="51"/>
  <c r="G346" i="51"/>
  <c r="F346" i="51"/>
  <c r="E346" i="51"/>
  <c r="D346" i="51"/>
  <c r="C346" i="51"/>
  <c r="I345" i="51"/>
  <c r="H345" i="51"/>
  <c r="G345" i="51"/>
  <c r="F345" i="51"/>
  <c r="E345" i="51"/>
  <c r="D345" i="51"/>
  <c r="C345" i="51"/>
  <c r="I343" i="51"/>
  <c r="H343" i="51"/>
  <c r="G343" i="51"/>
  <c r="F343" i="51"/>
  <c r="E343" i="51"/>
  <c r="D343" i="51"/>
  <c r="C343" i="51"/>
  <c r="I341" i="51"/>
  <c r="H341" i="51"/>
  <c r="G341" i="51"/>
  <c r="F341" i="51"/>
  <c r="E341" i="51"/>
  <c r="D341" i="51"/>
  <c r="C341" i="51"/>
  <c r="I340" i="51"/>
  <c r="H340" i="51"/>
  <c r="G340" i="51"/>
  <c r="F340" i="51"/>
  <c r="E340" i="51"/>
  <c r="D340" i="51"/>
  <c r="C340" i="51"/>
  <c r="I339" i="51"/>
  <c r="H339" i="51"/>
  <c r="G339" i="51"/>
  <c r="F339" i="51"/>
  <c r="E339" i="51"/>
  <c r="D339" i="51"/>
  <c r="C339" i="51"/>
  <c r="I338" i="51"/>
  <c r="H338" i="51"/>
  <c r="G338" i="51"/>
  <c r="F338" i="51"/>
  <c r="E338" i="51"/>
  <c r="D338" i="51"/>
  <c r="C338" i="51"/>
  <c r="I336" i="51"/>
  <c r="H336" i="51"/>
  <c r="G336" i="51"/>
  <c r="F336" i="51"/>
  <c r="E336" i="51"/>
  <c r="D336" i="51"/>
  <c r="C336" i="51"/>
  <c r="I335" i="51"/>
  <c r="H335" i="51"/>
  <c r="G335" i="51"/>
  <c r="F335" i="51"/>
  <c r="E335" i="51"/>
  <c r="D335" i="51"/>
  <c r="C335" i="51"/>
  <c r="I334" i="51"/>
  <c r="H334" i="51"/>
  <c r="G334" i="51"/>
  <c r="F334" i="51"/>
  <c r="E334" i="51"/>
  <c r="D334" i="51"/>
  <c r="C334" i="51"/>
  <c r="I333" i="51"/>
  <c r="H333" i="51"/>
  <c r="G333" i="51"/>
  <c r="F333" i="51"/>
  <c r="E333" i="51"/>
  <c r="D333" i="51"/>
  <c r="C333" i="51"/>
  <c r="I331" i="51"/>
  <c r="H331" i="51"/>
  <c r="G331" i="51"/>
  <c r="F331" i="51"/>
  <c r="E331" i="51"/>
  <c r="D331" i="51"/>
  <c r="C331" i="51"/>
  <c r="I330" i="51"/>
  <c r="H330" i="51"/>
  <c r="G330" i="51"/>
  <c r="F330" i="51"/>
  <c r="E330" i="51"/>
  <c r="D330" i="51"/>
  <c r="C330" i="51"/>
  <c r="I329" i="51"/>
  <c r="H329" i="51"/>
  <c r="G329" i="51"/>
  <c r="F329" i="51"/>
  <c r="E329" i="51"/>
  <c r="D329" i="51"/>
  <c r="C329" i="51"/>
  <c r="I328" i="51"/>
  <c r="H328" i="51"/>
  <c r="G328" i="51"/>
  <c r="F328" i="51"/>
  <c r="E328" i="51"/>
  <c r="D328" i="51"/>
  <c r="C328" i="51"/>
  <c r="I326" i="51"/>
  <c r="H326" i="51"/>
  <c r="G326" i="51"/>
  <c r="F326" i="51"/>
  <c r="E326" i="51"/>
  <c r="D326" i="51"/>
  <c r="C326" i="51"/>
  <c r="I325" i="51"/>
  <c r="H325" i="51"/>
  <c r="G325" i="51"/>
  <c r="F325" i="51"/>
  <c r="E325" i="51"/>
  <c r="D325" i="51"/>
  <c r="C325" i="51"/>
  <c r="I324" i="51"/>
  <c r="H324" i="51"/>
  <c r="G324" i="51"/>
  <c r="F324" i="51"/>
  <c r="E324" i="51"/>
  <c r="D324" i="51"/>
  <c r="C324" i="51"/>
  <c r="I323" i="51"/>
  <c r="H323" i="51"/>
  <c r="G323" i="51"/>
  <c r="F323" i="51"/>
  <c r="E323" i="51"/>
  <c r="D323" i="51"/>
  <c r="C323" i="51"/>
  <c r="I321" i="51"/>
  <c r="H321" i="51"/>
  <c r="G321" i="51"/>
  <c r="F321" i="51"/>
  <c r="E321" i="51"/>
  <c r="D321" i="51"/>
  <c r="C321" i="51"/>
  <c r="I319" i="51"/>
  <c r="H319" i="51"/>
  <c r="G319" i="51"/>
  <c r="F319" i="51"/>
  <c r="E319" i="51"/>
  <c r="D319" i="51"/>
  <c r="C319" i="51"/>
  <c r="I317" i="51"/>
  <c r="H317" i="51"/>
  <c r="G317" i="51"/>
  <c r="F317" i="51"/>
  <c r="E317" i="51"/>
  <c r="D317" i="51"/>
  <c r="C317" i="51"/>
  <c r="I316" i="51"/>
  <c r="H316" i="51"/>
  <c r="G316" i="51"/>
  <c r="F316" i="51"/>
  <c r="E316" i="51"/>
  <c r="D316" i="51"/>
  <c r="C316" i="51"/>
  <c r="I315" i="51"/>
  <c r="H315" i="51"/>
  <c r="G315" i="51"/>
  <c r="F315" i="51"/>
  <c r="E315" i="51"/>
  <c r="D315" i="51"/>
  <c r="C315" i="51"/>
  <c r="I314" i="51"/>
  <c r="H314" i="51"/>
  <c r="G314" i="51"/>
  <c r="F314" i="51"/>
  <c r="E314" i="51"/>
  <c r="D314" i="51"/>
  <c r="C314" i="51"/>
  <c r="I312" i="51"/>
  <c r="H312" i="51"/>
  <c r="G312" i="51"/>
  <c r="F312" i="51"/>
  <c r="E312" i="51"/>
  <c r="D312" i="51"/>
  <c r="C312" i="51"/>
  <c r="I311" i="51"/>
  <c r="H311" i="51"/>
  <c r="G311" i="51"/>
  <c r="F311" i="51"/>
  <c r="E311" i="51"/>
  <c r="D311" i="51"/>
  <c r="C311" i="51"/>
  <c r="I310" i="51"/>
  <c r="H310" i="51"/>
  <c r="G310" i="51"/>
  <c r="F310" i="51"/>
  <c r="E310" i="51"/>
  <c r="D310" i="51"/>
  <c r="C310" i="51"/>
  <c r="I309" i="51"/>
  <c r="H309" i="51"/>
  <c r="G309" i="51"/>
  <c r="F309" i="51"/>
  <c r="E309" i="51"/>
  <c r="D309" i="51"/>
  <c r="C309" i="51"/>
  <c r="I307" i="51"/>
  <c r="H307" i="51"/>
  <c r="G307" i="51"/>
  <c r="F307" i="51"/>
  <c r="E307" i="51"/>
  <c r="D307" i="51"/>
  <c r="C307" i="51"/>
  <c r="I306" i="51"/>
  <c r="H306" i="51"/>
  <c r="G306" i="51"/>
  <c r="F306" i="51"/>
  <c r="E306" i="51"/>
  <c r="D306" i="51"/>
  <c r="C306" i="51"/>
  <c r="I305" i="51"/>
  <c r="H305" i="51"/>
  <c r="G305" i="51"/>
  <c r="F305" i="51"/>
  <c r="E305" i="51"/>
  <c r="D305" i="51"/>
  <c r="C305" i="51"/>
  <c r="I304" i="51"/>
  <c r="H304" i="51"/>
  <c r="G304" i="51"/>
  <c r="F304" i="51"/>
  <c r="E304" i="51"/>
  <c r="D304" i="51"/>
  <c r="C304" i="51"/>
  <c r="I302" i="51"/>
  <c r="H302" i="51"/>
  <c r="G302" i="51"/>
  <c r="F302" i="51"/>
  <c r="E302" i="51"/>
  <c r="D302" i="51"/>
  <c r="C302" i="51"/>
  <c r="I301" i="51"/>
  <c r="H301" i="51"/>
  <c r="G301" i="51"/>
  <c r="F301" i="51"/>
  <c r="E301" i="51"/>
  <c r="D301" i="51"/>
  <c r="C301" i="51"/>
  <c r="I300" i="51"/>
  <c r="H300" i="51"/>
  <c r="G300" i="51"/>
  <c r="F300" i="51"/>
  <c r="E300" i="51"/>
  <c r="D300" i="51"/>
  <c r="C300" i="51"/>
  <c r="I299" i="51"/>
  <c r="H299" i="51"/>
  <c r="G299" i="51"/>
  <c r="F299" i="51"/>
  <c r="E299" i="51"/>
  <c r="D299" i="51"/>
  <c r="C299" i="51"/>
  <c r="I297" i="51"/>
  <c r="H297" i="51"/>
  <c r="G297" i="51"/>
  <c r="F297" i="51"/>
  <c r="E297" i="51"/>
  <c r="D297" i="51"/>
  <c r="C297" i="51"/>
  <c r="I296" i="51"/>
  <c r="H296" i="51"/>
  <c r="G296" i="51"/>
  <c r="F296" i="51"/>
  <c r="E296" i="51"/>
  <c r="D296" i="51"/>
  <c r="C296" i="51"/>
  <c r="I295" i="51"/>
  <c r="H295" i="51"/>
  <c r="G295" i="51"/>
  <c r="F295" i="51"/>
  <c r="E295" i="51"/>
  <c r="D295" i="51"/>
  <c r="C295" i="51"/>
  <c r="I294" i="51"/>
  <c r="H294" i="51"/>
  <c r="G294" i="51"/>
  <c r="F294" i="51"/>
  <c r="E294" i="51"/>
  <c r="D294" i="51"/>
  <c r="C294" i="51"/>
  <c r="I292" i="51"/>
  <c r="H292" i="51"/>
  <c r="G292" i="51"/>
  <c r="F292" i="51"/>
  <c r="E292" i="51"/>
  <c r="D292" i="51"/>
  <c r="C292" i="51"/>
  <c r="I291" i="51"/>
  <c r="H291" i="51"/>
  <c r="G291" i="51"/>
  <c r="F291" i="51"/>
  <c r="E291" i="51"/>
  <c r="D291" i="51"/>
  <c r="C291" i="51"/>
  <c r="I290" i="51"/>
  <c r="H290" i="51"/>
  <c r="G290" i="51"/>
  <c r="F290" i="51"/>
  <c r="E290" i="51"/>
  <c r="D290" i="51"/>
  <c r="C290" i="51"/>
  <c r="I289" i="51"/>
  <c r="H289" i="51"/>
  <c r="G289" i="51"/>
  <c r="F289" i="51"/>
  <c r="E289" i="51"/>
  <c r="D289" i="51"/>
  <c r="C289" i="51"/>
  <c r="I287" i="51"/>
  <c r="H287" i="51"/>
  <c r="G287" i="51"/>
  <c r="F287" i="51"/>
  <c r="E287" i="51"/>
  <c r="D287" i="51"/>
  <c r="C287" i="51"/>
  <c r="I286" i="51"/>
  <c r="H286" i="51"/>
  <c r="G286" i="51"/>
  <c r="F286" i="51"/>
  <c r="E286" i="51"/>
  <c r="D286" i="51"/>
  <c r="C286" i="51"/>
  <c r="I285" i="51"/>
  <c r="H285" i="51"/>
  <c r="G285" i="51"/>
  <c r="F285" i="51"/>
  <c r="E285" i="51"/>
  <c r="D285" i="51"/>
  <c r="C285" i="51"/>
  <c r="I284" i="51"/>
  <c r="H284" i="51"/>
  <c r="G284" i="51"/>
  <c r="F284" i="51"/>
  <c r="E284" i="51"/>
  <c r="D284" i="51"/>
  <c r="C284" i="51"/>
  <c r="I282" i="51"/>
  <c r="H282" i="51"/>
  <c r="G282" i="51"/>
  <c r="F282" i="51"/>
  <c r="E282" i="51"/>
  <c r="D282" i="51"/>
  <c r="C282" i="51"/>
  <c r="I281" i="51"/>
  <c r="H281" i="51"/>
  <c r="G281" i="51"/>
  <c r="F281" i="51"/>
  <c r="E281" i="51"/>
  <c r="D281" i="51"/>
  <c r="C281" i="51"/>
  <c r="I280" i="51"/>
  <c r="H280" i="51"/>
  <c r="G280" i="51"/>
  <c r="F280" i="51"/>
  <c r="E280" i="51"/>
  <c r="D280" i="51"/>
  <c r="C280" i="51"/>
  <c r="I279" i="51"/>
  <c r="H279" i="51"/>
  <c r="G279" i="51"/>
  <c r="F279" i="51"/>
  <c r="E279" i="51"/>
  <c r="D279" i="51"/>
  <c r="C279" i="51"/>
  <c r="I277" i="51"/>
  <c r="H277" i="51"/>
  <c r="G277" i="51"/>
  <c r="F277" i="51"/>
  <c r="E277" i="51"/>
  <c r="D277" i="51"/>
  <c r="C277" i="51"/>
  <c r="I275" i="51"/>
  <c r="H275" i="51"/>
  <c r="G275" i="51"/>
  <c r="F275" i="51"/>
  <c r="E275" i="51"/>
  <c r="D275" i="51"/>
  <c r="C275" i="51"/>
  <c r="I273" i="51"/>
  <c r="H273" i="51"/>
  <c r="G273" i="51"/>
  <c r="F273" i="51"/>
  <c r="E273" i="51"/>
  <c r="D273" i="51"/>
  <c r="C273" i="51"/>
  <c r="I272" i="51"/>
  <c r="H272" i="51"/>
  <c r="G272" i="51"/>
  <c r="F272" i="51"/>
  <c r="E272" i="51"/>
  <c r="D272" i="51"/>
  <c r="C272" i="51"/>
  <c r="I271" i="51"/>
  <c r="H271" i="51"/>
  <c r="G271" i="51"/>
  <c r="F271" i="51"/>
  <c r="E271" i="51"/>
  <c r="D271" i="51"/>
  <c r="C271" i="51"/>
  <c r="I270" i="51"/>
  <c r="H270" i="51"/>
  <c r="G270" i="51"/>
  <c r="F270" i="51"/>
  <c r="E270" i="51"/>
  <c r="D270" i="51"/>
  <c r="C270" i="51"/>
  <c r="I268" i="51"/>
  <c r="H268" i="51"/>
  <c r="G268" i="51"/>
  <c r="F268" i="51"/>
  <c r="E268" i="51"/>
  <c r="D268" i="51"/>
  <c r="C268" i="51"/>
  <c r="I267" i="51"/>
  <c r="H267" i="51"/>
  <c r="G267" i="51"/>
  <c r="F267" i="51"/>
  <c r="E267" i="51"/>
  <c r="D267" i="51"/>
  <c r="C267" i="51"/>
  <c r="I266" i="51"/>
  <c r="H266" i="51"/>
  <c r="G266" i="51"/>
  <c r="F266" i="51"/>
  <c r="E266" i="51"/>
  <c r="D266" i="51"/>
  <c r="C266" i="51"/>
  <c r="I265" i="51"/>
  <c r="H265" i="51"/>
  <c r="G265" i="51"/>
  <c r="F265" i="51"/>
  <c r="E265" i="51"/>
  <c r="D265" i="51"/>
  <c r="C265" i="51"/>
  <c r="I263" i="51"/>
  <c r="H263" i="51"/>
  <c r="G263" i="51"/>
  <c r="F263" i="51"/>
  <c r="E263" i="51"/>
  <c r="D263" i="51"/>
  <c r="C263" i="51"/>
  <c r="I262" i="51"/>
  <c r="H262" i="51"/>
  <c r="G262" i="51"/>
  <c r="F262" i="51"/>
  <c r="E262" i="51"/>
  <c r="D262" i="51"/>
  <c r="C262" i="51"/>
  <c r="I261" i="51"/>
  <c r="H261" i="51"/>
  <c r="G261" i="51"/>
  <c r="F261" i="51"/>
  <c r="E261" i="51"/>
  <c r="D261" i="51"/>
  <c r="C261" i="51"/>
  <c r="I260" i="51"/>
  <c r="H260" i="51"/>
  <c r="G260" i="51"/>
  <c r="F260" i="51"/>
  <c r="E260" i="51"/>
  <c r="D260" i="51"/>
  <c r="C260" i="51"/>
  <c r="I258" i="51"/>
  <c r="H258" i="51"/>
  <c r="G258" i="51"/>
  <c r="F258" i="51"/>
  <c r="E258" i="51"/>
  <c r="D258" i="51"/>
  <c r="C258" i="51"/>
  <c r="I257" i="51"/>
  <c r="H257" i="51"/>
  <c r="G257" i="51"/>
  <c r="F257" i="51"/>
  <c r="E257" i="51"/>
  <c r="D257" i="51"/>
  <c r="C257" i="51"/>
  <c r="I256" i="51"/>
  <c r="H256" i="51"/>
  <c r="G256" i="51"/>
  <c r="F256" i="51"/>
  <c r="E256" i="51"/>
  <c r="D256" i="51"/>
  <c r="C256" i="51"/>
  <c r="I255" i="51"/>
  <c r="H255" i="51"/>
  <c r="G255" i="51"/>
  <c r="F255" i="51"/>
  <c r="E255" i="51"/>
  <c r="D255" i="51"/>
  <c r="C255" i="51"/>
  <c r="I253" i="51"/>
  <c r="H253" i="51"/>
  <c r="G253" i="51"/>
  <c r="F253" i="51"/>
  <c r="E253" i="51"/>
  <c r="D253" i="51"/>
  <c r="C253" i="51"/>
  <c r="I252" i="51"/>
  <c r="H252" i="51"/>
  <c r="G252" i="51"/>
  <c r="F252" i="51"/>
  <c r="E252" i="51"/>
  <c r="D252" i="51"/>
  <c r="C252" i="51"/>
  <c r="I251" i="51"/>
  <c r="H251" i="51"/>
  <c r="G251" i="51"/>
  <c r="F251" i="51"/>
  <c r="E251" i="51"/>
  <c r="D251" i="51"/>
  <c r="C251" i="51"/>
  <c r="I250" i="51"/>
  <c r="H250" i="51"/>
  <c r="G250" i="51"/>
  <c r="F250" i="51"/>
  <c r="E250" i="51"/>
  <c r="D250" i="51"/>
  <c r="C250" i="51"/>
  <c r="I248" i="51"/>
  <c r="H248" i="51"/>
  <c r="G248" i="51"/>
  <c r="F248" i="51"/>
  <c r="E248" i="51"/>
  <c r="D248" i="51"/>
  <c r="C248" i="51"/>
  <c r="I246" i="51"/>
  <c r="H246" i="51"/>
  <c r="G246" i="51"/>
  <c r="F246" i="51"/>
  <c r="E246" i="51"/>
  <c r="D246" i="51"/>
  <c r="C246" i="51"/>
  <c r="I244" i="51"/>
  <c r="H244" i="51"/>
  <c r="G244" i="51"/>
  <c r="F244" i="51"/>
  <c r="E244" i="51"/>
  <c r="D244" i="51"/>
  <c r="C244" i="51"/>
  <c r="I243" i="51"/>
  <c r="H243" i="51"/>
  <c r="G243" i="51"/>
  <c r="F243" i="51"/>
  <c r="E243" i="51"/>
  <c r="D243" i="51"/>
  <c r="C243" i="51"/>
  <c r="I242" i="51"/>
  <c r="H242" i="51"/>
  <c r="G242" i="51"/>
  <c r="F242" i="51"/>
  <c r="E242" i="51"/>
  <c r="D242" i="51"/>
  <c r="C242" i="51"/>
  <c r="I241" i="51"/>
  <c r="H241" i="51"/>
  <c r="G241" i="51"/>
  <c r="F241" i="51"/>
  <c r="E241" i="51"/>
  <c r="D241" i="51"/>
  <c r="C241" i="51"/>
  <c r="I239" i="51"/>
  <c r="H239" i="51"/>
  <c r="G239" i="51"/>
  <c r="F239" i="51"/>
  <c r="E239" i="51"/>
  <c r="D239" i="51"/>
  <c r="C239" i="51"/>
  <c r="I237" i="51"/>
  <c r="H237" i="51"/>
  <c r="G237" i="51"/>
  <c r="F237" i="51"/>
  <c r="E237" i="51"/>
  <c r="D237" i="51"/>
  <c r="C237" i="51"/>
  <c r="I235" i="51"/>
  <c r="H235" i="51"/>
  <c r="G235" i="51"/>
  <c r="F235" i="51"/>
  <c r="E235" i="51"/>
  <c r="D235" i="51"/>
  <c r="C235" i="51"/>
  <c r="I233" i="51"/>
  <c r="H233" i="51"/>
  <c r="G233" i="51"/>
  <c r="F233" i="51"/>
  <c r="E233" i="51"/>
  <c r="D233" i="51"/>
  <c r="C233" i="51"/>
  <c r="I231" i="51"/>
  <c r="H231" i="51"/>
  <c r="G231" i="51"/>
  <c r="F231" i="51"/>
  <c r="E231" i="51"/>
  <c r="D231" i="51"/>
  <c r="C231" i="51"/>
  <c r="I229" i="51"/>
  <c r="H229" i="51"/>
  <c r="G229" i="51"/>
  <c r="F229" i="51"/>
  <c r="E229" i="51"/>
  <c r="D229" i="51"/>
  <c r="C229" i="51"/>
  <c r="I227" i="51"/>
  <c r="H227" i="51"/>
  <c r="G227" i="51"/>
  <c r="F227" i="51"/>
  <c r="E227" i="51"/>
  <c r="D227" i="51"/>
  <c r="C227" i="51"/>
  <c r="I225" i="51"/>
  <c r="H225" i="51"/>
  <c r="G225" i="51"/>
  <c r="F225" i="51"/>
  <c r="E225" i="51"/>
  <c r="D225" i="51"/>
  <c r="C225" i="51"/>
  <c r="I223" i="51"/>
  <c r="H223" i="51"/>
  <c r="G223" i="51"/>
  <c r="F223" i="51"/>
  <c r="E223" i="51"/>
  <c r="D223" i="51"/>
  <c r="C223" i="51"/>
  <c r="I222" i="51"/>
  <c r="H222" i="51"/>
  <c r="G222" i="51"/>
  <c r="F222" i="51"/>
  <c r="E222" i="51"/>
  <c r="D222" i="51"/>
  <c r="C222" i="51"/>
  <c r="I221" i="51"/>
  <c r="H221" i="51"/>
  <c r="G221" i="51"/>
  <c r="F221" i="51"/>
  <c r="E221" i="51"/>
  <c r="D221" i="51"/>
  <c r="C221" i="51"/>
  <c r="I220" i="51"/>
  <c r="H220" i="51"/>
  <c r="G220" i="51"/>
  <c r="F220" i="51"/>
  <c r="E220" i="51"/>
  <c r="D220" i="51"/>
  <c r="C220" i="51"/>
  <c r="I218" i="51"/>
  <c r="H218" i="51"/>
  <c r="G218" i="51"/>
  <c r="F218" i="51"/>
  <c r="E218" i="51"/>
  <c r="D218" i="51"/>
  <c r="C218" i="51"/>
  <c r="I216" i="51"/>
  <c r="H216" i="51"/>
  <c r="G216" i="51"/>
  <c r="F216" i="51"/>
  <c r="E216" i="51"/>
  <c r="D216" i="51"/>
  <c r="C216" i="51"/>
  <c r="I214" i="51"/>
  <c r="H214" i="51"/>
  <c r="G214" i="51"/>
  <c r="F214" i="51"/>
  <c r="E214" i="51"/>
  <c r="D214" i="51"/>
  <c r="C214" i="51"/>
  <c r="I212" i="51"/>
  <c r="H212" i="51"/>
  <c r="G212" i="51"/>
  <c r="F212" i="51"/>
  <c r="E212" i="51"/>
  <c r="D212" i="51"/>
  <c r="C212" i="51"/>
  <c r="I210" i="51"/>
  <c r="H210" i="51"/>
  <c r="G210" i="51"/>
  <c r="F210" i="51"/>
  <c r="E210" i="51"/>
  <c r="D210" i="51"/>
  <c r="C210" i="51"/>
  <c r="I208" i="51"/>
  <c r="H208" i="51"/>
  <c r="G208" i="51"/>
  <c r="F208" i="51"/>
  <c r="E208" i="51"/>
  <c r="D208" i="51"/>
  <c r="C208" i="51"/>
  <c r="I206" i="51"/>
  <c r="H206" i="51"/>
  <c r="G206" i="51"/>
  <c r="F206" i="51"/>
  <c r="E206" i="51"/>
  <c r="D206" i="51"/>
  <c r="C206" i="51"/>
  <c r="I204" i="51"/>
  <c r="H204" i="51"/>
  <c r="G204" i="51"/>
  <c r="F204" i="51"/>
  <c r="E204" i="51"/>
  <c r="D204" i="51"/>
  <c r="C204" i="51"/>
  <c r="I203" i="51"/>
  <c r="H203" i="51"/>
  <c r="G203" i="51"/>
  <c r="F203" i="51"/>
  <c r="E203" i="51"/>
  <c r="D203" i="51"/>
  <c r="C203" i="51"/>
  <c r="I202" i="51"/>
  <c r="H202" i="51"/>
  <c r="G202" i="51"/>
  <c r="F202" i="51"/>
  <c r="E202" i="51"/>
  <c r="D202" i="51"/>
  <c r="C202" i="51"/>
  <c r="I201" i="51"/>
  <c r="H201" i="51"/>
  <c r="G201" i="51"/>
  <c r="F201" i="51"/>
  <c r="E201" i="51"/>
  <c r="D201" i="51"/>
  <c r="C201" i="51"/>
  <c r="I199" i="51"/>
  <c r="H199" i="51"/>
  <c r="G199" i="51"/>
  <c r="F199" i="51"/>
  <c r="E199" i="51"/>
  <c r="D199" i="51"/>
  <c r="C199" i="51"/>
  <c r="I198" i="51"/>
  <c r="H198" i="51"/>
  <c r="G198" i="51"/>
  <c r="F198" i="51"/>
  <c r="E198" i="51"/>
  <c r="D198" i="51"/>
  <c r="C198" i="51"/>
  <c r="I197" i="51"/>
  <c r="H197" i="51"/>
  <c r="G197" i="51"/>
  <c r="F197" i="51"/>
  <c r="E197" i="51"/>
  <c r="D197" i="51"/>
  <c r="C197" i="51"/>
  <c r="I196" i="51"/>
  <c r="H196" i="51"/>
  <c r="G196" i="51"/>
  <c r="F196" i="51"/>
  <c r="E196" i="51"/>
  <c r="D196" i="51"/>
  <c r="C196" i="51"/>
  <c r="I194" i="51"/>
  <c r="H194" i="51"/>
  <c r="G194" i="51"/>
  <c r="F194" i="51"/>
  <c r="E194" i="51"/>
  <c r="D194" i="51"/>
  <c r="C194" i="51"/>
  <c r="I192" i="51"/>
  <c r="H192" i="51"/>
  <c r="G192" i="51"/>
  <c r="F192" i="51"/>
  <c r="E192" i="51"/>
  <c r="D192" i="51"/>
  <c r="C192" i="51"/>
  <c r="I190" i="51"/>
  <c r="H190" i="51"/>
  <c r="G190" i="51"/>
  <c r="F190" i="51"/>
  <c r="E190" i="51"/>
  <c r="D190" i="51"/>
  <c r="C190" i="51"/>
  <c r="I188" i="51"/>
  <c r="H188" i="51"/>
  <c r="G188" i="51"/>
  <c r="F188" i="51"/>
  <c r="E188" i="51"/>
  <c r="D188" i="51"/>
  <c r="C188" i="51"/>
  <c r="I187" i="51"/>
  <c r="H187" i="51"/>
  <c r="G187" i="51"/>
  <c r="F187" i="51"/>
  <c r="E187" i="51"/>
  <c r="D187" i="51"/>
  <c r="C187" i="51"/>
  <c r="I186" i="51"/>
  <c r="H186" i="51"/>
  <c r="G186" i="51"/>
  <c r="F186" i="51"/>
  <c r="E186" i="51"/>
  <c r="D186" i="51"/>
  <c r="C186" i="51"/>
  <c r="I185" i="51"/>
  <c r="H185" i="51"/>
  <c r="G185" i="51"/>
  <c r="F185" i="51"/>
  <c r="E185" i="51"/>
  <c r="D185" i="51"/>
  <c r="C185" i="51"/>
  <c r="I183" i="51"/>
  <c r="H183" i="51"/>
  <c r="G183" i="51"/>
  <c r="F183" i="51"/>
  <c r="E183" i="51"/>
  <c r="D183" i="51"/>
  <c r="C183" i="51"/>
  <c r="I181" i="51"/>
  <c r="H181" i="51"/>
  <c r="G181" i="51"/>
  <c r="F181" i="51"/>
  <c r="E181" i="51"/>
  <c r="D181" i="51"/>
  <c r="C181" i="51"/>
  <c r="I179" i="51"/>
  <c r="H179" i="51"/>
  <c r="G179" i="51"/>
  <c r="F179" i="51"/>
  <c r="E179" i="51"/>
  <c r="D179" i="51"/>
  <c r="C179" i="51"/>
  <c r="I177" i="51"/>
  <c r="H177" i="51"/>
  <c r="G177" i="51"/>
  <c r="F177" i="51"/>
  <c r="E177" i="51"/>
  <c r="D177" i="51"/>
  <c r="C177" i="51"/>
  <c r="I175" i="51"/>
  <c r="H175" i="51"/>
  <c r="G175" i="51"/>
  <c r="F175" i="51"/>
  <c r="E175" i="51"/>
  <c r="D175" i="51"/>
  <c r="C175" i="51"/>
  <c r="I173" i="51"/>
  <c r="H173" i="51"/>
  <c r="G173" i="51"/>
  <c r="F173" i="51"/>
  <c r="E173" i="51"/>
  <c r="D173" i="51"/>
  <c r="C173" i="51"/>
  <c r="I171" i="51"/>
  <c r="H171" i="51"/>
  <c r="G171" i="51"/>
  <c r="F171" i="51"/>
  <c r="E171" i="51"/>
  <c r="D171" i="51"/>
  <c r="C171" i="51"/>
  <c r="I170" i="51"/>
  <c r="H170" i="51"/>
  <c r="G170" i="51"/>
  <c r="F170" i="51"/>
  <c r="E170" i="51"/>
  <c r="D170" i="51"/>
  <c r="C170" i="51"/>
  <c r="I169" i="51"/>
  <c r="H169" i="51"/>
  <c r="G169" i="51"/>
  <c r="F169" i="51"/>
  <c r="E169" i="51"/>
  <c r="D169" i="51"/>
  <c r="C169" i="51"/>
  <c r="I168" i="51"/>
  <c r="H168" i="51"/>
  <c r="G168" i="51"/>
  <c r="F168" i="51"/>
  <c r="E168" i="51"/>
  <c r="D168" i="51"/>
  <c r="C168" i="51"/>
  <c r="I166" i="51"/>
  <c r="H166" i="51"/>
  <c r="G166" i="51"/>
  <c r="F166" i="51"/>
  <c r="E166" i="51"/>
  <c r="D166" i="51"/>
  <c r="C166" i="51"/>
  <c r="I164" i="51"/>
  <c r="H164" i="51"/>
  <c r="G164" i="51"/>
  <c r="F164" i="51"/>
  <c r="E164" i="51"/>
  <c r="D164" i="51"/>
  <c r="C164" i="51"/>
  <c r="I162" i="51"/>
  <c r="H162" i="51"/>
  <c r="G162" i="51"/>
  <c r="F162" i="51"/>
  <c r="E162" i="51"/>
  <c r="D162" i="51"/>
  <c r="C162" i="51"/>
  <c r="I160" i="51"/>
  <c r="H160" i="51"/>
  <c r="G160" i="51"/>
  <c r="F160" i="51"/>
  <c r="E160" i="51"/>
  <c r="D160" i="51"/>
  <c r="C160" i="51"/>
  <c r="I158" i="51"/>
  <c r="H158" i="51"/>
  <c r="G158" i="51"/>
  <c r="F158" i="51"/>
  <c r="E158" i="51"/>
  <c r="D158" i="51"/>
  <c r="C158" i="51"/>
  <c r="I156" i="51"/>
  <c r="H156" i="51"/>
  <c r="G156" i="51"/>
  <c r="F156" i="51"/>
  <c r="E156" i="51"/>
  <c r="D156" i="51"/>
  <c r="C156" i="51"/>
  <c r="I154" i="51"/>
  <c r="H154" i="51"/>
  <c r="G154" i="51"/>
  <c r="F154" i="51"/>
  <c r="E154" i="51"/>
  <c r="D154" i="51"/>
  <c r="C154" i="51"/>
  <c r="I152" i="51"/>
  <c r="H152" i="51"/>
  <c r="G152" i="51"/>
  <c r="F152" i="51"/>
  <c r="E152" i="51"/>
  <c r="D152" i="51"/>
  <c r="C152" i="51"/>
  <c r="I150" i="51"/>
  <c r="H150" i="51"/>
  <c r="G150" i="51"/>
  <c r="F150" i="51"/>
  <c r="E150" i="51"/>
  <c r="D150" i="51"/>
  <c r="C150" i="51"/>
  <c r="I149" i="51"/>
  <c r="H149" i="51"/>
  <c r="G149" i="51"/>
  <c r="F149" i="51"/>
  <c r="E149" i="51"/>
  <c r="D149" i="51"/>
  <c r="C149" i="51"/>
  <c r="I148" i="51"/>
  <c r="H148" i="51"/>
  <c r="G148" i="51"/>
  <c r="F148" i="51"/>
  <c r="E148" i="51"/>
  <c r="D148" i="51"/>
  <c r="C148" i="51"/>
  <c r="I147" i="51"/>
  <c r="H147" i="51"/>
  <c r="G147" i="51"/>
  <c r="F147" i="51"/>
  <c r="E147" i="51"/>
  <c r="D147" i="51"/>
  <c r="C147" i="51"/>
  <c r="I145" i="51"/>
  <c r="H145" i="51"/>
  <c r="G145" i="51"/>
  <c r="F145" i="51"/>
  <c r="E145" i="51"/>
  <c r="D145" i="51"/>
  <c r="C145" i="51"/>
  <c r="I143" i="51"/>
  <c r="H143" i="51"/>
  <c r="G143" i="51"/>
  <c r="F143" i="51"/>
  <c r="E143" i="51"/>
  <c r="D143" i="51"/>
  <c r="C143" i="51"/>
  <c r="I141" i="51"/>
  <c r="H141" i="51"/>
  <c r="G141" i="51"/>
  <c r="F141" i="51"/>
  <c r="E141" i="51"/>
  <c r="D141" i="51"/>
  <c r="C141" i="51"/>
  <c r="I139" i="51"/>
  <c r="H139" i="51"/>
  <c r="G139" i="51"/>
  <c r="F139" i="51"/>
  <c r="E139" i="51"/>
  <c r="D139" i="51"/>
  <c r="C139" i="51"/>
  <c r="I137" i="51"/>
  <c r="H137" i="51"/>
  <c r="G137" i="51"/>
  <c r="F137" i="51"/>
  <c r="E137" i="51"/>
  <c r="D137" i="51"/>
  <c r="C137" i="51"/>
  <c r="I135" i="51"/>
  <c r="H135" i="51"/>
  <c r="G135" i="51"/>
  <c r="F135" i="51"/>
  <c r="E135" i="51"/>
  <c r="D135" i="51"/>
  <c r="C135" i="51"/>
  <c r="I133" i="51"/>
  <c r="H133" i="51"/>
  <c r="G133" i="51"/>
  <c r="F133" i="51"/>
  <c r="E133" i="51"/>
  <c r="D133" i="51"/>
  <c r="C133" i="51"/>
  <c r="I132" i="51"/>
  <c r="H132" i="51"/>
  <c r="G132" i="51"/>
  <c r="F132" i="51"/>
  <c r="E132" i="51"/>
  <c r="D132" i="51"/>
  <c r="C132" i="51"/>
  <c r="I131" i="51"/>
  <c r="H131" i="51"/>
  <c r="G131" i="51"/>
  <c r="F131" i="51"/>
  <c r="E131" i="51"/>
  <c r="D131" i="51"/>
  <c r="C131" i="51"/>
  <c r="I130" i="51"/>
  <c r="H130" i="51"/>
  <c r="G130" i="51"/>
  <c r="F130" i="51"/>
  <c r="E130" i="51"/>
  <c r="D130" i="51"/>
  <c r="C130" i="51"/>
  <c r="I128" i="51"/>
  <c r="H128" i="51"/>
  <c r="G128" i="51"/>
  <c r="F128" i="51"/>
  <c r="E128" i="51"/>
  <c r="D128" i="51"/>
  <c r="C128" i="51"/>
  <c r="I126" i="51"/>
  <c r="H126" i="51"/>
  <c r="G126" i="51"/>
  <c r="F126" i="51"/>
  <c r="E126" i="51"/>
  <c r="D126" i="51"/>
  <c r="C126" i="51"/>
  <c r="I124" i="51"/>
  <c r="H124" i="51"/>
  <c r="G124" i="51"/>
  <c r="F124" i="51"/>
  <c r="E124" i="51"/>
  <c r="D124" i="51"/>
  <c r="C124" i="51"/>
  <c r="I122" i="51"/>
  <c r="H122" i="51"/>
  <c r="G122" i="51"/>
  <c r="F122" i="51"/>
  <c r="E122" i="51"/>
  <c r="D122" i="51"/>
  <c r="C122" i="51"/>
  <c r="I121" i="51"/>
  <c r="H121" i="51"/>
  <c r="G121" i="51"/>
  <c r="F121" i="51"/>
  <c r="E121" i="51"/>
  <c r="D121" i="51"/>
  <c r="C121" i="51"/>
  <c r="I120" i="51"/>
  <c r="H120" i="51"/>
  <c r="G120" i="51"/>
  <c r="F120" i="51"/>
  <c r="E120" i="51"/>
  <c r="D120" i="51"/>
  <c r="C120" i="51"/>
  <c r="I119" i="51"/>
  <c r="H119" i="51"/>
  <c r="G119" i="51"/>
  <c r="F119" i="51"/>
  <c r="E119" i="51"/>
  <c r="D119" i="51"/>
  <c r="C119" i="51"/>
  <c r="I117" i="51"/>
  <c r="H117" i="51"/>
  <c r="G117" i="51"/>
  <c r="F117" i="51"/>
  <c r="E117" i="51"/>
  <c r="D117" i="51"/>
  <c r="C117" i="51"/>
  <c r="I115" i="51"/>
  <c r="H115" i="51"/>
  <c r="G115" i="51"/>
  <c r="F115" i="51"/>
  <c r="E115" i="51"/>
  <c r="D115" i="51"/>
  <c r="C115" i="51"/>
  <c r="I113" i="51"/>
  <c r="H113" i="51"/>
  <c r="G113" i="51"/>
  <c r="F113" i="51"/>
  <c r="E113" i="51"/>
  <c r="D113" i="51"/>
  <c r="C113" i="51"/>
  <c r="I111" i="51"/>
  <c r="H111" i="51"/>
  <c r="G111" i="51"/>
  <c r="F111" i="51"/>
  <c r="E111" i="51"/>
  <c r="D111" i="51"/>
  <c r="C111" i="51"/>
  <c r="I109" i="51"/>
  <c r="H109" i="51"/>
  <c r="G109" i="51"/>
  <c r="F109" i="51"/>
  <c r="E109" i="51"/>
  <c r="D109" i="51"/>
  <c r="C109" i="51"/>
  <c r="I107" i="51"/>
  <c r="H107" i="51"/>
  <c r="G107" i="51"/>
  <c r="F107" i="51"/>
  <c r="E107" i="51"/>
  <c r="D107" i="51"/>
  <c r="C107" i="51"/>
  <c r="I105" i="51"/>
  <c r="H105" i="51"/>
  <c r="G105" i="51"/>
  <c r="F105" i="51"/>
  <c r="E105" i="51"/>
  <c r="D105" i="51"/>
  <c r="C105" i="51"/>
  <c r="I103" i="51"/>
  <c r="H103" i="51"/>
  <c r="G103" i="51"/>
  <c r="F103" i="51"/>
  <c r="E103" i="51"/>
  <c r="D103" i="51"/>
  <c r="C103" i="51"/>
  <c r="I101" i="51"/>
  <c r="H101" i="51"/>
  <c r="G101" i="51"/>
  <c r="F101" i="51"/>
  <c r="E101" i="51"/>
  <c r="D101" i="51"/>
  <c r="C101" i="51"/>
  <c r="I99" i="51"/>
  <c r="H99" i="51"/>
  <c r="G99" i="51"/>
  <c r="F99" i="51"/>
  <c r="E99" i="51"/>
  <c r="D99" i="51"/>
  <c r="C99" i="51"/>
  <c r="I97" i="51"/>
  <c r="H97" i="51"/>
  <c r="G97" i="51"/>
  <c r="F97" i="51"/>
  <c r="E97" i="51"/>
  <c r="D97" i="51"/>
  <c r="C97" i="51"/>
  <c r="I95" i="51"/>
  <c r="H95" i="51"/>
  <c r="G95" i="51"/>
  <c r="F95" i="51"/>
  <c r="E95" i="51"/>
  <c r="D95" i="51"/>
  <c r="C95" i="51"/>
  <c r="I93" i="51"/>
  <c r="H93" i="51"/>
  <c r="G93" i="51"/>
  <c r="F93" i="51"/>
  <c r="E93" i="51"/>
  <c r="D93" i="51"/>
  <c r="C93" i="51"/>
  <c r="I92" i="51"/>
  <c r="H92" i="51"/>
  <c r="G92" i="51"/>
  <c r="F92" i="51"/>
  <c r="E92" i="51"/>
  <c r="D92" i="51"/>
  <c r="C92" i="51"/>
  <c r="I91" i="51"/>
  <c r="H91" i="51"/>
  <c r="G91" i="51"/>
  <c r="F91" i="51"/>
  <c r="E91" i="51"/>
  <c r="D91" i="51"/>
  <c r="C91" i="51"/>
  <c r="I90" i="51"/>
  <c r="H90" i="51"/>
  <c r="G90" i="51"/>
  <c r="F90" i="51"/>
  <c r="E90" i="51"/>
  <c r="D90" i="51"/>
  <c r="C90" i="51"/>
  <c r="I88" i="51"/>
  <c r="H88" i="51"/>
  <c r="G88" i="51"/>
  <c r="F88" i="51"/>
  <c r="E88" i="51"/>
  <c r="D88" i="51"/>
  <c r="C88" i="51"/>
  <c r="I86" i="51"/>
  <c r="H86" i="51"/>
  <c r="G86" i="51"/>
  <c r="F86" i="51"/>
  <c r="E86" i="51"/>
  <c r="D86" i="51"/>
  <c r="C86" i="51"/>
  <c r="I84" i="51"/>
  <c r="H84" i="51"/>
  <c r="G84" i="51"/>
  <c r="F84" i="51"/>
  <c r="E84" i="51"/>
  <c r="D84" i="51"/>
  <c r="C84" i="51"/>
  <c r="I82" i="51"/>
  <c r="H82" i="51"/>
  <c r="G82" i="51"/>
  <c r="F82" i="51"/>
  <c r="E82" i="51"/>
  <c r="D82" i="51"/>
  <c r="C82" i="51"/>
  <c r="I80" i="51"/>
  <c r="H80" i="51"/>
  <c r="G80" i="51"/>
  <c r="F80" i="51"/>
  <c r="E80" i="51"/>
  <c r="D80" i="51"/>
  <c r="C80" i="51"/>
  <c r="I78" i="51"/>
  <c r="H78" i="51"/>
  <c r="G78" i="51"/>
  <c r="F78" i="51"/>
  <c r="E78" i="51"/>
  <c r="D78" i="51"/>
  <c r="C78" i="51"/>
  <c r="I76" i="51"/>
  <c r="H76" i="51"/>
  <c r="G76" i="51"/>
  <c r="F76" i="51"/>
  <c r="E76" i="51"/>
  <c r="D76" i="51"/>
  <c r="C76" i="51"/>
  <c r="I74" i="51"/>
  <c r="H74" i="51"/>
  <c r="G74" i="51"/>
  <c r="F74" i="51"/>
  <c r="E74" i="51"/>
  <c r="D74" i="51"/>
  <c r="C74" i="51"/>
  <c r="I72" i="51"/>
  <c r="H72" i="51"/>
  <c r="G72" i="51"/>
  <c r="F72" i="51"/>
  <c r="E72" i="51"/>
  <c r="D72" i="51"/>
  <c r="C72" i="51"/>
  <c r="I70" i="51"/>
  <c r="H70" i="51"/>
  <c r="G70" i="51"/>
  <c r="F70" i="51"/>
  <c r="E70" i="51"/>
  <c r="D70" i="51"/>
  <c r="C70" i="51"/>
  <c r="I68" i="51"/>
  <c r="H68" i="51"/>
  <c r="G68" i="51"/>
  <c r="F68" i="51"/>
  <c r="E68" i="51"/>
  <c r="D68" i="51"/>
  <c r="C68" i="51"/>
  <c r="I66" i="51"/>
  <c r="H66" i="51"/>
  <c r="G66" i="51"/>
  <c r="F66" i="51"/>
  <c r="E66" i="51"/>
  <c r="D66" i="51"/>
  <c r="C66" i="51"/>
  <c r="I64" i="51"/>
  <c r="H64" i="51"/>
  <c r="G64" i="51"/>
  <c r="F64" i="51"/>
  <c r="E64" i="51"/>
  <c r="D64" i="51"/>
  <c r="C64" i="51"/>
  <c r="I62" i="51"/>
  <c r="H62" i="51"/>
  <c r="G62" i="51"/>
  <c r="F62" i="51"/>
  <c r="E62" i="51"/>
  <c r="D62" i="51"/>
  <c r="C62" i="51"/>
  <c r="I60" i="51"/>
  <c r="H60" i="51"/>
  <c r="G60" i="51"/>
  <c r="F60" i="51"/>
  <c r="E60" i="51"/>
  <c r="D60" i="51"/>
  <c r="C60" i="51"/>
  <c r="I58" i="51"/>
  <c r="H58" i="51"/>
  <c r="G58" i="51"/>
  <c r="F58" i="51"/>
  <c r="E58" i="51"/>
  <c r="D58" i="51"/>
  <c r="C58" i="51"/>
  <c r="I56" i="51"/>
  <c r="H56" i="51"/>
  <c r="G56" i="51"/>
  <c r="F56" i="51"/>
  <c r="E56" i="51"/>
  <c r="D56" i="51"/>
  <c r="C56" i="51"/>
  <c r="I54" i="51"/>
  <c r="H54" i="51"/>
  <c r="G54" i="51"/>
  <c r="F54" i="51"/>
  <c r="E54" i="51"/>
  <c r="D54" i="51"/>
  <c r="C54" i="51"/>
  <c r="I52" i="51"/>
  <c r="H52" i="51"/>
  <c r="G52" i="51"/>
  <c r="F52" i="51"/>
  <c r="E52" i="51"/>
  <c r="D52" i="51"/>
  <c r="C52" i="51"/>
  <c r="I50" i="51"/>
  <c r="H50" i="51"/>
  <c r="G50" i="51"/>
  <c r="F50" i="51"/>
  <c r="E50" i="51"/>
  <c r="D50" i="51"/>
  <c r="C50" i="51"/>
  <c r="I49" i="51"/>
  <c r="H49" i="51"/>
  <c r="G49" i="51"/>
  <c r="F49" i="51"/>
  <c r="E49" i="51"/>
  <c r="D49" i="51"/>
  <c r="C49" i="51"/>
  <c r="I48" i="51"/>
  <c r="H48" i="51"/>
  <c r="G48" i="51"/>
  <c r="F48" i="51"/>
  <c r="E48" i="51"/>
  <c r="D48" i="51"/>
  <c r="C48" i="51"/>
  <c r="I47" i="51"/>
  <c r="H47" i="51"/>
  <c r="G47" i="51"/>
  <c r="F47" i="51"/>
  <c r="E47" i="51"/>
  <c r="D47" i="51"/>
  <c r="C47" i="51"/>
  <c r="I45" i="51"/>
  <c r="H45" i="51"/>
  <c r="G45" i="51"/>
  <c r="F45" i="51"/>
  <c r="E45" i="51"/>
  <c r="D45" i="51"/>
  <c r="C45" i="51"/>
  <c r="I43" i="51"/>
  <c r="H43" i="51"/>
  <c r="G43" i="51"/>
  <c r="F43" i="51"/>
  <c r="E43" i="51"/>
  <c r="D43" i="51"/>
  <c r="C43" i="51"/>
  <c r="I41" i="51"/>
  <c r="H41" i="51"/>
  <c r="G41" i="51"/>
  <c r="F41" i="51"/>
  <c r="E41" i="51"/>
  <c r="D41" i="51"/>
  <c r="C41" i="51"/>
  <c r="I39" i="51"/>
  <c r="H39" i="51"/>
  <c r="G39" i="51"/>
  <c r="F39" i="51"/>
  <c r="E39" i="51"/>
  <c r="D39" i="51"/>
  <c r="C39" i="51"/>
  <c r="I37" i="51"/>
  <c r="H37" i="51"/>
  <c r="G37" i="51"/>
  <c r="F37" i="51"/>
  <c r="E37" i="51"/>
  <c r="D37" i="51"/>
  <c r="C37" i="51"/>
  <c r="I35" i="51"/>
  <c r="H35" i="51"/>
  <c r="G35" i="51"/>
  <c r="F35" i="51"/>
  <c r="E35" i="51"/>
  <c r="D35" i="51"/>
  <c r="C35" i="51"/>
  <c r="I34" i="51"/>
  <c r="H34" i="51"/>
  <c r="G34" i="51"/>
  <c r="F34" i="51"/>
  <c r="E34" i="51"/>
  <c r="D34" i="51"/>
  <c r="C34" i="51"/>
  <c r="I33" i="51"/>
  <c r="H33" i="51"/>
  <c r="G33" i="51"/>
  <c r="F33" i="51"/>
  <c r="E33" i="51"/>
  <c r="D33" i="51"/>
  <c r="C33" i="51"/>
  <c r="I32" i="51"/>
  <c r="H32" i="51"/>
  <c r="G32" i="51"/>
  <c r="F32" i="51"/>
  <c r="E32" i="51"/>
  <c r="D32" i="51"/>
  <c r="C32" i="51"/>
  <c r="I30" i="51"/>
  <c r="H30" i="51"/>
  <c r="G30" i="51"/>
  <c r="F30" i="51"/>
  <c r="E30" i="51"/>
  <c r="D30" i="51"/>
  <c r="C30" i="51"/>
  <c r="I28" i="51"/>
  <c r="H28" i="51"/>
  <c r="G28" i="51"/>
  <c r="F28" i="51"/>
  <c r="E28" i="51"/>
  <c r="D28" i="51"/>
  <c r="C28" i="51"/>
  <c r="I26" i="51"/>
  <c r="H26" i="51"/>
  <c r="G26" i="51"/>
  <c r="F26" i="51"/>
  <c r="E26" i="51"/>
  <c r="D26" i="51"/>
  <c r="C26" i="51"/>
  <c r="I24" i="51"/>
  <c r="H24" i="51"/>
  <c r="G24" i="51"/>
  <c r="F24" i="51"/>
  <c r="E24" i="51"/>
  <c r="D24" i="51"/>
  <c r="C24" i="51"/>
  <c r="I22" i="51"/>
  <c r="H22" i="51"/>
  <c r="G22" i="51"/>
  <c r="F22" i="51"/>
  <c r="E22" i="51"/>
  <c r="D22" i="51"/>
  <c r="C22" i="51"/>
  <c r="I21" i="51"/>
  <c r="H21" i="51"/>
  <c r="G21" i="51"/>
  <c r="F21" i="51"/>
  <c r="E21" i="51"/>
  <c r="D21" i="51"/>
  <c r="C21" i="51"/>
  <c r="I20" i="51"/>
  <c r="H20" i="51"/>
  <c r="G20" i="51"/>
  <c r="F20" i="51"/>
  <c r="E20" i="51"/>
  <c r="D20" i="51"/>
  <c r="C20" i="51"/>
  <c r="I19" i="51"/>
  <c r="H19" i="51"/>
  <c r="G19" i="51"/>
  <c r="F19" i="51"/>
  <c r="E19" i="51"/>
  <c r="D19" i="51"/>
  <c r="C19" i="51"/>
  <c r="I17" i="51"/>
  <c r="H17" i="51"/>
  <c r="G17" i="51"/>
  <c r="F17" i="51"/>
  <c r="E17" i="51"/>
  <c r="D17" i="51"/>
  <c r="C17" i="51"/>
  <c r="I16" i="51"/>
  <c r="H16" i="51"/>
  <c r="G16" i="51"/>
  <c r="F16" i="51"/>
  <c r="E16" i="51"/>
  <c r="D16" i="51"/>
  <c r="C16" i="51"/>
  <c r="I15" i="51"/>
  <c r="H15" i="51"/>
  <c r="G15" i="51"/>
  <c r="F15" i="51"/>
  <c r="E15" i="51"/>
  <c r="D15" i="51"/>
  <c r="C15" i="51"/>
  <c r="I14" i="51"/>
  <c r="H14" i="51"/>
  <c r="G14" i="51"/>
  <c r="F14" i="51"/>
  <c r="E14" i="51"/>
  <c r="D14" i="51"/>
  <c r="C14" i="51"/>
  <c r="I13" i="51"/>
  <c r="H13" i="51"/>
  <c r="G13" i="51"/>
  <c r="F13" i="51"/>
  <c r="E13" i="51"/>
  <c r="D13" i="51"/>
  <c r="C13" i="51"/>
  <c r="I12" i="51"/>
  <c r="H12" i="51"/>
  <c r="G12" i="51"/>
  <c r="F12" i="51"/>
  <c r="E12" i="51"/>
  <c r="D12" i="51"/>
  <c r="C12" i="51"/>
  <c r="I11" i="51"/>
  <c r="H11" i="51"/>
  <c r="G11" i="51"/>
  <c r="F11" i="51"/>
  <c r="E11" i="51"/>
  <c r="D11" i="51"/>
  <c r="C11" i="51"/>
  <c r="I10" i="51"/>
  <c r="H10" i="51"/>
  <c r="G10" i="51"/>
  <c r="F10" i="51"/>
  <c r="E10" i="51"/>
  <c r="D10" i="51"/>
  <c r="C10" i="51"/>
  <c r="I9" i="51"/>
  <c r="H9" i="51"/>
  <c r="G9" i="51"/>
  <c r="F9" i="51"/>
  <c r="E9" i="51"/>
  <c r="D9" i="51"/>
  <c r="C9" i="51"/>
  <c r="I8" i="51"/>
  <c r="H8" i="51"/>
  <c r="G8" i="51"/>
  <c r="F8" i="51"/>
  <c r="E8" i="51"/>
  <c r="D8" i="51"/>
  <c r="C8" i="51"/>
  <c r="I7" i="51"/>
  <c r="H7" i="51"/>
  <c r="G7" i="51"/>
  <c r="F7" i="51"/>
  <c r="E7" i="51"/>
  <c r="D7" i="51"/>
  <c r="C7" i="51"/>
  <c r="I6" i="51"/>
  <c r="H6" i="51"/>
  <c r="G6" i="51"/>
  <c r="F6" i="51"/>
  <c r="E6" i="51"/>
  <c r="D6" i="51"/>
  <c r="C6" i="51"/>
  <c r="I5" i="51"/>
  <c r="H5" i="51"/>
  <c r="G5" i="51"/>
  <c r="F5" i="51"/>
  <c r="E5" i="51"/>
  <c r="D5" i="51"/>
  <c r="C5" i="51"/>
  <c r="I4" i="51"/>
  <c r="H4" i="51"/>
  <c r="G4" i="51"/>
  <c r="F4" i="51"/>
  <c r="E4" i="51"/>
  <c r="D4" i="51"/>
  <c r="C4" i="51"/>
  <c r="I3" i="51"/>
  <c r="H3" i="51"/>
  <c r="G3" i="51"/>
  <c r="F3" i="51"/>
  <c r="E3" i="51"/>
  <c r="D3" i="51"/>
  <c r="C3" i="51"/>
  <c r="J3" i="51"/>
  <c r="J4" i="51"/>
  <c r="J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J140" i="51"/>
  <c r="J141" i="51"/>
  <c r="J142" i="51"/>
  <c r="J143" i="51"/>
  <c r="J144" i="51"/>
  <c r="J145" i="51"/>
  <c r="J146" i="51"/>
  <c r="J147" i="51"/>
  <c r="J148" i="51"/>
  <c r="J149" i="51"/>
  <c r="J150" i="51"/>
  <c r="J151" i="51"/>
  <c r="J152" i="51"/>
  <c r="J153" i="51"/>
  <c r="J154" i="51"/>
  <c r="J155" i="51"/>
  <c r="J156" i="51"/>
  <c r="J157" i="51"/>
  <c r="J158" i="51"/>
  <c r="J159" i="51"/>
  <c r="J160" i="51"/>
  <c r="J161" i="51"/>
  <c r="J162" i="51"/>
  <c r="J163" i="51"/>
  <c r="J164" i="51"/>
  <c r="J165" i="51"/>
  <c r="J166" i="51"/>
  <c r="J167" i="51"/>
  <c r="J168" i="51"/>
  <c r="J169" i="51"/>
  <c r="J170" i="51"/>
  <c r="J171" i="51"/>
  <c r="J172" i="51"/>
  <c r="J173" i="51"/>
  <c r="J174" i="51"/>
  <c r="J175" i="51"/>
  <c r="J176" i="51"/>
  <c r="J177" i="51"/>
  <c r="J178" i="51"/>
  <c r="J179" i="51"/>
  <c r="J180" i="51"/>
  <c r="J181" i="51"/>
  <c r="J182" i="51"/>
  <c r="J183" i="51"/>
  <c r="J184" i="51"/>
  <c r="J185" i="51"/>
  <c r="J186" i="51"/>
  <c r="J187" i="51"/>
  <c r="J188" i="51"/>
  <c r="J189" i="51"/>
  <c r="J190" i="51"/>
  <c r="J191" i="51"/>
  <c r="J192" i="51"/>
  <c r="J193" i="51"/>
  <c r="J194" i="51"/>
  <c r="J195" i="51"/>
  <c r="J196" i="51"/>
  <c r="J197" i="51"/>
  <c r="J198" i="51"/>
  <c r="J199" i="51"/>
  <c r="J200" i="51"/>
  <c r="J201" i="51"/>
  <c r="J202" i="51"/>
  <c r="J203" i="51"/>
  <c r="J204" i="51"/>
  <c r="J205" i="51"/>
  <c r="J206" i="51"/>
  <c r="J207" i="51"/>
  <c r="J208" i="51"/>
  <c r="J209" i="51"/>
  <c r="J210" i="51"/>
  <c r="J211" i="51"/>
  <c r="J212" i="51"/>
  <c r="J213" i="51"/>
  <c r="J214" i="51"/>
  <c r="J215" i="51"/>
  <c r="J216" i="51"/>
  <c r="J217" i="51"/>
  <c r="J218" i="51"/>
  <c r="J219" i="51"/>
  <c r="J220" i="51"/>
  <c r="J221" i="51"/>
  <c r="J222" i="51"/>
  <c r="J223" i="51"/>
  <c r="J224" i="51"/>
  <c r="J225" i="51"/>
  <c r="J226" i="51"/>
  <c r="J227" i="51"/>
  <c r="J228" i="51"/>
  <c r="J229" i="51"/>
  <c r="J230" i="51"/>
  <c r="J231" i="51"/>
  <c r="J232" i="51"/>
  <c r="J233" i="51"/>
  <c r="J234" i="51"/>
  <c r="J235" i="51"/>
  <c r="J236" i="51"/>
  <c r="J237" i="51"/>
  <c r="J238" i="51"/>
  <c r="J239" i="51"/>
  <c r="J240" i="51"/>
  <c r="J241" i="51"/>
  <c r="J242" i="51"/>
  <c r="J243" i="51"/>
  <c r="J244" i="51"/>
  <c r="J245" i="51"/>
  <c r="J246" i="51"/>
  <c r="J247" i="51"/>
  <c r="J248" i="51"/>
  <c r="J249" i="51"/>
  <c r="J250" i="51"/>
  <c r="J251" i="51"/>
  <c r="J252" i="51"/>
  <c r="J253" i="51"/>
  <c r="J254" i="51"/>
  <c r="J255" i="51"/>
  <c r="J256" i="51"/>
  <c r="J257" i="51"/>
  <c r="J258" i="51"/>
  <c r="J259" i="51"/>
  <c r="J260" i="51"/>
  <c r="J261" i="51"/>
  <c r="J262" i="51"/>
  <c r="J263" i="51"/>
  <c r="J264" i="51"/>
  <c r="J265" i="51"/>
  <c r="J266" i="51"/>
  <c r="J267" i="51"/>
  <c r="J268" i="51"/>
  <c r="J269" i="51"/>
  <c r="J270" i="51"/>
  <c r="J271" i="51"/>
  <c r="J272" i="51"/>
  <c r="J273" i="51"/>
  <c r="J274" i="51"/>
  <c r="J275" i="51"/>
  <c r="J276" i="51"/>
  <c r="J277" i="51"/>
  <c r="J278" i="51"/>
  <c r="J279" i="51"/>
  <c r="J280" i="51"/>
  <c r="J281" i="51"/>
  <c r="J282" i="51"/>
  <c r="J283" i="51"/>
  <c r="J284" i="51"/>
  <c r="J285" i="51"/>
  <c r="J286" i="51"/>
  <c r="J287" i="51"/>
  <c r="J288" i="51"/>
  <c r="J289" i="51"/>
  <c r="J290" i="51"/>
  <c r="J291" i="51"/>
  <c r="J292" i="51"/>
  <c r="J293" i="51"/>
  <c r="J294" i="51"/>
  <c r="J295" i="51"/>
  <c r="J296" i="51"/>
  <c r="J297" i="51"/>
  <c r="J298" i="51"/>
  <c r="J299" i="51"/>
  <c r="J300" i="51"/>
  <c r="J301" i="51"/>
  <c r="J302" i="51"/>
  <c r="J303" i="51"/>
  <c r="J304" i="51"/>
  <c r="J305" i="51"/>
  <c r="J306" i="51"/>
  <c r="J307" i="51"/>
  <c r="J308" i="51"/>
  <c r="J309" i="51"/>
  <c r="J310" i="51"/>
  <c r="J311" i="51"/>
  <c r="J312" i="51"/>
  <c r="J313" i="51"/>
  <c r="J314" i="51"/>
  <c r="J315" i="51"/>
  <c r="J316" i="51"/>
  <c r="J317" i="51"/>
  <c r="J318" i="51"/>
  <c r="J319" i="51"/>
  <c r="J320" i="51"/>
  <c r="J321" i="51"/>
  <c r="J322" i="51"/>
  <c r="J323" i="51"/>
  <c r="J324" i="51"/>
  <c r="J325" i="51"/>
  <c r="J326" i="51"/>
  <c r="J327" i="51"/>
  <c r="J328" i="51"/>
  <c r="J329" i="51"/>
  <c r="J330" i="51"/>
  <c r="J331" i="51"/>
  <c r="J332" i="51"/>
  <c r="J333" i="51"/>
  <c r="J334" i="51"/>
  <c r="J335" i="51"/>
  <c r="J336" i="51"/>
  <c r="J337" i="51"/>
  <c r="J338" i="51"/>
  <c r="J339" i="51"/>
  <c r="J340" i="51"/>
  <c r="J341" i="51"/>
  <c r="J342" i="51"/>
  <c r="J343" i="51"/>
  <c r="J344" i="51"/>
  <c r="J345" i="51"/>
  <c r="J346" i="51"/>
  <c r="J347" i="51"/>
  <c r="J348" i="51"/>
  <c r="J349" i="51"/>
  <c r="J350" i="51"/>
  <c r="J351" i="51"/>
  <c r="J352" i="51"/>
  <c r="J353" i="51"/>
  <c r="J354" i="51"/>
  <c r="J355" i="51"/>
  <c r="J356" i="51"/>
  <c r="J357" i="51"/>
  <c r="J358" i="51"/>
  <c r="J359" i="51"/>
  <c r="J360" i="51"/>
  <c r="J361" i="51"/>
  <c r="J362" i="51"/>
  <c r="J363" i="51"/>
  <c r="J364" i="51"/>
  <c r="J365" i="51"/>
  <c r="J366" i="51"/>
  <c r="J367" i="51"/>
  <c r="J368" i="51"/>
  <c r="J369" i="51"/>
  <c r="J370" i="51"/>
  <c r="J371" i="51"/>
  <c r="J372" i="51"/>
  <c r="J373" i="51"/>
  <c r="J374" i="51"/>
  <c r="J375" i="51"/>
  <c r="J376" i="51"/>
  <c r="J377" i="51"/>
  <c r="J378" i="51"/>
  <c r="J379" i="51"/>
  <c r="J380" i="51"/>
  <c r="J381" i="51"/>
  <c r="J382" i="51"/>
  <c r="J383" i="51"/>
  <c r="J384" i="51"/>
  <c r="J385" i="51"/>
  <c r="J386" i="51"/>
  <c r="J387" i="51"/>
  <c r="J388" i="51"/>
  <c r="J389" i="51"/>
  <c r="J390" i="51"/>
  <c r="J391" i="51"/>
  <c r="J392" i="51"/>
  <c r="J393" i="51"/>
  <c r="J394" i="51"/>
  <c r="J395" i="51"/>
  <c r="J396" i="51"/>
  <c r="J397" i="51"/>
  <c r="J398" i="51"/>
  <c r="J399" i="51"/>
  <c r="J400" i="51"/>
  <c r="J401" i="51"/>
  <c r="J402" i="51"/>
  <c r="J403" i="51"/>
  <c r="J404" i="51"/>
  <c r="J405" i="51"/>
  <c r="J406" i="51"/>
  <c r="J407" i="51"/>
  <c r="J408" i="51"/>
  <c r="J409" i="51"/>
  <c r="J410" i="51"/>
  <c r="J411" i="51"/>
  <c r="J412" i="51"/>
  <c r="J413" i="51"/>
  <c r="J414" i="51"/>
  <c r="J415" i="51"/>
  <c r="J416" i="51"/>
  <c r="J417" i="51"/>
  <c r="J418" i="51"/>
  <c r="J419" i="51"/>
  <c r="J420" i="51"/>
  <c r="J421" i="51"/>
  <c r="J422" i="51"/>
  <c r="J423" i="51"/>
  <c r="J424" i="51"/>
  <c r="J425" i="51"/>
  <c r="J426" i="51"/>
  <c r="J427" i="51"/>
  <c r="J428" i="51"/>
  <c r="J429" i="51"/>
  <c r="J430" i="51"/>
  <c r="J431" i="51"/>
  <c r="J432" i="51"/>
  <c r="J433" i="51"/>
  <c r="J434" i="51"/>
  <c r="J435" i="51"/>
  <c r="J436" i="51"/>
  <c r="J437" i="51"/>
  <c r="J438" i="51"/>
  <c r="J439" i="51"/>
  <c r="J440" i="51"/>
  <c r="J441" i="51"/>
  <c r="J442" i="51"/>
  <c r="J443" i="51"/>
  <c r="J444" i="51"/>
  <c r="J445" i="51"/>
  <c r="J446" i="51"/>
  <c r="J447" i="51"/>
  <c r="J448" i="51"/>
  <c r="J449" i="51"/>
  <c r="K30" i="50"/>
  <c r="K32" i="50"/>
  <c r="K31" i="50"/>
  <c r="L449" i="51"/>
  <c r="L447" i="51"/>
  <c r="L446" i="51"/>
  <c r="L445" i="51"/>
  <c r="L444" i="51"/>
  <c r="L442" i="51"/>
  <c r="L441" i="51"/>
  <c r="L440" i="51"/>
  <c r="L439" i="51"/>
  <c r="L437" i="51"/>
  <c r="L436" i="51"/>
  <c r="L435" i="51"/>
  <c r="L434" i="51"/>
  <c r="L432" i="51"/>
  <c r="L430" i="51"/>
  <c r="L429" i="51"/>
  <c r="L428" i="51"/>
  <c r="L427" i="51"/>
  <c r="L425" i="51"/>
  <c r="L424" i="51"/>
  <c r="L423" i="51"/>
  <c r="L422" i="51"/>
  <c r="L420" i="51"/>
  <c r="L419" i="51"/>
  <c r="L418" i="51"/>
  <c r="L417" i="51"/>
  <c r="L415" i="51"/>
  <c r="L414" i="51"/>
  <c r="L413" i="51"/>
  <c r="L412" i="51"/>
  <c r="L410" i="51"/>
  <c r="L409" i="51"/>
  <c r="L408" i="51"/>
  <c r="L407" i="51"/>
  <c r="L405" i="51"/>
  <c r="L404" i="51"/>
  <c r="L403" i="51"/>
  <c r="L402" i="51"/>
  <c r="L400" i="51"/>
  <c r="L399" i="51"/>
  <c r="L398" i="51"/>
  <c r="L397" i="51"/>
  <c r="L395" i="51"/>
  <c r="L394" i="51"/>
  <c r="L393" i="51"/>
  <c r="L392" i="51"/>
  <c r="L390" i="51"/>
  <c r="L389" i="51"/>
  <c r="L388" i="51"/>
  <c r="L387" i="51"/>
  <c r="L385" i="51"/>
  <c r="L383" i="51"/>
  <c r="L382" i="51"/>
  <c r="L381" i="51"/>
  <c r="L380" i="51"/>
  <c r="L378" i="51"/>
  <c r="L377" i="51"/>
  <c r="L376" i="51"/>
  <c r="L375" i="51"/>
  <c r="L373" i="51"/>
  <c r="L372" i="51"/>
  <c r="L371" i="51"/>
  <c r="L370" i="51"/>
  <c r="L368" i="51"/>
  <c r="L367" i="51"/>
  <c r="L366" i="51"/>
  <c r="L365" i="51"/>
  <c r="L363" i="51"/>
  <c r="L362" i="51"/>
  <c r="L361" i="51"/>
  <c r="L360" i="51"/>
  <c r="L358" i="51"/>
  <c r="L357" i="51"/>
  <c r="L356" i="51"/>
  <c r="L355" i="51"/>
  <c r="L353" i="51"/>
  <c r="L352" i="51"/>
  <c r="L351" i="51"/>
  <c r="L350" i="51"/>
  <c r="L348" i="51"/>
  <c r="L347" i="51"/>
  <c r="L346" i="51"/>
  <c r="L345" i="51"/>
  <c r="L343" i="51"/>
  <c r="L341" i="51"/>
  <c r="L340" i="51"/>
  <c r="L339" i="51"/>
  <c r="L338" i="51"/>
  <c r="L336" i="51"/>
  <c r="L335" i="51"/>
  <c r="L334" i="51"/>
  <c r="L333" i="51"/>
  <c r="L331" i="51"/>
  <c r="L330" i="51"/>
  <c r="L329" i="51"/>
  <c r="L328" i="51"/>
  <c r="L326" i="51"/>
  <c r="L325" i="51"/>
  <c r="L324" i="51"/>
  <c r="L323" i="51"/>
  <c r="L321" i="51"/>
  <c r="L319" i="51"/>
  <c r="L317" i="51"/>
  <c r="L316" i="51"/>
  <c r="L315" i="51"/>
  <c r="L314" i="51"/>
  <c r="L312" i="51"/>
  <c r="L311" i="51"/>
  <c r="L310" i="51"/>
  <c r="L309" i="51"/>
  <c r="L307" i="51"/>
  <c r="L306" i="51"/>
  <c r="L305" i="51"/>
  <c r="L304" i="51"/>
  <c r="L302" i="51"/>
  <c r="L301" i="51"/>
  <c r="L300" i="51"/>
  <c r="L299" i="51"/>
  <c r="L297" i="51"/>
  <c r="L296" i="51"/>
  <c r="L295" i="51"/>
  <c r="L294" i="51"/>
  <c r="L292" i="51"/>
  <c r="L291" i="51"/>
  <c r="L290" i="51"/>
  <c r="L289" i="51"/>
  <c r="L287" i="51"/>
  <c r="L286" i="51"/>
  <c r="L285" i="51"/>
  <c r="L284" i="51"/>
  <c r="L282" i="51"/>
  <c r="L281" i="51"/>
  <c r="L280" i="51"/>
  <c r="L279" i="51"/>
  <c r="L277" i="51"/>
  <c r="L275" i="51"/>
  <c r="L273" i="51"/>
  <c r="L272" i="51"/>
  <c r="L271" i="51"/>
  <c r="L270" i="51"/>
  <c r="L268" i="51"/>
  <c r="L267" i="51"/>
  <c r="L266" i="51"/>
  <c r="L265" i="51"/>
  <c r="L263" i="51"/>
  <c r="L262" i="51"/>
  <c r="L261" i="51"/>
  <c r="L260" i="51"/>
  <c r="L258" i="51"/>
  <c r="L257" i="51"/>
  <c r="L256" i="51"/>
  <c r="L255" i="51"/>
  <c r="L253" i="51"/>
  <c r="L252" i="51"/>
  <c r="L251" i="51"/>
  <c r="L250" i="51"/>
  <c r="L248" i="51"/>
  <c r="L246" i="51"/>
  <c r="L244" i="51"/>
  <c r="L243" i="51"/>
  <c r="L242" i="51"/>
  <c r="L241" i="51"/>
  <c r="L239" i="51"/>
  <c r="L237" i="51"/>
  <c r="L235" i="51"/>
  <c r="L233" i="51"/>
  <c r="L231" i="51"/>
  <c r="L229" i="51"/>
  <c r="L227" i="51"/>
  <c r="L225" i="51"/>
  <c r="L223" i="51"/>
  <c r="L222" i="51"/>
  <c r="L221" i="51"/>
  <c r="L220" i="51"/>
  <c r="L218" i="51"/>
  <c r="L216" i="51"/>
  <c r="L214" i="51"/>
  <c r="L212" i="51"/>
  <c r="L210" i="51"/>
  <c r="L208" i="51"/>
  <c r="L206" i="51"/>
  <c r="L204" i="51"/>
  <c r="L203" i="51"/>
  <c r="L202" i="51"/>
  <c r="L201" i="51"/>
  <c r="L199" i="51"/>
  <c r="L198" i="51"/>
  <c r="L197" i="51"/>
  <c r="L196" i="51"/>
  <c r="L194" i="51"/>
  <c r="L192" i="51"/>
  <c r="L190" i="51"/>
  <c r="L188" i="51"/>
  <c r="L187" i="51"/>
  <c r="L186" i="51"/>
  <c r="L185" i="51"/>
  <c r="L183" i="51"/>
  <c r="L181" i="51"/>
  <c r="L179" i="51"/>
  <c r="L177" i="51"/>
  <c r="L175" i="51"/>
  <c r="L173" i="51"/>
  <c r="L171" i="51"/>
  <c r="L170" i="51"/>
  <c r="L169" i="51"/>
  <c r="L168" i="51"/>
  <c r="L166" i="51"/>
  <c r="L164" i="51"/>
  <c r="L162" i="51"/>
  <c r="L160" i="51"/>
  <c r="L158" i="51"/>
  <c r="L156" i="51"/>
  <c r="L154" i="51"/>
  <c r="L152" i="51"/>
  <c r="L150" i="51"/>
  <c r="L149" i="51"/>
  <c r="L148" i="51"/>
  <c r="L147" i="51"/>
  <c r="L145" i="51"/>
  <c r="L143" i="51"/>
  <c r="L141" i="51"/>
  <c r="L139" i="51"/>
  <c r="L137" i="51"/>
  <c r="L135" i="51"/>
  <c r="L133" i="51"/>
  <c r="L132" i="51"/>
  <c r="L131" i="51"/>
  <c r="L130" i="51"/>
  <c r="L128" i="51"/>
  <c r="L126" i="51"/>
  <c r="L124" i="51"/>
  <c r="L122" i="51"/>
  <c r="L121" i="51"/>
  <c r="L120" i="51"/>
  <c r="L119" i="51"/>
  <c r="L117" i="51"/>
  <c r="L115" i="51"/>
  <c r="L113" i="51"/>
  <c r="L111" i="51"/>
  <c r="L109" i="51"/>
  <c r="L107" i="51"/>
  <c r="L105" i="51"/>
  <c r="L103" i="51"/>
  <c r="L101" i="51"/>
  <c r="L99" i="51"/>
  <c r="L97" i="51"/>
  <c r="L95" i="51"/>
  <c r="L93" i="51"/>
  <c r="L92" i="51"/>
  <c r="L91" i="51"/>
  <c r="L90" i="51"/>
  <c r="L88" i="51"/>
  <c r="L86" i="51"/>
  <c r="L84" i="51"/>
  <c r="L82" i="51"/>
  <c r="L80" i="51"/>
  <c r="L78" i="51"/>
  <c r="L76" i="51"/>
  <c r="L74" i="51"/>
  <c r="L72" i="51"/>
  <c r="L70" i="51"/>
  <c r="L68" i="51"/>
  <c r="L66" i="51"/>
  <c r="L64" i="51"/>
  <c r="L62" i="51"/>
  <c r="L60" i="51"/>
  <c r="L58" i="51"/>
  <c r="L56" i="51"/>
  <c r="L54" i="51"/>
  <c r="L52" i="51"/>
  <c r="L50" i="51"/>
  <c r="L49" i="51"/>
  <c r="L48" i="51"/>
  <c r="L47" i="51"/>
  <c r="L45" i="51"/>
  <c r="L43" i="51"/>
  <c r="L41" i="51"/>
  <c r="L39" i="51"/>
  <c r="L37" i="51"/>
  <c r="L35" i="51"/>
  <c r="L34" i="51"/>
  <c r="L33" i="51"/>
  <c r="L32" i="51"/>
  <c r="L30" i="51"/>
  <c r="L28" i="51"/>
  <c r="L26" i="51"/>
  <c r="L24" i="51"/>
  <c r="L22" i="51"/>
  <c r="L21" i="51"/>
  <c r="L20" i="51"/>
  <c r="L19" i="51"/>
  <c r="L17" i="51"/>
  <c r="L16" i="51"/>
  <c r="L15" i="51"/>
  <c r="L14" i="51"/>
  <c r="L13" i="51"/>
  <c r="L12" i="51"/>
  <c r="L11" i="51"/>
  <c r="L10" i="51"/>
  <c r="L9" i="51"/>
  <c r="L8" i="51"/>
  <c r="L7" i="51"/>
  <c r="L6" i="51"/>
  <c r="L5" i="51"/>
  <c r="L4" i="51"/>
  <c r="L3" i="51"/>
  <c r="J1" i="51"/>
  <c r="J2" i="51"/>
  <c r="J450" i="51"/>
  <c r="J451" i="51"/>
  <c r="J452" i="51"/>
  <c r="J453" i="51"/>
  <c r="J454" i="51"/>
  <c r="J455" i="51"/>
  <c r="J456" i="51"/>
  <c r="J457" i="51"/>
  <c r="J458" i="51"/>
  <c r="J459" i="51"/>
  <c r="J460" i="51"/>
  <c r="J461" i="51"/>
  <c r="J462" i="51"/>
  <c r="J463" i="51"/>
  <c r="J464" i="51"/>
  <c r="J465" i="51"/>
  <c r="J466" i="51"/>
  <c r="J467" i="51"/>
  <c r="J468" i="51"/>
  <c r="J469" i="51"/>
  <c r="J470" i="51"/>
  <c r="J471" i="51"/>
  <c r="J472" i="51"/>
  <c r="J473" i="51"/>
  <c r="J474" i="51"/>
  <c r="J475" i="51"/>
  <c r="J476" i="51"/>
  <c r="J477" i="51"/>
  <c r="J478" i="51"/>
  <c r="J479" i="51"/>
  <c r="J480" i="51"/>
  <c r="J481" i="51"/>
  <c r="J482" i="51"/>
  <c r="J483" i="51"/>
  <c r="J484" i="51"/>
  <c r="J485" i="51"/>
  <c r="J486" i="51"/>
  <c r="J487" i="51"/>
  <c r="J488" i="51"/>
  <c r="J489" i="51"/>
  <c r="J490" i="51"/>
  <c r="J491" i="51"/>
  <c r="J492" i="51"/>
  <c r="J493" i="51"/>
  <c r="J494" i="51"/>
  <c r="J495" i="51"/>
  <c r="J496" i="51"/>
  <c r="J497" i="51"/>
  <c r="J498" i="51"/>
  <c r="J499" i="51"/>
  <c r="J500" i="51"/>
  <c r="J501" i="51"/>
  <c r="J502" i="51"/>
  <c r="J503" i="51"/>
  <c r="J504" i="51"/>
  <c r="J505" i="51"/>
  <c r="J506" i="51"/>
  <c r="J507" i="51"/>
  <c r="J508" i="51"/>
  <c r="J509" i="51"/>
  <c r="J510" i="51"/>
  <c r="J511" i="51"/>
  <c r="J512" i="51"/>
  <c r="J513" i="51"/>
  <c r="J514" i="51"/>
  <c r="J515" i="51"/>
  <c r="J516" i="51"/>
  <c r="J517" i="51"/>
  <c r="J518" i="51"/>
  <c r="J519" i="51"/>
  <c r="J520" i="51"/>
  <c r="J521" i="51"/>
  <c r="J522" i="51"/>
  <c r="J523" i="51"/>
  <c r="J524" i="51"/>
  <c r="J525" i="51"/>
  <c r="J526" i="51"/>
  <c r="J527" i="51"/>
  <c r="J528" i="51"/>
  <c r="J529" i="51"/>
  <c r="J530" i="51"/>
  <c r="J531" i="51"/>
  <c r="J532" i="51"/>
  <c r="J533" i="51"/>
  <c r="J534" i="51"/>
  <c r="J535" i="51"/>
  <c r="J536" i="51"/>
  <c r="J537" i="51"/>
  <c r="J538" i="51"/>
  <c r="J539" i="51"/>
  <c r="J540" i="51"/>
  <c r="J541" i="51"/>
  <c r="J542" i="51"/>
  <c r="J543" i="51"/>
  <c r="J544" i="51"/>
  <c r="J545" i="51"/>
  <c r="J546" i="51"/>
  <c r="J547" i="51"/>
  <c r="J548" i="51"/>
  <c r="J549" i="51"/>
  <c r="J550" i="51"/>
  <c r="J551" i="51"/>
  <c r="J552" i="51"/>
  <c r="J553" i="51"/>
  <c r="J554" i="51"/>
  <c r="J555" i="51"/>
  <c r="J556" i="51"/>
  <c r="J557" i="51"/>
  <c r="J558" i="51"/>
  <c r="J559" i="51"/>
  <c r="J560" i="51"/>
  <c r="J561" i="51"/>
  <c r="J562" i="51"/>
  <c r="J563" i="51"/>
  <c r="J564" i="51"/>
  <c r="J565" i="51"/>
  <c r="J566" i="51"/>
  <c r="J567" i="51"/>
  <c r="J568" i="51"/>
  <c r="J569" i="51"/>
  <c r="J570" i="51"/>
  <c r="J571" i="51"/>
  <c r="J572" i="51"/>
  <c r="J573" i="51"/>
  <c r="J574" i="51"/>
  <c r="J575" i="51"/>
  <c r="J576" i="51"/>
  <c r="J577" i="51"/>
  <c r="J578" i="51"/>
  <c r="J579" i="51"/>
  <c r="J580" i="51"/>
  <c r="J581" i="51"/>
  <c r="J582" i="51"/>
  <c r="J583" i="51"/>
  <c r="J584" i="51"/>
  <c r="J585" i="51"/>
  <c r="J586" i="51"/>
  <c r="J587" i="51"/>
  <c r="J588" i="51"/>
  <c r="J589" i="51"/>
  <c r="J590" i="51"/>
  <c r="J591" i="51"/>
  <c r="J592" i="51"/>
  <c r="J593" i="51"/>
  <c r="J594" i="51"/>
  <c r="J595" i="51"/>
  <c r="J596" i="51"/>
  <c r="J597" i="51"/>
  <c r="J598" i="51"/>
  <c r="J599" i="51"/>
  <c r="J600" i="51"/>
  <c r="J601" i="51"/>
  <c r="J602" i="51"/>
  <c r="J603" i="51"/>
  <c r="J604" i="51"/>
  <c r="J605" i="51"/>
  <c r="J606" i="51"/>
  <c r="J607" i="51"/>
  <c r="J608" i="51"/>
  <c r="J609" i="51"/>
  <c r="J610" i="51"/>
  <c r="J611" i="51"/>
  <c r="J612" i="51"/>
  <c r="J613" i="51"/>
  <c r="J614" i="51"/>
  <c r="J615" i="51"/>
  <c r="J616" i="51"/>
  <c r="J617" i="51"/>
  <c r="J618" i="51"/>
  <c r="J619" i="51"/>
  <c r="J620" i="51"/>
  <c r="J621" i="51"/>
  <c r="J622" i="51"/>
  <c r="J623" i="51"/>
  <c r="J624" i="51"/>
  <c r="J625" i="51"/>
  <c r="J626" i="51"/>
  <c r="J627" i="51"/>
  <c r="J628" i="51"/>
  <c r="J629" i="51"/>
  <c r="J630" i="51"/>
  <c r="J631" i="51"/>
  <c r="J632" i="51"/>
  <c r="J633" i="51"/>
  <c r="J634" i="51"/>
  <c r="J635" i="51"/>
  <c r="J636" i="51"/>
  <c r="J637" i="51"/>
  <c r="J638" i="51"/>
  <c r="J639" i="51"/>
  <c r="J640" i="51"/>
  <c r="J641" i="51"/>
  <c r="J642" i="51"/>
  <c r="J643" i="51"/>
  <c r="J644" i="51"/>
  <c r="J645" i="51"/>
  <c r="J646" i="51"/>
  <c r="J647" i="51"/>
  <c r="J648" i="51"/>
  <c r="J649" i="51"/>
  <c r="J650" i="51"/>
  <c r="J651" i="51"/>
  <c r="J652" i="51"/>
  <c r="J653" i="51"/>
  <c r="J654" i="51"/>
  <c r="J655" i="51"/>
  <c r="J656" i="51"/>
  <c r="J657" i="51"/>
  <c r="J658" i="51"/>
  <c r="J659" i="51"/>
  <c r="J660" i="51"/>
  <c r="J661" i="51"/>
  <c r="J662" i="51"/>
  <c r="J663" i="51"/>
  <c r="J664" i="51"/>
  <c r="J665" i="51"/>
  <c r="J666" i="51"/>
  <c r="J667" i="51"/>
  <c r="J668" i="51"/>
  <c r="J669" i="51"/>
  <c r="J670" i="51"/>
  <c r="J671" i="51"/>
  <c r="J672" i="51"/>
  <c r="J673" i="51"/>
  <c r="J674" i="51"/>
  <c r="J675" i="51"/>
  <c r="J676" i="51"/>
  <c r="J677" i="51"/>
  <c r="J678" i="51"/>
  <c r="J679" i="51"/>
  <c r="J680" i="51"/>
  <c r="J681" i="51"/>
  <c r="J682" i="51"/>
  <c r="J683" i="51"/>
  <c r="J684" i="51"/>
  <c r="J685" i="51"/>
  <c r="J686" i="51"/>
  <c r="J687" i="51"/>
  <c r="J688" i="51"/>
  <c r="J689" i="51"/>
  <c r="J690" i="51"/>
  <c r="J691" i="51"/>
  <c r="J692" i="51"/>
  <c r="J693" i="51"/>
  <c r="J694" i="51"/>
  <c r="J695" i="51"/>
  <c r="J696" i="51"/>
  <c r="J697" i="51"/>
  <c r="J698" i="51"/>
  <c r="J699" i="51"/>
  <c r="J700" i="51"/>
  <c r="J701" i="51"/>
  <c r="J702" i="51"/>
  <c r="J703" i="51"/>
  <c r="J704" i="51"/>
  <c r="J705" i="51"/>
  <c r="J706" i="51"/>
  <c r="J707" i="51"/>
  <c r="J708" i="51"/>
  <c r="J709" i="51"/>
  <c r="J710" i="51"/>
  <c r="J711" i="51"/>
  <c r="J712" i="51"/>
  <c r="J713" i="51"/>
  <c r="J714" i="51"/>
  <c r="J715" i="51"/>
  <c r="J716" i="51"/>
  <c r="J717" i="51"/>
  <c r="J718" i="51"/>
  <c r="J719" i="51"/>
  <c r="J720" i="51"/>
  <c r="J721" i="51"/>
  <c r="J722" i="51"/>
  <c r="J723" i="51"/>
  <c r="J724" i="51"/>
  <c r="J725" i="51"/>
  <c r="J726" i="51"/>
  <c r="J727" i="51"/>
  <c r="J728" i="51"/>
  <c r="J729" i="51"/>
  <c r="J730" i="51"/>
  <c r="J731" i="51"/>
  <c r="J732" i="51"/>
  <c r="J733" i="51"/>
  <c r="J734" i="51"/>
  <c r="J735" i="51"/>
  <c r="J736" i="51"/>
  <c r="J737" i="51"/>
  <c r="J738" i="51"/>
  <c r="J739" i="51"/>
  <c r="J740" i="51"/>
  <c r="J741" i="51"/>
  <c r="J742" i="51"/>
  <c r="J743" i="51"/>
  <c r="J744" i="51"/>
  <c r="J745" i="51"/>
  <c r="J746" i="51"/>
  <c r="J747" i="51"/>
  <c r="J748" i="51"/>
  <c r="J749" i="51"/>
  <c r="J750" i="51"/>
  <c r="J751" i="51"/>
  <c r="J752" i="51"/>
  <c r="J753" i="51"/>
  <c r="J754" i="51"/>
  <c r="J755" i="51"/>
  <c r="J756" i="51"/>
  <c r="J757" i="51"/>
  <c r="J758" i="51"/>
  <c r="J759" i="51"/>
  <c r="J760" i="51"/>
  <c r="J761" i="51"/>
  <c r="J762" i="51"/>
  <c r="J763" i="51"/>
  <c r="J764" i="51"/>
  <c r="J765" i="51"/>
  <c r="J766" i="51"/>
  <c r="J767" i="51"/>
  <c r="J768" i="51"/>
  <c r="J769" i="51"/>
  <c r="J770" i="51"/>
  <c r="J771" i="51"/>
  <c r="J772" i="51"/>
  <c r="J773" i="51"/>
  <c r="J774" i="51"/>
  <c r="J775" i="51"/>
  <c r="J776" i="51"/>
  <c r="J777" i="51"/>
  <c r="J778" i="51"/>
  <c r="J779" i="51"/>
  <c r="J780" i="51"/>
  <c r="J781" i="51"/>
  <c r="J782" i="51"/>
  <c r="J783" i="51"/>
  <c r="J784" i="51"/>
  <c r="J785" i="51"/>
  <c r="J786" i="51"/>
  <c r="J787" i="51"/>
  <c r="J788" i="51"/>
  <c r="J789" i="51"/>
  <c r="J790" i="51"/>
  <c r="J791" i="51"/>
  <c r="J792" i="51"/>
  <c r="J793" i="51"/>
  <c r="J794" i="51"/>
  <c r="J795" i="51"/>
  <c r="J796" i="51"/>
  <c r="J797" i="51"/>
  <c r="J798" i="51"/>
  <c r="J799" i="51"/>
  <c r="J800" i="51"/>
  <c r="J801" i="51"/>
  <c r="J802" i="51"/>
  <c r="J803" i="51"/>
  <c r="J804" i="51"/>
  <c r="J805" i="51"/>
  <c r="J806" i="51"/>
  <c r="J807" i="51"/>
  <c r="J808" i="51"/>
  <c r="J809" i="51"/>
  <c r="J810" i="51"/>
  <c r="J811" i="51"/>
  <c r="J812" i="51"/>
  <c r="J813" i="51"/>
  <c r="J814" i="51"/>
  <c r="J815" i="51"/>
  <c r="J816" i="51"/>
  <c r="J817" i="51"/>
  <c r="J818" i="51"/>
  <c r="J819" i="51"/>
  <c r="J820" i="51"/>
  <c r="J821" i="51"/>
  <c r="J822" i="51"/>
  <c r="J823" i="51"/>
  <c r="J824" i="51"/>
  <c r="J825" i="51"/>
  <c r="J826" i="51"/>
  <c r="J827" i="51"/>
  <c r="J828" i="51"/>
  <c r="J829" i="51"/>
  <c r="J830" i="51"/>
  <c r="J831" i="51"/>
  <c r="J832" i="51"/>
  <c r="J833" i="51"/>
  <c r="J834" i="51"/>
  <c r="J835" i="51"/>
  <c r="J836" i="51"/>
  <c r="J837" i="51"/>
  <c r="J838" i="51"/>
  <c r="J839" i="51"/>
  <c r="J840" i="51"/>
  <c r="J841" i="51"/>
  <c r="J842" i="51"/>
  <c r="J843" i="51"/>
  <c r="J844" i="51"/>
  <c r="J845" i="51"/>
  <c r="J846" i="51"/>
  <c r="J847" i="51"/>
  <c r="J848" i="51"/>
  <c r="J849" i="51"/>
  <c r="J850" i="51"/>
  <c r="J851" i="51"/>
  <c r="J852" i="51"/>
  <c r="J853" i="51"/>
  <c r="J854" i="51"/>
  <c r="J855" i="51"/>
  <c r="J856" i="51"/>
  <c r="J857" i="51"/>
  <c r="J858" i="51"/>
  <c r="J859" i="51"/>
  <c r="J860" i="51"/>
  <c r="J861" i="51"/>
  <c r="J862" i="51"/>
  <c r="J863" i="51"/>
  <c r="J864" i="51"/>
  <c r="J865" i="51"/>
  <c r="J866" i="51"/>
  <c r="J867" i="51"/>
  <c r="J868" i="51"/>
  <c r="J869" i="51"/>
  <c r="J870" i="51"/>
  <c r="J871" i="51"/>
  <c r="J872" i="51"/>
  <c r="J873" i="51"/>
  <c r="J874" i="51"/>
  <c r="J875" i="51"/>
  <c r="J876" i="51"/>
  <c r="J877" i="51"/>
  <c r="J878" i="51"/>
  <c r="J879" i="51"/>
  <c r="J880" i="51"/>
  <c r="J881" i="51"/>
  <c r="J882" i="51"/>
  <c r="J883" i="51"/>
  <c r="J884" i="51"/>
  <c r="J885" i="51"/>
  <c r="J886" i="51"/>
  <c r="J887" i="51"/>
  <c r="J888" i="51"/>
  <c r="J889" i="51"/>
  <c r="J890" i="51"/>
  <c r="J891" i="51"/>
  <c r="J892" i="51"/>
  <c r="J893" i="51"/>
  <c r="J894" i="51"/>
  <c r="J895" i="51"/>
  <c r="J896" i="51"/>
  <c r="J897" i="51"/>
  <c r="J898" i="51"/>
  <c r="J899" i="51"/>
  <c r="J900" i="51"/>
  <c r="J901" i="51"/>
  <c r="J902" i="51"/>
  <c r="J903" i="51"/>
  <c r="J904" i="51"/>
  <c r="J905" i="51"/>
  <c r="J906" i="51"/>
  <c r="J907" i="51"/>
  <c r="J908" i="51"/>
  <c r="J909" i="51"/>
  <c r="J910" i="51"/>
  <c r="J911" i="51"/>
  <c r="J912" i="51"/>
  <c r="J913" i="51"/>
  <c r="J914" i="51"/>
  <c r="J915" i="51"/>
  <c r="J916" i="51"/>
  <c r="J917" i="51"/>
  <c r="J918" i="51"/>
  <c r="J919" i="51"/>
  <c r="J920" i="51"/>
  <c r="J921" i="51"/>
  <c r="J922" i="51"/>
  <c r="J923" i="51"/>
  <c r="J924" i="51"/>
  <c r="J925" i="51"/>
  <c r="J926" i="51"/>
  <c r="J927" i="51"/>
  <c r="J928" i="51"/>
  <c r="J929" i="51"/>
  <c r="J930" i="51"/>
  <c r="J931" i="51"/>
  <c r="J932" i="51"/>
  <c r="J933" i="51"/>
  <c r="J934" i="51"/>
  <c r="J935" i="51"/>
  <c r="J936" i="51"/>
  <c r="J937" i="51"/>
  <c r="J938" i="51"/>
  <c r="J939" i="51"/>
  <c r="J940" i="51"/>
  <c r="J941" i="51"/>
  <c r="J942" i="51"/>
  <c r="J943" i="51"/>
  <c r="J944" i="51"/>
  <c r="J945" i="51"/>
  <c r="J946" i="51"/>
  <c r="J947" i="51"/>
  <c r="J948" i="51"/>
  <c r="J949" i="51"/>
  <c r="J950" i="51"/>
  <c r="J951" i="51"/>
  <c r="J952" i="51"/>
  <c r="J953" i="51"/>
  <c r="J954" i="51"/>
  <c r="J955" i="51"/>
  <c r="J956" i="51"/>
  <c r="J957" i="51"/>
  <c r="J958" i="51"/>
  <c r="J959" i="51"/>
  <c r="J960" i="51"/>
  <c r="J961" i="51"/>
  <c r="J962" i="51"/>
  <c r="J963" i="51"/>
  <c r="J964" i="51"/>
  <c r="J965" i="51"/>
  <c r="J966" i="51"/>
  <c r="J967" i="51"/>
  <c r="J968" i="51"/>
  <c r="J969" i="51"/>
  <c r="J970" i="51"/>
  <c r="J971" i="51"/>
  <c r="J972" i="51"/>
  <c r="J973" i="51"/>
  <c r="J974" i="51"/>
  <c r="J975" i="51"/>
  <c r="J976" i="51"/>
  <c r="J977" i="51"/>
  <c r="J978" i="51"/>
  <c r="J979" i="51"/>
  <c r="J980" i="51"/>
  <c r="J981" i="51"/>
  <c r="J982" i="51"/>
  <c r="J983" i="51"/>
  <c r="J984" i="51"/>
  <c r="J985" i="51"/>
  <c r="J986" i="51"/>
  <c r="J987" i="51"/>
  <c r="J988" i="51"/>
  <c r="J989" i="51"/>
  <c r="J990" i="51"/>
  <c r="J991" i="51"/>
  <c r="J992" i="51"/>
  <c r="J993" i="51"/>
  <c r="J994" i="51"/>
  <c r="J995" i="51"/>
  <c r="J996" i="51"/>
  <c r="J997" i="51"/>
  <c r="J998" i="51"/>
  <c r="J999" i="51"/>
  <c r="J1000" i="51"/>
  <c r="J1001" i="51"/>
  <c r="J1002" i="51"/>
  <c r="J1003" i="51"/>
  <c r="J1004" i="51"/>
  <c r="J1005" i="51"/>
  <c r="J1006" i="51"/>
  <c r="J1007" i="51"/>
  <c r="J1008" i="51"/>
  <c r="J1009" i="51"/>
  <c r="J1010" i="51"/>
  <c r="J1011" i="51"/>
  <c r="J1012" i="51"/>
  <c r="J1013" i="51"/>
  <c r="J1014" i="51"/>
  <c r="J1015" i="51"/>
  <c r="J1016" i="51"/>
  <c r="J1017" i="51"/>
  <c r="J1018" i="51"/>
  <c r="J1019" i="51"/>
  <c r="J1020" i="51"/>
  <c r="J1021" i="51"/>
  <c r="J1022" i="51"/>
  <c r="J1023" i="51"/>
  <c r="J1024" i="51"/>
  <c r="J1025" i="51"/>
  <c r="J1026" i="51"/>
  <c r="J1027" i="51"/>
  <c r="J1028" i="51"/>
  <c r="J1029" i="51"/>
  <c r="J1030" i="51"/>
  <c r="J1031" i="51"/>
  <c r="J1032" i="51"/>
  <c r="J1033" i="51"/>
  <c r="J1034" i="51"/>
  <c r="J1035" i="51"/>
  <c r="J1036" i="51"/>
  <c r="J1037" i="51"/>
  <c r="J1038" i="51"/>
  <c r="J1039" i="51"/>
  <c r="J1040" i="51"/>
  <c r="J1041" i="51"/>
  <c r="J1042" i="51"/>
  <c r="J1043" i="51"/>
  <c r="J1044" i="51"/>
  <c r="J1045" i="51"/>
  <c r="J1046" i="51"/>
  <c r="J1047" i="51"/>
  <c r="J1048" i="51"/>
  <c r="J1049" i="51"/>
  <c r="J1050" i="51"/>
  <c r="J1051" i="51"/>
  <c r="J1052" i="51"/>
  <c r="J1053" i="51"/>
  <c r="J1054" i="51"/>
  <c r="J1055" i="51"/>
  <c r="J1056" i="51"/>
  <c r="J1057" i="51"/>
  <c r="J1058" i="51"/>
  <c r="J1059" i="51"/>
  <c r="J1060" i="51"/>
  <c r="J1061" i="51"/>
  <c r="J1062" i="51"/>
  <c r="J1063" i="51"/>
  <c r="J1064" i="51"/>
  <c r="J1065" i="51"/>
  <c r="J1066" i="51"/>
  <c r="J1067" i="51"/>
  <c r="J1068" i="51"/>
  <c r="J1069" i="51"/>
  <c r="J1070" i="51"/>
  <c r="J1071" i="51"/>
  <c r="J1072" i="51"/>
  <c r="J1073" i="51"/>
  <c r="J1074" i="51"/>
  <c r="J1075" i="51"/>
  <c r="J1076" i="51"/>
  <c r="J1077" i="51"/>
  <c r="J1078" i="51"/>
  <c r="J1079" i="51"/>
  <c r="J1080" i="51"/>
  <c r="J1081" i="51"/>
  <c r="M208" i="54" l="1"/>
  <c r="M219" i="54"/>
  <c r="M187" i="54"/>
  <c r="M210" i="54"/>
  <c r="M209" i="54"/>
  <c r="M195" i="54"/>
  <c r="M199" i="54"/>
  <c r="M217" i="54"/>
  <c r="M215" i="54"/>
  <c r="M207" i="54"/>
  <c r="M198" i="54"/>
  <c r="M190" i="54"/>
  <c r="M192" i="54"/>
  <c r="M213" i="54"/>
  <c r="M214" i="54"/>
  <c r="M212" i="54"/>
  <c r="M205" i="54"/>
  <c r="M216" i="54"/>
  <c r="M201" i="54"/>
  <c r="M200" i="54"/>
  <c r="M193" i="54"/>
  <c r="M202" i="54"/>
  <c r="M204" i="54"/>
  <c r="M229" i="54"/>
  <c r="M206" i="54"/>
  <c r="N4" i="54"/>
  <c r="O3" i="54" s="1"/>
  <c r="B449" i="51"/>
  <c r="B448" i="51"/>
  <c r="B447" i="51"/>
  <c r="B446" i="51"/>
  <c r="B445" i="51"/>
  <c r="B444" i="51"/>
  <c r="B443" i="51"/>
  <c r="B442" i="51"/>
  <c r="B441" i="51"/>
  <c r="B440" i="51"/>
  <c r="B439" i="51"/>
  <c r="B438" i="51"/>
  <c r="B437" i="51"/>
  <c r="B436" i="51"/>
  <c r="B435" i="51"/>
  <c r="B434" i="51"/>
  <c r="B433" i="51"/>
  <c r="B432" i="51"/>
  <c r="B431" i="51"/>
  <c r="B430" i="51"/>
  <c r="B429" i="51"/>
  <c r="B428" i="51"/>
  <c r="B427" i="51"/>
  <c r="B426" i="51"/>
  <c r="B425" i="51"/>
  <c r="B424" i="51"/>
  <c r="B423" i="51"/>
  <c r="B422" i="51"/>
  <c r="B421" i="51"/>
  <c r="B420" i="51"/>
  <c r="B419" i="51"/>
  <c r="B418" i="51"/>
  <c r="B417" i="51"/>
  <c r="B416" i="51"/>
  <c r="B415" i="51"/>
  <c r="B414" i="51"/>
  <c r="B413" i="51"/>
  <c r="B412" i="51"/>
  <c r="B411" i="51"/>
  <c r="B410" i="51"/>
  <c r="B409" i="51"/>
  <c r="B408" i="51"/>
  <c r="B407" i="51"/>
  <c r="B406" i="51"/>
  <c r="B405" i="51"/>
  <c r="B404" i="51"/>
  <c r="B403" i="51"/>
  <c r="B402" i="51"/>
  <c r="B401" i="51"/>
  <c r="B400" i="51"/>
  <c r="B399" i="51"/>
  <c r="B398" i="51"/>
  <c r="B397" i="51"/>
  <c r="B396" i="51"/>
  <c r="B395" i="51"/>
  <c r="B394" i="51"/>
  <c r="B393" i="51"/>
  <c r="B392" i="51"/>
  <c r="B391" i="51"/>
  <c r="B390" i="51"/>
  <c r="B389" i="51"/>
  <c r="B388" i="51"/>
  <c r="B387" i="51"/>
  <c r="B386" i="51"/>
  <c r="B385" i="51"/>
  <c r="B384" i="51"/>
  <c r="B383" i="51"/>
  <c r="B382" i="51"/>
  <c r="B381" i="51"/>
  <c r="B380" i="51"/>
  <c r="B379" i="51"/>
  <c r="B378" i="51"/>
  <c r="B377" i="51"/>
  <c r="B376" i="51"/>
  <c r="B375" i="51"/>
  <c r="B374" i="51"/>
  <c r="B373" i="51"/>
  <c r="B372" i="51"/>
  <c r="B371" i="51"/>
  <c r="B370" i="51"/>
  <c r="B369" i="51"/>
  <c r="B368" i="51"/>
  <c r="B367" i="51"/>
  <c r="B366" i="51"/>
  <c r="B365" i="51"/>
  <c r="B364" i="51"/>
  <c r="B363" i="51"/>
  <c r="B362" i="51"/>
  <c r="B361" i="51"/>
  <c r="B360" i="51"/>
  <c r="B359" i="51"/>
  <c r="B358" i="51"/>
  <c r="B357" i="51"/>
  <c r="B356" i="51"/>
  <c r="B355" i="51"/>
  <c r="B354" i="51"/>
  <c r="B353" i="51"/>
  <c r="B352" i="51"/>
  <c r="B351" i="51"/>
  <c r="B350" i="51"/>
  <c r="B349" i="51"/>
  <c r="B348" i="51"/>
  <c r="B347" i="51"/>
  <c r="B346" i="51"/>
  <c r="B345" i="51"/>
  <c r="B344" i="51"/>
  <c r="B343" i="51"/>
  <c r="B342" i="51"/>
  <c r="B341" i="51"/>
  <c r="B340" i="51"/>
  <c r="B339" i="51"/>
  <c r="B338" i="51"/>
  <c r="B337" i="51"/>
  <c r="B336" i="51"/>
  <c r="B335" i="51"/>
  <c r="B334" i="51"/>
  <c r="B333" i="51"/>
  <c r="B332" i="51"/>
  <c r="B331" i="51"/>
  <c r="B330" i="51"/>
  <c r="B329" i="51"/>
  <c r="B328" i="51"/>
  <c r="B327" i="51"/>
  <c r="B326" i="51"/>
  <c r="B325" i="51"/>
  <c r="B324" i="51"/>
  <c r="B323" i="51"/>
  <c r="B322" i="51"/>
  <c r="B321" i="51"/>
  <c r="B320" i="51"/>
  <c r="B319" i="51"/>
  <c r="B318" i="51"/>
  <c r="B317" i="51"/>
  <c r="B316" i="51"/>
  <c r="B315" i="51"/>
  <c r="B314" i="51"/>
  <c r="B313" i="51"/>
  <c r="B312" i="51"/>
  <c r="B311" i="51"/>
  <c r="B310" i="51"/>
  <c r="B309" i="51"/>
  <c r="B308" i="51"/>
  <c r="B307" i="51"/>
  <c r="B306" i="51"/>
  <c r="B305" i="51"/>
  <c r="B304" i="51"/>
  <c r="B303" i="51"/>
  <c r="B302" i="51"/>
  <c r="B301" i="51"/>
  <c r="B300" i="51"/>
  <c r="B299" i="51"/>
  <c r="B298" i="51"/>
  <c r="B297" i="51"/>
  <c r="B296" i="51"/>
  <c r="B295" i="51"/>
  <c r="B294" i="51"/>
  <c r="B293" i="51"/>
  <c r="B292" i="51"/>
  <c r="B291" i="51"/>
  <c r="B290" i="51"/>
  <c r="B289" i="51"/>
  <c r="B288" i="51"/>
  <c r="B287" i="51"/>
  <c r="B286" i="51"/>
  <c r="B285" i="51"/>
  <c r="B284" i="51"/>
  <c r="B283" i="51"/>
  <c r="B282" i="51"/>
  <c r="B281" i="51"/>
  <c r="B280" i="51"/>
  <c r="B279" i="51"/>
  <c r="B278" i="51"/>
  <c r="B277" i="51"/>
  <c r="B276" i="51"/>
  <c r="B275" i="51"/>
  <c r="B274" i="51"/>
  <c r="B273" i="51"/>
  <c r="B272" i="51"/>
  <c r="B271" i="51"/>
  <c r="B270" i="51"/>
  <c r="B269" i="51"/>
  <c r="B268" i="51"/>
  <c r="B267" i="51"/>
  <c r="B266" i="51"/>
  <c r="B265" i="51"/>
  <c r="B264" i="51"/>
  <c r="B263" i="51"/>
  <c r="B262" i="51"/>
  <c r="B261" i="51"/>
  <c r="B260" i="51"/>
  <c r="B259" i="51"/>
  <c r="B258" i="51"/>
  <c r="B257" i="51"/>
  <c r="B256" i="51"/>
  <c r="B255" i="51"/>
  <c r="B254" i="51"/>
  <c r="B253" i="51"/>
  <c r="B252" i="51"/>
  <c r="B251" i="51"/>
  <c r="B250" i="51"/>
  <c r="B249" i="51"/>
  <c r="B248" i="51"/>
  <c r="B247" i="51"/>
  <c r="B246" i="51"/>
  <c r="B245" i="51"/>
  <c r="B244" i="51"/>
  <c r="B243" i="51"/>
  <c r="B242" i="51"/>
  <c r="B241" i="51"/>
  <c r="B240" i="51"/>
  <c r="B239" i="51"/>
  <c r="B238" i="51"/>
  <c r="B237" i="51"/>
  <c r="B236" i="51"/>
  <c r="B235" i="51"/>
  <c r="B234" i="51"/>
  <c r="B233" i="51"/>
  <c r="B232" i="51"/>
  <c r="B231" i="51"/>
  <c r="B230" i="51"/>
  <c r="B229" i="51"/>
  <c r="B228" i="51"/>
  <c r="B227" i="51"/>
  <c r="B226" i="51"/>
  <c r="B225" i="51"/>
  <c r="B224" i="51"/>
  <c r="B223" i="51"/>
  <c r="B222" i="51"/>
  <c r="B221" i="51"/>
  <c r="B220" i="51"/>
  <c r="B219" i="51"/>
  <c r="B218" i="51"/>
  <c r="B217" i="51"/>
  <c r="B216" i="51"/>
  <c r="B215" i="51"/>
  <c r="B214" i="51"/>
  <c r="B213" i="51"/>
  <c r="B212" i="51"/>
  <c r="B211" i="51"/>
  <c r="B210" i="51"/>
  <c r="B209" i="51"/>
  <c r="B208" i="51"/>
  <c r="B207" i="51"/>
  <c r="B206" i="51"/>
  <c r="B205" i="51"/>
  <c r="B204" i="51"/>
  <c r="B203" i="51"/>
  <c r="B202" i="51"/>
  <c r="B201" i="51"/>
  <c r="B200" i="51"/>
  <c r="B199" i="51"/>
  <c r="B198" i="51"/>
  <c r="B197" i="51"/>
  <c r="B196" i="51"/>
  <c r="B195" i="51"/>
  <c r="B194" i="51"/>
  <c r="B193" i="51"/>
  <c r="B192" i="51"/>
  <c r="B191" i="51"/>
  <c r="B190" i="51"/>
  <c r="B189" i="51"/>
  <c r="B188" i="51"/>
  <c r="B187" i="51"/>
  <c r="B186" i="51"/>
  <c r="B185" i="51"/>
  <c r="B184" i="51"/>
  <c r="B183" i="51"/>
  <c r="B182" i="51"/>
  <c r="B181" i="51"/>
  <c r="B180" i="51"/>
  <c r="B179" i="51"/>
  <c r="B178" i="51"/>
  <c r="B177" i="51"/>
  <c r="B176" i="51"/>
  <c r="B175" i="51"/>
  <c r="B174" i="51"/>
  <c r="B173" i="51"/>
  <c r="B172" i="51"/>
  <c r="B171" i="51"/>
  <c r="B170" i="51"/>
  <c r="B169" i="51"/>
  <c r="B168" i="51"/>
  <c r="B167" i="51"/>
  <c r="B166" i="51"/>
  <c r="B165" i="51"/>
  <c r="B164" i="51"/>
  <c r="B163" i="51"/>
  <c r="B162" i="51"/>
  <c r="B161" i="51"/>
  <c r="B160" i="51"/>
  <c r="B159" i="51"/>
  <c r="B158" i="51"/>
  <c r="B157" i="51"/>
  <c r="B156" i="51"/>
  <c r="B155" i="51"/>
  <c r="B154" i="51"/>
  <c r="B153" i="51"/>
  <c r="B152" i="51"/>
  <c r="B151" i="51"/>
  <c r="B150" i="51"/>
  <c r="B149" i="51"/>
  <c r="B148" i="51"/>
  <c r="B147" i="51"/>
  <c r="B146" i="51"/>
  <c r="B145" i="51"/>
  <c r="B144" i="51"/>
  <c r="B143" i="51"/>
  <c r="B142" i="51"/>
  <c r="B141" i="51"/>
  <c r="B140" i="51"/>
  <c r="B139" i="51"/>
  <c r="B138" i="51"/>
  <c r="B137" i="51"/>
  <c r="B136" i="51"/>
  <c r="B135" i="51"/>
  <c r="B134" i="51"/>
  <c r="B133" i="51"/>
  <c r="B132" i="51"/>
  <c r="B131" i="51"/>
  <c r="B130" i="51"/>
  <c r="B129" i="51"/>
  <c r="B128" i="51"/>
  <c r="B127" i="51"/>
  <c r="B126" i="51"/>
  <c r="B125" i="51"/>
  <c r="B124" i="51"/>
  <c r="B123" i="51"/>
  <c r="B122" i="51"/>
  <c r="B121" i="51"/>
  <c r="B120" i="51"/>
  <c r="B119" i="51"/>
  <c r="B118" i="51"/>
  <c r="B117" i="51"/>
  <c r="B116" i="51"/>
  <c r="B115" i="51"/>
  <c r="B114" i="51"/>
  <c r="B113" i="51"/>
  <c r="B112" i="51"/>
  <c r="B111" i="51"/>
  <c r="B110" i="51"/>
  <c r="B109" i="51"/>
  <c r="B108" i="51"/>
  <c r="B107" i="51"/>
  <c r="B106" i="51"/>
  <c r="B105" i="51"/>
  <c r="B104" i="51"/>
  <c r="B103" i="51"/>
  <c r="B102" i="51"/>
  <c r="B101" i="51"/>
  <c r="B100" i="51"/>
  <c r="B99" i="51"/>
  <c r="B98" i="51"/>
  <c r="B97" i="51"/>
  <c r="B96" i="51"/>
  <c r="B95" i="51"/>
  <c r="B94" i="51"/>
  <c r="B93" i="51"/>
  <c r="B92" i="51"/>
  <c r="B91" i="51"/>
  <c r="B90" i="51"/>
  <c r="B89" i="51"/>
  <c r="B88" i="51"/>
  <c r="B87" i="51"/>
  <c r="B86" i="51"/>
  <c r="B85" i="51"/>
  <c r="B84" i="51"/>
  <c r="B83" i="51"/>
  <c r="B82" i="51"/>
  <c r="B81" i="51"/>
  <c r="B80" i="51"/>
  <c r="B79" i="51"/>
  <c r="B78" i="51"/>
  <c r="B77" i="51"/>
  <c r="B76" i="51"/>
  <c r="B75" i="51"/>
  <c r="B74" i="51"/>
  <c r="B73" i="51"/>
  <c r="B72" i="51"/>
  <c r="B71" i="51"/>
  <c r="B70" i="51"/>
  <c r="B69" i="51"/>
  <c r="B68" i="51"/>
  <c r="B67" i="51"/>
  <c r="B66" i="51"/>
  <c r="B65" i="51"/>
  <c r="B64" i="51"/>
  <c r="B63" i="51"/>
  <c r="B62" i="51"/>
  <c r="B61" i="51"/>
  <c r="B60" i="51"/>
  <c r="B59" i="51"/>
  <c r="B58" i="51"/>
  <c r="B57" i="51"/>
  <c r="B56" i="51"/>
  <c r="B55" i="51"/>
  <c r="B54" i="51"/>
  <c r="B53" i="51"/>
  <c r="B52" i="51"/>
  <c r="B51" i="51"/>
  <c r="B50" i="51"/>
  <c r="B49" i="51"/>
  <c r="B48" i="51"/>
  <c r="B47" i="51"/>
  <c r="B46" i="51"/>
  <c r="B45" i="51"/>
  <c r="B44" i="51"/>
  <c r="B43" i="51"/>
  <c r="B42" i="51"/>
  <c r="B41" i="51"/>
  <c r="B40" i="51"/>
  <c r="B39" i="51"/>
  <c r="B38" i="51"/>
  <c r="B37" i="51"/>
  <c r="B36" i="51"/>
  <c r="B35" i="51"/>
  <c r="B34" i="51"/>
  <c r="B33" i="51"/>
  <c r="B32" i="51"/>
  <c r="B31" i="51"/>
  <c r="B30" i="51"/>
  <c r="B29" i="51"/>
  <c r="B28" i="51"/>
  <c r="B27" i="51"/>
  <c r="B26" i="51"/>
  <c r="B25" i="51"/>
  <c r="B24" i="51"/>
  <c r="B23" i="51"/>
  <c r="B22" i="51"/>
  <c r="B21" i="51"/>
  <c r="B20" i="51"/>
  <c r="B19" i="51"/>
  <c r="B18" i="51"/>
  <c r="B17" i="51"/>
  <c r="B16" i="51"/>
  <c r="B15" i="51"/>
  <c r="B14" i="51"/>
  <c r="B13" i="51"/>
  <c r="B12" i="51"/>
  <c r="B11" i="51"/>
  <c r="B10" i="51"/>
  <c r="B9" i="51"/>
  <c r="B8" i="51"/>
  <c r="B7" i="51"/>
  <c r="B6" i="51"/>
  <c r="B5" i="51"/>
  <c r="B4" i="51"/>
  <c r="B3" i="51"/>
  <c r="N157" i="54" l="1"/>
  <c r="N66" i="54"/>
  <c r="N159" i="54"/>
  <c r="N58" i="54"/>
  <c r="N39" i="54"/>
  <c r="N199" i="54" s="1"/>
  <c r="N33" i="54"/>
  <c r="N43" i="54"/>
  <c r="N68" i="54"/>
  <c r="N98" i="54"/>
  <c r="N91" i="54"/>
  <c r="N166" i="54"/>
  <c r="N111" i="54"/>
  <c r="N170" i="54"/>
  <c r="N136" i="54"/>
  <c r="N62" i="54"/>
  <c r="N21" i="54"/>
  <c r="N106" i="54"/>
  <c r="N75" i="54"/>
  <c r="N103" i="54"/>
  <c r="N25" i="54"/>
  <c r="N130" i="54"/>
  <c r="N148" i="54"/>
  <c r="N5" i="54"/>
  <c r="N184" i="54" s="1"/>
  <c r="N70" i="54"/>
  <c r="N93" i="54"/>
  <c r="N92" i="54"/>
  <c r="N60" i="54"/>
  <c r="N73" i="54"/>
  <c r="N97" i="54"/>
  <c r="N23" i="54"/>
  <c r="N32" i="54"/>
  <c r="N175" i="54"/>
  <c r="N225" i="54" s="1"/>
  <c r="N153" i="54"/>
  <c r="N65" i="54"/>
  <c r="N116" i="54"/>
  <c r="N40" i="54"/>
  <c r="N29" i="54"/>
  <c r="N107" i="54"/>
  <c r="N176" i="54"/>
  <c r="N226" i="54" s="1"/>
  <c r="N162" i="54"/>
  <c r="N129" i="54"/>
  <c r="N22" i="54"/>
  <c r="N104" i="54"/>
  <c r="N160" i="54"/>
  <c r="N172" i="54"/>
  <c r="N164" i="54"/>
  <c r="N47" i="54"/>
  <c r="N102" i="54"/>
  <c r="N89" i="54"/>
  <c r="N161" i="54"/>
  <c r="N87" i="54"/>
  <c r="N53" i="54"/>
  <c r="N143" i="54"/>
  <c r="N71" i="54"/>
  <c r="N95" i="54"/>
  <c r="N78" i="54"/>
  <c r="N134" i="54"/>
  <c r="N121" i="54"/>
  <c r="N72" i="54"/>
  <c r="N56" i="54"/>
  <c r="N37" i="54"/>
  <c r="N198" i="54" s="1"/>
  <c r="N108" i="54"/>
  <c r="N211" i="54" s="1"/>
  <c r="N100" i="54"/>
  <c r="N163" i="54"/>
  <c r="N138" i="54"/>
  <c r="N125" i="54"/>
  <c r="N41" i="54"/>
  <c r="N79" i="54"/>
  <c r="N135" i="54"/>
  <c r="N16" i="54"/>
  <c r="N147" i="54"/>
  <c r="N179" i="54"/>
  <c r="N167" i="54"/>
  <c r="N83" i="54"/>
  <c r="N20" i="54"/>
  <c r="N115" i="54"/>
  <c r="N61" i="54"/>
  <c r="N46" i="54"/>
  <c r="N151" i="54"/>
  <c r="N51" i="54"/>
  <c r="N203" i="54" s="1"/>
  <c r="N80" i="54"/>
  <c r="N171" i="54"/>
  <c r="N110" i="54"/>
  <c r="N142" i="54"/>
  <c r="N174" i="54"/>
  <c r="N224" i="54" s="1"/>
  <c r="N101" i="54"/>
  <c r="N133" i="54"/>
  <c r="N165" i="54"/>
  <c r="N42" i="54"/>
  <c r="N50" i="54"/>
  <c r="N12" i="54"/>
  <c r="N188" i="54" s="1"/>
  <c r="N88" i="54"/>
  <c r="N120" i="54"/>
  <c r="N49" i="54"/>
  <c r="N55" i="54"/>
  <c r="N82" i="54"/>
  <c r="N146" i="54"/>
  <c r="N178" i="54"/>
  <c r="N228" i="54" s="1"/>
  <c r="N105" i="54"/>
  <c r="N169" i="54"/>
  <c r="N221" i="54" s="1"/>
  <c r="N30" i="54"/>
  <c r="N44" i="54"/>
  <c r="N8" i="54"/>
  <c r="N155" i="54"/>
  <c r="N180" i="54"/>
  <c r="N19" i="54"/>
  <c r="N13" i="54"/>
  <c r="N127" i="54"/>
  <c r="N28" i="54"/>
  <c r="N6" i="54"/>
  <c r="N185" i="54" s="1"/>
  <c r="N74" i="54"/>
  <c r="N52" i="54"/>
  <c r="N168" i="54"/>
  <c r="N59" i="54"/>
  <c r="N112" i="54"/>
  <c r="N86" i="54"/>
  <c r="N118" i="54"/>
  <c r="N150" i="54"/>
  <c r="N77" i="54"/>
  <c r="N109" i="54"/>
  <c r="N212" i="54" s="1"/>
  <c r="N141" i="54"/>
  <c r="N173" i="54"/>
  <c r="N38" i="54"/>
  <c r="N84" i="54"/>
  <c r="N27" i="54"/>
  <c r="N7" i="54"/>
  <c r="N128" i="54"/>
  <c r="N26" i="54"/>
  <c r="N17" i="54"/>
  <c r="N191" i="54" s="1"/>
  <c r="N132" i="54"/>
  <c r="N54" i="54"/>
  <c r="N10" i="54"/>
  <c r="N119" i="54"/>
  <c r="N69" i="54"/>
  <c r="N31" i="54"/>
  <c r="N63" i="54"/>
  <c r="N131" i="54"/>
  <c r="N90" i="54"/>
  <c r="N122" i="54"/>
  <c r="N154" i="54"/>
  <c r="N81" i="54"/>
  <c r="N113" i="54"/>
  <c r="N145" i="54"/>
  <c r="N177" i="54"/>
  <c r="N227" i="54" s="1"/>
  <c r="N123" i="54"/>
  <c r="N140" i="54"/>
  <c r="N152" i="54"/>
  <c r="N9" i="54"/>
  <c r="N24" i="54"/>
  <c r="N64" i="54"/>
  <c r="N156" i="54"/>
  <c r="N99" i="54"/>
  <c r="N114" i="54"/>
  <c r="N137" i="54"/>
  <c r="N36" i="54"/>
  <c r="N197" i="54" s="1"/>
  <c r="N15" i="54"/>
  <c r="N18" i="54"/>
  <c r="N96" i="54"/>
  <c r="N45" i="54"/>
  <c r="N11" i="54"/>
  <c r="N48" i="54"/>
  <c r="N34" i="54"/>
  <c r="N139" i="54"/>
  <c r="N57" i="54"/>
  <c r="N14" i="54"/>
  <c r="N124" i="54"/>
  <c r="N76" i="54"/>
  <c r="N35" i="54"/>
  <c r="N196" i="54" s="1"/>
  <c r="N67" i="54"/>
  <c r="N144" i="54"/>
  <c r="N94" i="54"/>
  <c r="N126" i="54"/>
  <c r="N158" i="54"/>
  <c r="N218" i="54" s="1"/>
  <c r="N85" i="54"/>
  <c r="N117" i="54"/>
  <c r="N149" i="54"/>
  <c r="N181" i="54"/>
  <c r="O4" i="54"/>
  <c r="P3" i="54" s="1"/>
  <c r="C2" i="51"/>
  <c r="D1" i="51"/>
  <c r="D2" i="51" s="1"/>
  <c r="C18" i="51"/>
  <c r="C69" i="51"/>
  <c r="C209" i="51"/>
  <c r="C178" i="51"/>
  <c r="C226" i="51"/>
  <c r="C53" i="51"/>
  <c r="C73" i="51"/>
  <c r="C85" i="51"/>
  <c r="C118" i="51"/>
  <c r="C240" i="51"/>
  <c r="C269" i="51"/>
  <c r="C426" i="51"/>
  <c r="C433" i="51"/>
  <c r="C42" i="51"/>
  <c r="C102" i="51"/>
  <c r="C125" i="51"/>
  <c r="C165" i="51"/>
  <c r="C94" i="51"/>
  <c r="C264" i="51"/>
  <c r="C89" i="51"/>
  <c r="C189" i="51"/>
  <c r="C374" i="51"/>
  <c r="C61" i="51"/>
  <c r="C81" i="51"/>
  <c r="C104" i="51"/>
  <c r="C144" i="51"/>
  <c r="C182" i="51"/>
  <c r="C38" i="51"/>
  <c r="C369" i="51"/>
  <c r="C146" i="51"/>
  <c r="C153" i="51"/>
  <c r="C184" i="51"/>
  <c r="C245" i="51"/>
  <c r="C274" i="51"/>
  <c r="C112" i="51"/>
  <c r="C142" i="51"/>
  <c r="C421" i="51"/>
  <c r="C114" i="51"/>
  <c r="C217" i="51"/>
  <c r="C416" i="51"/>
  <c r="C98" i="51"/>
  <c r="C161" i="51"/>
  <c r="C25" i="51"/>
  <c r="C40" i="51"/>
  <c r="C278" i="51"/>
  <c r="C174" i="51"/>
  <c r="C193" i="51"/>
  <c r="C288" i="51"/>
  <c r="C293" i="51"/>
  <c r="C298" i="51"/>
  <c r="C322" i="51"/>
  <c r="C384" i="51"/>
  <c r="C46" i="51"/>
  <c r="C65" i="51"/>
  <c r="C136" i="51"/>
  <c r="C213" i="51"/>
  <c r="C232" i="51"/>
  <c r="C313" i="51"/>
  <c r="C318" i="51"/>
  <c r="C337" i="51"/>
  <c r="C342" i="51"/>
  <c r="C438" i="51"/>
  <c r="C224" i="51"/>
  <c r="C238" i="51"/>
  <c r="C57" i="51"/>
  <c r="C96" i="51"/>
  <c r="C110" i="51"/>
  <c r="C138" i="51"/>
  <c r="C176" i="51"/>
  <c r="C200" i="51"/>
  <c r="C205" i="51"/>
  <c r="C234" i="51"/>
  <c r="C401" i="51"/>
  <c r="C406" i="51"/>
  <c r="C386" i="51"/>
  <c r="C29" i="51"/>
  <c r="C77" i="51"/>
  <c r="C106" i="51"/>
  <c r="C129" i="51"/>
  <c r="C134" i="51"/>
  <c r="C157" i="51"/>
  <c r="C230" i="51"/>
  <c r="C249" i="51"/>
  <c r="C254" i="51"/>
  <c r="C320" i="51"/>
  <c r="C344" i="51"/>
  <c r="C349" i="51"/>
  <c r="C354" i="51"/>
  <c r="C448" i="51"/>
  <c r="C23" i="51"/>
  <c r="C31" i="51"/>
  <c r="C55" i="51"/>
  <c r="C63" i="51"/>
  <c r="C71" i="51"/>
  <c r="C79" i="51"/>
  <c r="C87" i="51"/>
  <c r="C127" i="51"/>
  <c r="C151" i="51"/>
  <c r="C159" i="51"/>
  <c r="C167" i="51"/>
  <c r="C191" i="51"/>
  <c r="C207" i="51"/>
  <c r="C215" i="51"/>
  <c r="C247" i="51"/>
  <c r="C303" i="51"/>
  <c r="C327" i="51"/>
  <c r="C359" i="51"/>
  <c r="C391" i="51"/>
  <c r="C431" i="51"/>
  <c r="C36" i="51"/>
  <c r="C44" i="51"/>
  <c r="C100" i="51"/>
  <c r="C108" i="51"/>
  <c r="C116" i="51"/>
  <c r="C140" i="51"/>
  <c r="C172" i="51"/>
  <c r="C180" i="51"/>
  <c r="C228" i="51"/>
  <c r="C236" i="51"/>
  <c r="C276" i="51"/>
  <c r="C308" i="51"/>
  <c r="C332" i="51"/>
  <c r="C364" i="51"/>
  <c r="C396" i="51"/>
  <c r="C27" i="51"/>
  <c r="C51" i="51"/>
  <c r="C59" i="51"/>
  <c r="C67" i="51"/>
  <c r="C75" i="51"/>
  <c r="C83" i="51"/>
  <c r="C123" i="51"/>
  <c r="C155" i="51"/>
  <c r="C163" i="51"/>
  <c r="C195" i="51"/>
  <c r="C211" i="51"/>
  <c r="C219" i="51"/>
  <c r="C259" i="51"/>
  <c r="C283" i="51"/>
  <c r="C379" i="51"/>
  <c r="C411" i="51"/>
  <c r="C443" i="51"/>
  <c r="D318" i="51"/>
  <c r="D379" i="51"/>
  <c r="D51" i="51"/>
  <c r="D127" i="51"/>
  <c r="D259" i="51"/>
  <c r="D71" i="51"/>
  <c r="D129" i="51"/>
  <c r="D226" i="51"/>
  <c r="D46" i="51"/>
  <c r="D63" i="51"/>
  <c r="D18" i="51"/>
  <c r="D25" i="51"/>
  <c r="D278" i="51"/>
  <c r="D59" i="51"/>
  <c r="D118" i="51"/>
  <c r="D207" i="51"/>
  <c r="D359" i="51"/>
  <c r="D426" i="51"/>
  <c r="D42" i="51"/>
  <c r="D354" i="51"/>
  <c r="D374" i="51"/>
  <c r="D219" i="51"/>
  <c r="D230" i="51"/>
  <c r="D254" i="51"/>
  <c r="D73" i="51"/>
  <c r="D98" i="51"/>
  <c r="D163" i="51"/>
  <c r="D283" i="51"/>
  <c r="D369" i="51"/>
  <c r="D79" i="51"/>
  <c r="D102" i="51"/>
  <c r="D337" i="51"/>
  <c r="D134" i="51"/>
  <c r="D159" i="51"/>
  <c r="D31" i="51"/>
  <c r="D83" i="51"/>
  <c r="D106" i="51"/>
  <c r="D151" i="51"/>
  <c r="D182" i="51"/>
  <c r="D313" i="51"/>
  <c r="D23" i="51"/>
  <c r="D65" i="51"/>
  <c r="D123" i="51"/>
  <c r="D146" i="51"/>
  <c r="D153" i="51"/>
  <c r="D247" i="51"/>
  <c r="D249" i="51"/>
  <c r="D342" i="51"/>
  <c r="D431" i="51"/>
  <c r="D178" i="51"/>
  <c r="D217" i="51"/>
  <c r="D274" i="51"/>
  <c r="D27" i="51"/>
  <c r="D55" i="51"/>
  <c r="D75" i="51"/>
  <c r="D89" i="51"/>
  <c r="D94" i="51"/>
  <c r="D155" i="51"/>
  <c r="D174" i="51"/>
  <c r="D193" i="51"/>
  <c r="D298" i="51"/>
  <c r="D303" i="51"/>
  <c r="D322" i="51"/>
  <c r="D327" i="51"/>
  <c r="D443" i="51"/>
  <c r="D195" i="51"/>
  <c r="D209" i="51"/>
  <c r="D38" i="51"/>
  <c r="D67" i="51"/>
  <c r="D81" i="51"/>
  <c r="D114" i="51"/>
  <c r="D142" i="51"/>
  <c r="D161" i="51"/>
  <c r="D215" i="51"/>
  <c r="D238" i="51"/>
  <c r="D386" i="51"/>
  <c r="D391" i="51"/>
  <c r="D433" i="51"/>
  <c r="D57" i="51"/>
  <c r="D87" i="51"/>
  <c r="D110" i="51"/>
  <c r="D138" i="51"/>
  <c r="D167" i="51"/>
  <c r="D191" i="51"/>
  <c r="D211" i="51"/>
  <c r="D234" i="51"/>
  <c r="D401" i="51"/>
  <c r="D406" i="51"/>
  <c r="D411" i="51"/>
  <c r="D40" i="51"/>
  <c r="D96" i="51"/>
  <c r="D104" i="51"/>
  <c r="D112" i="51"/>
  <c r="D136" i="51"/>
  <c r="D144" i="51"/>
  <c r="D176" i="51"/>
  <c r="D184" i="51"/>
  <c r="D200" i="51"/>
  <c r="D224" i="51"/>
  <c r="D232" i="51"/>
  <c r="D240" i="51"/>
  <c r="D264" i="51"/>
  <c r="D288" i="51"/>
  <c r="D320" i="51"/>
  <c r="D344" i="51"/>
  <c r="D384" i="51"/>
  <c r="D416" i="51"/>
  <c r="D448" i="51"/>
  <c r="D438" i="51"/>
  <c r="D29" i="51"/>
  <c r="D53" i="51"/>
  <c r="D61" i="51"/>
  <c r="D69" i="51"/>
  <c r="D77" i="51"/>
  <c r="D85" i="51"/>
  <c r="D125" i="51"/>
  <c r="D157" i="51"/>
  <c r="D165" i="51"/>
  <c r="D189" i="51"/>
  <c r="D205" i="51"/>
  <c r="D213" i="51"/>
  <c r="D245" i="51"/>
  <c r="D269" i="51"/>
  <c r="D293" i="51"/>
  <c r="D349" i="51"/>
  <c r="D421" i="51"/>
  <c r="D36" i="51"/>
  <c r="D44" i="51"/>
  <c r="D100" i="51"/>
  <c r="D108" i="51"/>
  <c r="D116" i="51"/>
  <c r="D140" i="51"/>
  <c r="D172" i="51"/>
  <c r="D180" i="51"/>
  <c r="D228" i="51"/>
  <c r="D236" i="51"/>
  <c r="D276" i="51"/>
  <c r="D308" i="51"/>
  <c r="D332" i="51"/>
  <c r="D364" i="51"/>
  <c r="D396" i="51"/>
  <c r="N222" i="54" l="1"/>
  <c r="N206" i="54"/>
  <c r="N200" i="54"/>
  <c r="N202" i="54"/>
  <c r="N223" i="54"/>
  <c r="N192" i="54"/>
  <c r="N190" i="54"/>
  <c r="N189" i="54"/>
  <c r="N193" i="54"/>
  <c r="N194" i="54"/>
  <c r="N204" i="54"/>
  <c r="N208" i="54"/>
  <c r="N195" i="54"/>
  <c r="N210" i="54"/>
  <c r="N205" i="54"/>
  <c r="N217" i="54"/>
  <c r="N219" i="54"/>
  <c r="N215" i="54"/>
  <c r="N214" i="54"/>
  <c r="N209" i="54"/>
  <c r="N213" i="54"/>
  <c r="N186" i="54"/>
  <c r="N201" i="54"/>
  <c r="N216" i="54"/>
  <c r="N229" i="54"/>
  <c r="N220" i="54"/>
  <c r="O54" i="54"/>
  <c r="O174" i="54"/>
  <c r="O224" i="54" s="1"/>
  <c r="O59" i="54"/>
  <c r="O9" i="54"/>
  <c r="O154" i="54"/>
  <c r="O136" i="54"/>
  <c r="O112" i="54"/>
  <c r="O180" i="54"/>
  <c r="O123" i="54"/>
  <c r="O15" i="54"/>
  <c r="O145" i="54"/>
  <c r="O166" i="54"/>
  <c r="O110" i="54"/>
  <c r="O162" i="54"/>
  <c r="O141" i="54"/>
  <c r="O117" i="54"/>
  <c r="O173" i="54"/>
  <c r="O127" i="54"/>
  <c r="N207" i="54"/>
  <c r="O12" i="54"/>
  <c r="O188" i="54" s="1"/>
  <c r="O101" i="54"/>
  <c r="O138" i="54"/>
  <c r="O49" i="54"/>
  <c r="O31" i="54"/>
  <c r="O18" i="54"/>
  <c r="O181" i="54"/>
  <c r="O134" i="54"/>
  <c r="O103" i="54"/>
  <c r="N187" i="54"/>
  <c r="O30" i="54"/>
  <c r="O19" i="54"/>
  <c r="O57" i="54"/>
  <c r="O33" i="54"/>
  <c r="O28" i="54"/>
  <c r="O94" i="54"/>
  <c r="O7" i="54"/>
  <c r="O152" i="54"/>
  <c r="O52" i="54"/>
  <c r="O149" i="54"/>
  <c r="O34" i="54"/>
  <c r="O125" i="54"/>
  <c r="O22" i="54"/>
  <c r="O80" i="54"/>
  <c r="O6" i="54"/>
  <c r="O185" i="54" s="1"/>
  <c r="O64" i="54"/>
  <c r="O164" i="54"/>
  <c r="O146" i="54"/>
  <c r="O75" i="54"/>
  <c r="O107" i="54"/>
  <c r="O139" i="54"/>
  <c r="O171" i="54"/>
  <c r="O150" i="54"/>
  <c r="O133" i="54"/>
  <c r="O43" i="54"/>
  <c r="O81" i="54"/>
  <c r="O104" i="54"/>
  <c r="O126" i="54"/>
  <c r="O11" i="54"/>
  <c r="O50" i="54"/>
  <c r="O108" i="54"/>
  <c r="O211" i="54" s="1"/>
  <c r="O46" i="54"/>
  <c r="O122" i="54"/>
  <c r="O17" i="54"/>
  <c r="O191" i="54" s="1"/>
  <c r="O88" i="54"/>
  <c r="O172" i="54"/>
  <c r="O223" i="54" s="1"/>
  <c r="O67" i="54"/>
  <c r="O158" i="54"/>
  <c r="O218" i="54" s="1"/>
  <c r="O58" i="54"/>
  <c r="O124" i="54"/>
  <c r="O116" i="54"/>
  <c r="O99" i="54"/>
  <c r="O131" i="54"/>
  <c r="O163" i="54"/>
  <c r="O96" i="54"/>
  <c r="O170" i="54"/>
  <c r="O222" i="54" s="1"/>
  <c r="O23" i="54"/>
  <c r="O77" i="54"/>
  <c r="O113" i="54"/>
  <c r="O144" i="54"/>
  <c r="O98" i="54"/>
  <c r="O72" i="54"/>
  <c r="O61" i="54"/>
  <c r="O129" i="54"/>
  <c r="O71" i="54"/>
  <c r="O135" i="54"/>
  <c r="O167" i="54"/>
  <c r="O27" i="54"/>
  <c r="O24" i="54"/>
  <c r="O65" i="54"/>
  <c r="O89" i="54"/>
  <c r="O42" i="54"/>
  <c r="O121" i="54"/>
  <c r="O45" i="54"/>
  <c r="O157" i="54"/>
  <c r="O69" i="54"/>
  <c r="O156" i="54"/>
  <c r="O37" i="54"/>
  <c r="O132" i="54"/>
  <c r="O26" i="54"/>
  <c r="O85" i="54"/>
  <c r="O10" i="54"/>
  <c r="O187" i="54" s="1"/>
  <c r="O74" i="54"/>
  <c r="O76" i="54"/>
  <c r="O148" i="54"/>
  <c r="O79" i="54"/>
  <c r="O111" i="54"/>
  <c r="O143" i="54"/>
  <c r="O175" i="54"/>
  <c r="O225" i="54" s="1"/>
  <c r="O39" i="54"/>
  <c r="O128" i="54"/>
  <c r="O25" i="54"/>
  <c r="O62" i="54"/>
  <c r="O16" i="54"/>
  <c r="O86" i="54"/>
  <c r="O13" i="54"/>
  <c r="O44" i="54"/>
  <c r="O55" i="54"/>
  <c r="O114" i="54"/>
  <c r="O95" i="54"/>
  <c r="O159" i="54"/>
  <c r="O5" i="54"/>
  <c r="O184" i="54" s="1"/>
  <c r="O153" i="54"/>
  <c r="O70" i="54"/>
  <c r="O169" i="54"/>
  <c r="O221" i="54" s="1"/>
  <c r="O109" i="54"/>
  <c r="O20" i="54"/>
  <c r="O48" i="54"/>
  <c r="O68" i="54"/>
  <c r="O106" i="54"/>
  <c r="O47" i="54"/>
  <c r="O130" i="54"/>
  <c r="O53" i="54"/>
  <c r="O176" i="54"/>
  <c r="O226" i="54" s="1"/>
  <c r="O93" i="54"/>
  <c r="O165" i="54"/>
  <c r="O40" i="54"/>
  <c r="O137" i="54"/>
  <c r="O35" i="54"/>
  <c r="O196" i="54" s="1"/>
  <c r="O92" i="54"/>
  <c r="O14" i="54"/>
  <c r="O78" i="54"/>
  <c r="O82" i="54"/>
  <c r="O161" i="54"/>
  <c r="O83" i="54"/>
  <c r="O115" i="54"/>
  <c r="O147" i="54"/>
  <c r="O179" i="54"/>
  <c r="P98" i="54"/>
  <c r="P76" i="54"/>
  <c r="O177" i="54"/>
  <c r="O227" i="54" s="1"/>
  <c r="O140" i="54"/>
  <c r="O36" i="54"/>
  <c r="O197" i="54" s="1"/>
  <c r="O105" i="54"/>
  <c r="O66" i="54"/>
  <c r="O41" i="54"/>
  <c r="O32" i="54"/>
  <c r="O97" i="54"/>
  <c r="O91" i="54"/>
  <c r="O155" i="54"/>
  <c r="O8" i="54"/>
  <c r="O60" i="54"/>
  <c r="O51" i="54"/>
  <c r="O203" i="54" s="1"/>
  <c r="O118" i="54"/>
  <c r="O120" i="54"/>
  <c r="O73" i="54"/>
  <c r="O160" i="54"/>
  <c r="O56" i="54"/>
  <c r="O21" i="54"/>
  <c r="O100" i="54"/>
  <c r="O168" i="54"/>
  <c r="O63" i="54"/>
  <c r="O142" i="54"/>
  <c r="O38" i="54"/>
  <c r="O102" i="54"/>
  <c r="O29" i="54"/>
  <c r="O90" i="54"/>
  <c r="O84" i="54"/>
  <c r="O178" i="54"/>
  <c r="O228" i="54" s="1"/>
  <c r="O87" i="54"/>
  <c r="O119" i="54"/>
  <c r="O151" i="54"/>
  <c r="P4" i="54"/>
  <c r="P178" i="54" s="1"/>
  <c r="P228" i="54" s="1"/>
  <c r="O189" i="54"/>
  <c r="E1" i="51"/>
  <c r="E2" i="51" s="1"/>
  <c r="F733" i="46"/>
  <c r="E734" i="46" s="1"/>
  <c r="F734" i="46" s="1"/>
  <c r="E735" i="46" s="1"/>
  <c r="F735" i="46" s="1"/>
  <c r="E736" i="46" s="1"/>
  <c r="F736" i="46" s="1"/>
  <c r="E737" i="46" s="1"/>
  <c r="F737" i="46" s="1"/>
  <c r="E738" i="46" s="1"/>
  <c r="F738" i="46" s="1"/>
  <c r="E739" i="46" s="1"/>
  <c r="F739" i="46" s="1"/>
  <c r="E740" i="46" s="1"/>
  <c r="F740" i="46" s="1"/>
  <c r="E741" i="46" s="1"/>
  <c r="F741" i="46" s="1"/>
  <c r="E733" i="46"/>
  <c r="E167" i="51"/>
  <c r="E191" i="51"/>
  <c r="E259" i="51"/>
  <c r="E354" i="51"/>
  <c r="E104" i="51"/>
  <c r="E40" i="51"/>
  <c r="E100" i="51"/>
  <c r="E140" i="51"/>
  <c r="E155" i="51"/>
  <c r="E327" i="51"/>
  <c r="E27" i="51"/>
  <c r="E87" i="51"/>
  <c r="E211" i="51"/>
  <c r="E443" i="51"/>
  <c r="E44" i="51"/>
  <c r="E303" i="51"/>
  <c r="E322" i="51"/>
  <c r="E51" i="51"/>
  <c r="E127" i="51"/>
  <c r="E144" i="51"/>
  <c r="E63" i="51"/>
  <c r="E83" i="51"/>
  <c r="E106" i="51"/>
  <c r="E116" i="51"/>
  <c r="E138" i="51"/>
  <c r="E232" i="51"/>
  <c r="E234" i="51"/>
  <c r="E298" i="51"/>
  <c r="E411" i="51"/>
  <c r="E59" i="51"/>
  <c r="E320" i="51"/>
  <c r="E359" i="51"/>
  <c r="E36" i="51"/>
  <c r="E136" i="51"/>
  <c r="E228" i="51"/>
  <c r="E416" i="51"/>
  <c r="E55" i="51"/>
  <c r="E75" i="51"/>
  <c r="E163" i="51"/>
  <c r="E344" i="51"/>
  <c r="E364" i="51"/>
  <c r="E207" i="51"/>
  <c r="E226" i="51"/>
  <c r="E236" i="51"/>
  <c r="E240" i="51"/>
  <c r="E264" i="51"/>
  <c r="E283" i="51"/>
  <c r="E379" i="51"/>
  <c r="E426" i="51"/>
  <c r="E431" i="51"/>
  <c r="E448" i="51"/>
  <c r="E31" i="51"/>
  <c r="E79" i="51"/>
  <c r="E98" i="51"/>
  <c r="E108" i="51"/>
  <c r="E112" i="51"/>
  <c r="E159" i="51"/>
  <c r="E178" i="51"/>
  <c r="E274" i="51"/>
  <c r="E288" i="51"/>
  <c r="E308" i="51"/>
  <c r="E332" i="51"/>
  <c r="E384" i="51"/>
  <c r="E219" i="51"/>
  <c r="E247" i="51"/>
  <c r="E18" i="51"/>
  <c r="E42" i="51"/>
  <c r="E71" i="51"/>
  <c r="E123" i="51"/>
  <c r="E146" i="51"/>
  <c r="E151" i="51"/>
  <c r="E195" i="51"/>
  <c r="E224" i="51"/>
  <c r="E396" i="51"/>
  <c r="E180" i="51"/>
  <c r="E184" i="51"/>
  <c r="E276" i="51"/>
  <c r="E23" i="51"/>
  <c r="E67" i="51"/>
  <c r="E96" i="51"/>
  <c r="E114" i="51"/>
  <c r="E172" i="51"/>
  <c r="E176" i="51"/>
  <c r="E200" i="51"/>
  <c r="E215" i="51"/>
  <c r="E386" i="51"/>
  <c r="E391" i="51"/>
  <c r="E25" i="51"/>
  <c r="E57" i="51"/>
  <c r="E65" i="51"/>
  <c r="E73" i="51"/>
  <c r="E81" i="51"/>
  <c r="E89" i="51"/>
  <c r="E129" i="51"/>
  <c r="E153" i="51"/>
  <c r="E161" i="51"/>
  <c r="E193" i="51"/>
  <c r="E209" i="51"/>
  <c r="E217" i="51"/>
  <c r="E249" i="51"/>
  <c r="E313" i="51"/>
  <c r="E337" i="51"/>
  <c r="E369" i="51"/>
  <c r="E401" i="51"/>
  <c r="E433" i="51"/>
  <c r="E38" i="51"/>
  <c r="E46" i="51"/>
  <c r="E94" i="51"/>
  <c r="E102" i="51"/>
  <c r="E110" i="51"/>
  <c r="E118" i="51"/>
  <c r="E134" i="51"/>
  <c r="E142" i="51"/>
  <c r="E174" i="51"/>
  <c r="E182" i="51"/>
  <c r="E230" i="51"/>
  <c r="E238" i="51"/>
  <c r="E254" i="51"/>
  <c r="E278" i="51"/>
  <c r="E318" i="51"/>
  <c r="E342" i="51"/>
  <c r="E374" i="51"/>
  <c r="E406" i="51"/>
  <c r="E438" i="51"/>
  <c r="E29" i="51"/>
  <c r="E53" i="51"/>
  <c r="E61" i="51"/>
  <c r="E69" i="51"/>
  <c r="E77" i="51"/>
  <c r="E85" i="51"/>
  <c r="E125" i="51"/>
  <c r="E157" i="51"/>
  <c r="E165" i="51"/>
  <c r="E189" i="51"/>
  <c r="E205" i="51"/>
  <c r="E213" i="51"/>
  <c r="E245" i="51"/>
  <c r="E269" i="51"/>
  <c r="E293" i="51"/>
  <c r="E349" i="51"/>
  <c r="E421" i="51"/>
  <c r="P162" i="54" l="1"/>
  <c r="O190" i="54"/>
  <c r="P75" i="54"/>
  <c r="P89" i="54"/>
  <c r="O201" i="54"/>
  <c r="O215" i="54"/>
  <c r="P168" i="54"/>
  <c r="P44" i="54"/>
  <c r="P35" i="54"/>
  <c r="P196" i="54" s="1"/>
  <c r="P173" i="54"/>
  <c r="P223" i="54" s="1"/>
  <c r="O202" i="54"/>
  <c r="O192" i="54"/>
  <c r="O198" i="54"/>
  <c r="P30" i="54"/>
  <c r="P139" i="54"/>
  <c r="O220" i="54"/>
  <c r="O200" i="54"/>
  <c r="O204" i="54"/>
  <c r="P59" i="54"/>
  <c r="P33" i="54"/>
  <c r="P37" i="54"/>
  <c r="P124" i="54"/>
  <c r="P15" i="54"/>
  <c r="P67" i="54"/>
  <c r="P56" i="54"/>
  <c r="P87" i="54"/>
  <c r="P151" i="54"/>
  <c r="P110" i="54"/>
  <c r="P174" i="54"/>
  <c r="P224" i="54" s="1"/>
  <c r="P96" i="54"/>
  <c r="P112" i="54"/>
  <c r="P48" i="54"/>
  <c r="P143" i="54"/>
  <c r="P166" i="54"/>
  <c r="P172" i="54"/>
  <c r="P5" i="54"/>
  <c r="P184" i="54" s="1"/>
  <c r="P34" i="54"/>
  <c r="P10" i="54"/>
  <c r="P69" i="54"/>
  <c r="P109" i="54"/>
  <c r="P136" i="54"/>
  <c r="P120" i="54"/>
  <c r="P111" i="54"/>
  <c r="P175" i="54"/>
  <c r="P225" i="54" s="1"/>
  <c r="P134" i="54"/>
  <c r="P84" i="54"/>
  <c r="P128" i="54"/>
  <c r="P7" i="54"/>
  <c r="P38" i="54"/>
  <c r="P79" i="54"/>
  <c r="P102" i="54"/>
  <c r="O194" i="54"/>
  <c r="P45" i="54"/>
  <c r="P20" i="54"/>
  <c r="P16" i="54"/>
  <c r="P117" i="54"/>
  <c r="P11" i="54"/>
  <c r="P41" i="54"/>
  <c r="P52" i="54"/>
  <c r="P83" i="54"/>
  <c r="P147" i="54"/>
  <c r="P106" i="54"/>
  <c r="P170" i="54"/>
  <c r="P27" i="54"/>
  <c r="P176" i="54"/>
  <c r="P226" i="54" s="1"/>
  <c r="P31" i="54"/>
  <c r="P6" i="54"/>
  <c r="P185" i="54" s="1"/>
  <c r="P49" i="54"/>
  <c r="P104" i="54"/>
  <c r="P129" i="54"/>
  <c r="P101" i="54"/>
  <c r="P107" i="54"/>
  <c r="P171" i="54"/>
  <c r="P130" i="54"/>
  <c r="P65" i="54"/>
  <c r="P12" i="54"/>
  <c r="P188" i="54" s="1"/>
  <c r="P42" i="54"/>
  <c r="P14" i="54"/>
  <c r="P93" i="54"/>
  <c r="P148" i="54"/>
  <c r="P141" i="54"/>
  <c r="P133" i="54"/>
  <c r="P115" i="54"/>
  <c r="P179" i="54"/>
  <c r="P138" i="54"/>
  <c r="P132" i="54"/>
  <c r="P19" i="54"/>
  <c r="P70" i="54"/>
  <c r="P29" i="54"/>
  <c r="P100" i="54"/>
  <c r="P153" i="54"/>
  <c r="P181" i="54"/>
  <c r="P152" i="54"/>
  <c r="P119" i="54"/>
  <c r="P78" i="54"/>
  <c r="P142" i="54"/>
  <c r="O219" i="54"/>
  <c r="O195" i="54"/>
  <c r="O229" i="54"/>
  <c r="P17" i="54"/>
  <c r="P191" i="54" s="1"/>
  <c r="P140" i="54"/>
  <c r="P71" i="54"/>
  <c r="P24" i="54"/>
  <c r="P39" i="54"/>
  <c r="P73" i="54"/>
  <c r="P77" i="54"/>
  <c r="P55" i="54"/>
  <c r="P21" i="54"/>
  <c r="P105" i="54"/>
  <c r="P47" i="54"/>
  <c r="P161" i="54"/>
  <c r="P72" i="54"/>
  <c r="P28" i="54"/>
  <c r="P60" i="54"/>
  <c r="P165" i="54"/>
  <c r="P91" i="54"/>
  <c r="P123" i="54"/>
  <c r="P155" i="54"/>
  <c r="P82" i="54"/>
  <c r="P114" i="54"/>
  <c r="P146" i="54"/>
  <c r="Q3" i="54"/>
  <c r="Q4" i="54"/>
  <c r="R4" i="54" s="1"/>
  <c r="P57" i="54"/>
  <c r="P145" i="54"/>
  <c r="P108" i="54"/>
  <c r="P211" i="54" s="1"/>
  <c r="P51" i="54"/>
  <c r="P203" i="54" s="1"/>
  <c r="P125" i="54"/>
  <c r="P81" i="54"/>
  <c r="P116" i="54"/>
  <c r="P58" i="54"/>
  <c r="P25" i="54"/>
  <c r="P144" i="54"/>
  <c r="P50" i="54"/>
  <c r="P18" i="54"/>
  <c r="P192" i="54" s="1"/>
  <c r="P80" i="54"/>
  <c r="P32" i="54"/>
  <c r="P64" i="54"/>
  <c r="P164" i="54"/>
  <c r="P95" i="54"/>
  <c r="P127" i="54"/>
  <c r="P159" i="54"/>
  <c r="P86" i="54"/>
  <c r="P118" i="54"/>
  <c r="P150" i="54"/>
  <c r="P8" i="54"/>
  <c r="P63" i="54"/>
  <c r="P113" i="54"/>
  <c r="P54" i="54"/>
  <c r="P9" i="54"/>
  <c r="P169" i="54"/>
  <c r="P221" i="54" s="1"/>
  <c r="P121" i="54"/>
  <c r="P61" i="54"/>
  <c r="P43" i="54"/>
  <c r="P149" i="54"/>
  <c r="P53" i="54"/>
  <c r="P22" i="54"/>
  <c r="P85" i="54"/>
  <c r="P36" i="54"/>
  <c r="P197" i="54" s="1"/>
  <c r="P68" i="54"/>
  <c r="P177" i="54"/>
  <c r="P227" i="54" s="1"/>
  <c r="P99" i="54"/>
  <c r="P131" i="54"/>
  <c r="P163" i="54"/>
  <c r="P90" i="54"/>
  <c r="P122" i="54"/>
  <c r="P154" i="54"/>
  <c r="P66" i="54"/>
  <c r="P13" i="54"/>
  <c r="P157" i="54"/>
  <c r="P62" i="54"/>
  <c r="P23" i="54"/>
  <c r="P137" i="54"/>
  <c r="P180" i="54"/>
  <c r="P74" i="54"/>
  <c r="P46" i="54"/>
  <c r="P156" i="54"/>
  <c r="P97" i="54"/>
  <c r="P26" i="54"/>
  <c r="P92" i="54"/>
  <c r="P40" i="54"/>
  <c r="P88" i="54"/>
  <c r="P160" i="54"/>
  <c r="P103" i="54"/>
  <c r="P135" i="54"/>
  <c r="P167" i="54"/>
  <c r="P220" i="54" s="1"/>
  <c r="P94" i="54"/>
  <c r="P126" i="54"/>
  <c r="P158" i="54"/>
  <c r="P218" i="54" s="1"/>
  <c r="O210" i="54"/>
  <c r="O207" i="54"/>
  <c r="O214" i="54"/>
  <c r="O216" i="54"/>
  <c r="O199" i="54"/>
  <c r="O213" i="54"/>
  <c r="O208" i="54"/>
  <c r="O209" i="54"/>
  <c r="O205" i="54"/>
  <c r="O186" i="54"/>
  <c r="O217" i="54"/>
  <c r="O206" i="54"/>
  <c r="O212" i="54"/>
  <c r="O193" i="54"/>
  <c r="F1" i="51"/>
  <c r="F2" i="51" s="1"/>
  <c r="E708" i="46"/>
  <c r="F708" i="46" s="1"/>
  <c r="E709" i="46" s="1"/>
  <c r="F709" i="46" s="1"/>
  <c r="D686" i="46"/>
  <c r="D685" i="46"/>
  <c r="D684" i="46"/>
  <c r="L683" i="46"/>
  <c r="D683" i="46"/>
  <c r="D682" i="46"/>
  <c r="R681" i="46"/>
  <c r="Q681" i="46"/>
  <c r="P681" i="46"/>
  <c r="O681" i="46"/>
  <c r="N681" i="46"/>
  <c r="M681" i="46"/>
  <c r="L681" i="46"/>
  <c r="K681" i="46"/>
  <c r="J681" i="46"/>
  <c r="I681" i="46"/>
  <c r="H681" i="46"/>
  <c r="G681" i="46"/>
  <c r="D681" i="46"/>
  <c r="D680" i="46"/>
  <c r="D679" i="46"/>
  <c r="D678" i="46"/>
  <c r="D677" i="46"/>
  <c r="D676" i="46"/>
  <c r="D675" i="46"/>
  <c r="D674" i="46"/>
  <c r="D673" i="46"/>
  <c r="D672" i="46"/>
  <c r="D671" i="46"/>
  <c r="D670" i="46"/>
  <c r="D669" i="46"/>
  <c r="D668" i="46"/>
  <c r="D667" i="46"/>
  <c r="D666" i="46"/>
  <c r="D665" i="46"/>
  <c r="D664" i="46"/>
  <c r="D663" i="46"/>
  <c r="D662" i="46"/>
  <c r="D661" i="46"/>
  <c r="D660" i="46"/>
  <c r="D659" i="46"/>
  <c r="D658" i="46"/>
  <c r="D657" i="46"/>
  <c r="D656" i="46"/>
  <c r="D655" i="46"/>
  <c r="D654" i="46"/>
  <c r="D653" i="46"/>
  <c r="D652" i="46"/>
  <c r="D651" i="46"/>
  <c r="D650" i="46"/>
  <c r="D649" i="46"/>
  <c r="D648" i="46"/>
  <c r="D647" i="46"/>
  <c r="D646" i="46"/>
  <c r="D645" i="46"/>
  <c r="D644" i="46"/>
  <c r="D643" i="46"/>
  <c r="D642" i="46"/>
  <c r="D641" i="46"/>
  <c r="D640" i="46"/>
  <c r="D639" i="46"/>
  <c r="D638" i="46"/>
  <c r="D637" i="46"/>
  <c r="D636" i="46"/>
  <c r="D635" i="46"/>
  <c r="D634" i="46"/>
  <c r="D633" i="46"/>
  <c r="D632" i="46"/>
  <c r="D631" i="46"/>
  <c r="D630" i="46"/>
  <c r="D629" i="46"/>
  <c r="D628" i="46"/>
  <c r="D627" i="46"/>
  <c r="D626" i="46"/>
  <c r="D625" i="46"/>
  <c r="D624" i="46"/>
  <c r="D623" i="46"/>
  <c r="D622" i="46"/>
  <c r="D621" i="46"/>
  <c r="D620" i="46"/>
  <c r="D619" i="46"/>
  <c r="D618" i="46"/>
  <c r="D617" i="46"/>
  <c r="D616" i="46"/>
  <c r="D615" i="46"/>
  <c r="D614" i="46"/>
  <c r="D613" i="46"/>
  <c r="D612" i="46"/>
  <c r="D611" i="46"/>
  <c r="D610" i="46"/>
  <c r="D609" i="46"/>
  <c r="D608" i="46"/>
  <c r="D607" i="46"/>
  <c r="D606" i="46"/>
  <c r="D605" i="46"/>
  <c r="D604" i="46"/>
  <c r="D603" i="46"/>
  <c r="D602" i="46"/>
  <c r="D601" i="46"/>
  <c r="D600" i="46"/>
  <c r="D599" i="46"/>
  <c r="D598" i="46"/>
  <c r="D597" i="46"/>
  <c r="D596" i="46"/>
  <c r="D595" i="46"/>
  <c r="D594" i="46"/>
  <c r="D593" i="46"/>
  <c r="D592" i="46"/>
  <c r="D591" i="46"/>
  <c r="D590" i="46"/>
  <c r="D589" i="46"/>
  <c r="D588" i="46"/>
  <c r="D587" i="46"/>
  <c r="D586" i="46"/>
  <c r="D585" i="46"/>
  <c r="D584" i="46"/>
  <c r="D583" i="46"/>
  <c r="D582" i="46"/>
  <c r="D581" i="46"/>
  <c r="D580" i="46"/>
  <c r="D579" i="46"/>
  <c r="D578" i="46"/>
  <c r="D577" i="46"/>
  <c r="D576" i="46"/>
  <c r="D575" i="46"/>
  <c r="D574" i="46"/>
  <c r="D573" i="46"/>
  <c r="D572" i="46"/>
  <c r="D571" i="46"/>
  <c r="D570" i="46"/>
  <c r="D569" i="46"/>
  <c r="D568" i="46"/>
  <c r="D567" i="46"/>
  <c r="D566" i="46"/>
  <c r="D565" i="46"/>
  <c r="D564" i="46"/>
  <c r="D563" i="46"/>
  <c r="D562" i="46"/>
  <c r="D561" i="46"/>
  <c r="D560" i="46"/>
  <c r="D559" i="46"/>
  <c r="D558" i="46"/>
  <c r="D557" i="46"/>
  <c r="D556" i="46"/>
  <c r="D555" i="46"/>
  <c r="D554" i="46"/>
  <c r="D553" i="46"/>
  <c r="D552" i="46"/>
  <c r="D551" i="46"/>
  <c r="D550" i="46"/>
  <c r="D549" i="46"/>
  <c r="D548" i="46"/>
  <c r="D547" i="46"/>
  <c r="D546" i="46"/>
  <c r="D545" i="46"/>
  <c r="D544" i="46"/>
  <c r="D543" i="46"/>
  <c r="D542" i="46"/>
  <c r="D541" i="46"/>
  <c r="D540" i="46"/>
  <c r="D539" i="46"/>
  <c r="D538" i="46"/>
  <c r="D537" i="46"/>
  <c r="D536" i="46"/>
  <c r="D535" i="46"/>
  <c r="D534" i="46"/>
  <c r="D533" i="46"/>
  <c r="D532" i="46"/>
  <c r="D531" i="46"/>
  <c r="D530" i="46"/>
  <c r="D529" i="46"/>
  <c r="D528" i="46"/>
  <c r="D527" i="46"/>
  <c r="D526" i="46"/>
  <c r="D525" i="46"/>
  <c r="D524" i="46"/>
  <c r="D523" i="46"/>
  <c r="D522" i="46"/>
  <c r="D521" i="46"/>
  <c r="D520" i="46"/>
  <c r="D519" i="46"/>
  <c r="D518" i="46"/>
  <c r="D517" i="46"/>
  <c r="D516" i="46"/>
  <c r="D515" i="46"/>
  <c r="D514" i="46"/>
  <c r="D513" i="46"/>
  <c r="D512" i="46"/>
  <c r="D511" i="46"/>
  <c r="D510" i="46"/>
  <c r="D509" i="46"/>
  <c r="D508" i="46"/>
  <c r="D507" i="46"/>
  <c r="D506" i="46"/>
  <c r="D505" i="46"/>
  <c r="D504" i="46"/>
  <c r="D503" i="46"/>
  <c r="D502" i="46"/>
  <c r="D501" i="46"/>
  <c r="D500" i="46"/>
  <c r="D499" i="46"/>
  <c r="D498" i="46"/>
  <c r="D497" i="46"/>
  <c r="D496" i="46"/>
  <c r="D495" i="46"/>
  <c r="D494" i="46"/>
  <c r="D493" i="46"/>
  <c r="D492" i="46"/>
  <c r="D491" i="46"/>
  <c r="D490" i="46"/>
  <c r="D489" i="46"/>
  <c r="D488" i="46"/>
  <c r="D487" i="46"/>
  <c r="D486" i="46"/>
  <c r="D485" i="46"/>
  <c r="D484" i="46"/>
  <c r="D483" i="46"/>
  <c r="D482" i="46"/>
  <c r="D481" i="46"/>
  <c r="D480" i="46"/>
  <c r="D479" i="46"/>
  <c r="D478" i="46"/>
  <c r="D477" i="46"/>
  <c r="D476" i="46"/>
  <c r="D475" i="46"/>
  <c r="D474" i="46"/>
  <c r="D473" i="46"/>
  <c r="D472" i="46"/>
  <c r="D471" i="46"/>
  <c r="D470" i="46"/>
  <c r="D469" i="46"/>
  <c r="D468" i="46"/>
  <c r="D467" i="46"/>
  <c r="D466" i="46"/>
  <c r="D465" i="46"/>
  <c r="D464" i="46"/>
  <c r="D463" i="46"/>
  <c r="D462" i="46"/>
  <c r="D461" i="46"/>
  <c r="D460" i="46"/>
  <c r="D459" i="46"/>
  <c r="D458" i="46"/>
  <c r="D457" i="46"/>
  <c r="D456" i="46"/>
  <c r="D455" i="46"/>
  <c r="D454" i="46"/>
  <c r="D453" i="46"/>
  <c r="D452" i="46"/>
  <c r="D451" i="46"/>
  <c r="D450" i="46"/>
  <c r="D449" i="46"/>
  <c r="D448" i="46"/>
  <c r="D447" i="46"/>
  <c r="D446" i="46"/>
  <c r="D445" i="46"/>
  <c r="D444" i="46"/>
  <c r="D443" i="46"/>
  <c r="D442" i="46"/>
  <c r="D441" i="46"/>
  <c r="D440" i="46"/>
  <c r="D439" i="46"/>
  <c r="D438" i="46"/>
  <c r="D437" i="46"/>
  <c r="D436" i="46"/>
  <c r="D435" i="46"/>
  <c r="D434" i="46"/>
  <c r="D433" i="46"/>
  <c r="D432" i="46"/>
  <c r="D431" i="46"/>
  <c r="D430" i="46"/>
  <c r="D429" i="46"/>
  <c r="D428" i="46"/>
  <c r="D427" i="46"/>
  <c r="D426" i="46"/>
  <c r="D425" i="46"/>
  <c r="D424" i="46"/>
  <c r="D423" i="46"/>
  <c r="D422" i="46"/>
  <c r="D421" i="46"/>
  <c r="D420" i="46"/>
  <c r="D419" i="46"/>
  <c r="D418" i="46"/>
  <c r="D417" i="46"/>
  <c r="D416" i="46"/>
  <c r="D415" i="46"/>
  <c r="D414" i="46"/>
  <c r="D413" i="46"/>
  <c r="D412" i="46"/>
  <c r="D411" i="46"/>
  <c r="D410" i="46"/>
  <c r="D409" i="46"/>
  <c r="D408" i="46"/>
  <c r="D407" i="46"/>
  <c r="D406" i="46"/>
  <c r="D405" i="46"/>
  <c r="D404" i="46"/>
  <c r="D403" i="46"/>
  <c r="D402" i="46"/>
  <c r="D401" i="46"/>
  <c r="D400" i="46"/>
  <c r="D399" i="46"/>
  <c r="D398" i="46"/>
  <c r="D397" i="46"/>
  <c r="D396" i="46"/>
  <c r="D395" i="46"/>
  <c r="D394" i="46"/>
  <c r="D393" i="46"/>
  <c r="D392" i="46"/>
  <c r="D391" i="46"/>
  <c r="D390" i="46"/>
  <c r="D389" i="46"/>
  <c r="D388" i="46"/>
  <c r="D387" i="46"/>
  <c r="D386" i="46"/>
  <c r="D385" i="46"/>
  <c r="D384" i="46"/>
  <c r="D383" i="46"/>
  <c r="D382" i="46"/>
  <c r="D381" i="46"/>
  <c r="D380" i="46"/>
  <c r="D379" i="46"/>
  <c r="D378" i="46"/>
  <c r="D377" i="46"/>
  <c r="D376" i="46"/>
  <c r="D375" i="46"/>
  <c r="D374" i="46"/>
  <c r="D373" i="46"/>
  <c r="D372" i="46"/>
  <c r="D371" i="46"/>
  <c r="D370" i="46"/>
  <c r="D369" i="46"/>
  <c r="D368" i="46"/>
  <c r="D367" i="46"/>
  <c r="D366" i="46"/>
  <c r="D365" i="46"/>
  <c r="D364" i="46"/>
  <c r="D363" i="46"/>
  <c r="D362" i="46"/>
  <c r="D361" i="46"/>
  <c r="D360" i="46"/>
  <c r="D359" i="46"/>
  <c r="D358" i="46"/>
  <c r="D357" i="46"/>
  <c r="D356" i="46"/>
  <c r="D355" i="46"/>
  <c r="D354" i="46"/>
  <c r="D353" i="46"/>
  <c r="D352" i="46"/>
  <c r="D351" i="46"/>
  <c r="D350" i="46"/>
  <c r="D349" i="46"/>
  <c r="D348" i="46"/>
  <c r="D347" i="46"/>
  <c r="D346" i="46"/>
  <c r="D345" i="46"/>
  <c r="D344" i="46"/>
  <c r="D343" i="46"/>
  <c r="D342" i="46"/>
  <c r="D341" i="46"/>
  <c r="D340" i="46"/>
  <c r="D339" i="46"/>
  <c r="D338" i="46"/>
  <c r="D337" i="46"/>
  <c r="D336" i="46"/>
  <c r="D335" i="46"/>
  <c r="D334" i="46"/>
  <c r="D333" i="46"/>
  <c r="D332" i="46"/>
  <c r="D331" i="46"/>
  <c r="D330" i="46"/>
  <c r="D329" i="46"/>
  <c r="D328" i="46"/>
  <c r="D327" i="46"/>
  <c r="D326" i="46"/>
  <c r="D325" i="46"/>
  <c r="D324" i="46"/>
  <c r="D323" i="46"/>
  <c r="D322" i="46"/>
  <c r="D321" i="46"/>
  <c r="D320" i="46"/>
  <c r="D319" i="46"/>
  <c r="D318" i="46"/>
  <c r="D317" i="46"/>
  <c r="D316" i="46"/>
  <c r="D315" i="46"/>
  <c r="D314" i="46"/>
  <c r="D313" i="46"/>
  <c r="D312" i="46"/>
  <c r="D311" i="46"/>
  <c r="D310" i="46"/>
  <c r="D309" i="46"/>
  <c r="D308" i="46"/>
  <c r="D307" i="46"/>
  <c r="D306" i="46"/>
  <c r="D305" i="46"/>
  <c r="D304" i="46"/>
  <c r="D303" i="46"/>
  <c r="D302" i="46"/>
  <c r="D301" i="46"/>
  <c r="D300" i="46"/>
  <c r="D299" i="46"/>
  <c r="D298" i="46"/>
  <c r="D297" i="46"/>
  <c r="D296" i="46"/>
  <c r="D295" i="46"/>
  <c r="D294" i="46"/>
  <c r="D293" i="46"/>
  <c r="D292" i="46"/>
  <c r="D291" i="46"/>
  <c r="D290" i="46"/>
  <c r="D289" i="46"/>
  <c r="D288" i="46"/>
  <c r="D287" i="46"/>
  <c r="D286" i="46"/>
  <c r="D285" i="46"/>
  <c r="D284" i="46"/>
  <c r="D283" i="46"/>
  <c r="D282" i="46"/>
  <c r="D281" i="46"/>
  <c r="D280" i="46"/>
  <c r="D279" i="46"/>
  <c r="D278" i="46"/>
  <c r="D277" i="46"/>
  <c r="D276" i="46"/>
  <c r="D275" i="46"/>
  <c r="D274" i="46"/>
  <c r="D273" i="46"/>
  <c r="D272" i="46"/>
  <c r="D271" i="46"/>
  <c r="D270" i="46"/>
  <c r="D269" i="46"/>
  <c r="D268" i="46"/>
  <c r="D267" i="46"/>
  <c r="D266" i="46"/>
  <c r="D265" i="46"/>
  <c r="D264" i="46"/>
  <c r="D263" i="46"/>
  <c r="D262" i="46"/>
  <c r="D261" i="46"/>
  <c r="D260" i="46"/>
  <c r="D259" i="46"/>
  <c r="D258" i="46"/>
  <c r="D257" i="46"/>
  <c r="D256" i="46"/>
  <c r="D255" i="46"/>
  <c r="D254" i="46"/>
  <c r="D253" i="46"/>
  <c r="D252" i="46"/>
  <c r="D251" i="46"/>
  <c r="D250" i="46"/>
  <c r="D249" i="46"/>
  <c r="D248" i="46"/>
  <c r="D247" i="46"/>
  <c r="D246" i="46"/>
  <c r="D245" i="46"/>
  <c r="D244" i="46"/>
  <c r="D243" i="46"/>
  <c r="D242" i="46"/>
  <c r="D241" i="46"/>
  <c r="D240" i="46"/>
  <c r="D239" i="46"/>
  <c r="D238" i="46"/>
  <c r="D237" i="46"/>
  <c r="D236" i="46"/>
  <c r="D235" i="46"/>
  <c r="D234" i="46"/>
  <c r="D233" i="46"/>
  <c r="D232" i="46"/>
  <c r="D231" i="46"/>
  <c r="D230" i="46"/>
  <c r="D229" i="46"/>
  <c r="D228" i="46"/>
  <c r="D227" i="46"/>
  <c r="D226" i="46"/>
  <c r="D225" i="46"/>
  <c r="D224" i="46"/>
  <c r="D223" i="46"/>
  <c r="D222" i="46"/>
  <c r="D221" i="46"/>
  <c r="D220" i="46"/>
  <c r="D219" i="46"/>
  <c r="D218" i="46"/>
  <c r="D217" i="46"/>
  <c r="D216" i="46"/>
  <c r="D215" i="46"/>
  <c r="D214" i="46"/>
  <c r="D213" i="46"/>
  <c r="D212" i="46"/>
  <c r="D211" i="46"/>
  <c r="D210" i="46"/>
  <c r="D209" i="46"/>
  <c r="D208" i="46"/>
  <c r="D207" i="46"/>
  <c r="D206" i="46"/>
  <c r="D205" i="46"/>
  <c r="D204" i="46"/>
  <c r="D203" i="46"/>
  <c r="D202" i="46"/>
  <c r="D201" i="46"/>
  <c r="D200" i="46"/>
  <c r="D199" i="46"/>
  <c r="D198" i="46"/>
  <c r="D197" i="46"/>
  <c r="D196" i="46"/>
  <c r="D195" i="46"/>
  <c r="D194" i="46"/>
  <c r="D193" i="46"/>
  <c r="D192" i="46"/>
  <c r="D191" i="46"/>
  <c r="D190" i="46"/>
  <c r="D189" i="46"/>
  <c r="D188" i="46"/>
  <c r="D187" i="46"/>
  <c r="D186" i="46"/>
  <c r="D185" i="46"/>
  <c r="D184" i="46"/>
  <c r="D183" i="46"/>
  <c r="D182" i="46"/>
  <c r="D181" i="46"/>
  <c r="D180" i="46"/>
  <c r="D179" i="46"/>
  <c r="D178" i="46"/>
  <c r="D177" i="46"/>
  <c r="D176" i="46"/>
  <c r="D175" i="46"/>
  <c r="D174" i="46"/>
  <c r="D173" i="46"/>
  <c r="D172" i="46"/>
  <c r="D171" i="46"/>
  <c r="D170" i="46"/>
  <c r="D169" i="46"/>
  <c r="D168" i="46"/>
  <c r="D167" i="46"/>
  <c r="D166" i="46"/>
  <c r="D165" i="46"/>
  <c r="D164" i="46"/>
  <c r="D163" i="46"/>
  <c r="D162" i="46"/>
  <c r="D161" i="46"/>
  <c r="D160" i="46"/>
  <c r="D159" i="46"/>
  <c r="D158" i="46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D8" i="46"/>
  <c r="D7" i="46"/>
  <c r="D6" i="46"/>
  <c r="D5" i="46"/>
  <c r="D4" i="46"/>
  <c r="D3" i="46"/>
  <c r="D2" i="46"/>
  <c r="F29" i="51"/>
  <c r="F401" i="51"/>
  <c r="F211" i="51"/>
  <c r="F288" i="51"/>
  <c r="F57" i="51"/>
  <c r="F65" i="51"/>
  <c r="F67" i="51"/>
  <c r="F75" i="51"/>
  <c r="F77" i="51"/>
  <c r="F153" i="51"/>
  <c r="F163" i="51"/>
  <c r="F172" i="51"/>
  <c r="F249" i="51"/>
  <c r="F308" i="51"/>
  <c r="F344" i="51"/>
  <c r="F364" i="51"/>
  <c r="F384" i="51"/>
  <c r="F25" i="51"/>
  <c r="F85" i="51"/>
  <c r="F155" i="51"/>
  <c r="F157" i="51"/>
  <c r="F27" i="51"/>
  <c r="F176" i="51"/>
  <c r="F200" i="51"/>
  <c r="F213" i="51"/>
  <c r="F421" i="51"/>
  <c r="F193" i="51"/>
  <c r="F349" i="51"/>
  <c r="F136" i="51"/>
  <c r="F125" i="51"/>
  <c r="F165" i="51"/>
  <c r="F112" i="51"/>
  <c r="F320" i="51"/>
  <c r="F44" i="51"/>
  <c r="F89" i="51"/>
  <c r="F96" i="51"/>
  <c r="F129" i="51"/>
  <c r="F332" i="51"/>
  <c r="F53" i="51"/>
  <c r="F73" i="51"/>
  <c r="F83" i="51"/>
  <c r="F108" i="51"/>
  <c r="F116" i="51"/>
  <c r="F411" i="51"/>
  <c r="F245" i="51"/>
  <c r="F259" i="51"/>
  <c r="F269" i="51"/>
  <c r="F369" i="51"/>
  <c r="F416" i="51"/>
  <c r="F36" i="51"/>
  <c r="F40" i="51"/>
  <c r="F59" i="51"/>
  <c r="F69" i="51"/>
  <c r="F140" i="51"/>
  <c r="F144" i="51"/>
  <c r="F217" i="51"/>
  <c r="F236" i="51"/>
  <c r="F240" i="51"/>
  <c r="F264" i="51"/>
  <c r="F283" i="51"/>
  <c r="F293" i="51"/>
  <c r="F379" i="51"/>
  <c r="F189" i="51"/>
  <c r="F228" i="51"/>
  <c r="F51" i="51"/>
  <c r="F61" i="51"/>
  <c r="F100" i="51"/>
  <c r="F104" i="51"/>
  <c r="F180" i="51"/>
  <c r="F184" i="51"/>
  <c r="F209" i="51"/>
  <c r="F219" i="51"/>
  <c r="F276" i="51"/>
  <c r="F433" i="51"/>
  <c r="F232" i="51"/>
  <c r="F313" i="51"/>
  <c r="F337" i="51"/>
  <c r="F81" i="51"/>
  <c r="F123" i="51"/>
  <c r="F161" i="51"/>
  <c r="F195" i="51"/>
  <c r="F205" i="51"/>
  <c r="F224" i="51"/>
  <c r="F396" i="51"/>
  <c r="F443" i="51"/>
  <c r="F18" i="51"/>
  <c r="F42" i="51"/>
  <c r="F98" i="51"/>
  <c r="F106" i="51"/>
  <c r="F114" i="51"/>
  <c r="F138" i="51"/>
  <c r="F146" i="51"/>
  <c r="F178" i="51"/>
  <c r="F226" i="51"/>
  <c r="F234" i="51"/>
  <c r="F274" i="51"/>
  <c r="F298" i="51"/>
  <c r="F322" i="51"/>
  <c r="F354" i="51"/>
  <c r="F386" i="51"/>
  <c r="F426" i="51"/>
  <c r="F23" i="51"/>
  <c r="F31" i="51"/>
  <c r="F55" i="51"/>
  <c r="F63" i="51"/>
  <c r="F71" i="51"/>
  <c r="F79" i="51"/>
  <c r="F87" i="51"/>
  <c r="F127" i="51"/>
  <c r="F151" i="51"/>
  <c r="F159" i="51"/>
  <c r="F167" i="51"/>
  <c r="F191" i="51"/>
  <c r="F207" i="51"/>
  <c r="F215" i="51"/>
  <c r="F247" i="51"/>
  <c r="F303" i="51"/>
  <c r="F327" i="51"/>
  <c r="F359" i="51"/>
  <c r="F391" i="51"/>
  <c r="F431" i="51"/>
  <c r="F448" i="51"/>
  <c r="F38" i="51"/>
  <c r="F46" i="51"/>
  <c r="F94" i="51"/>
  <c r="F102" i="51"/>
  <c r="F110" i="51"/>
  <c r="F118" i="51"/>
  <c r="F134" i="51"/>
  <c r="F142" i="51"/>
  <c r="F174" i="51"/>
  <c r="F182" i="51"/>
  <c r="F230" i="51"/>
  <c r="F238" i="51"/>
  <c r="F254" i="51"/>
  <c r="F278" i="51"/>
  <c r="F318" i="51"/>
  <c r="F342" i="51"/>
  <c r="F374" i="51"/>
  <c r="F406" i="51"/>
  <c r="F438" i="51"/>
  <c r="P207" i="54" l="1"/>
  <c r="P229" i="54"/>
  <c r="P215" i="54"/>
  <c r="P187" i="54"/>
  <c r="P194" i="54"/>
  <c r="P198" i="54"/>
  <c r="P204" i="54"/>
  <c r="P200" i="54"/>
  <c r="P212" i="54"/>
  <c r="P217" i="54"/>
  <c r="P222" i="54"/>
  <c r="P190" i="54"/>
  <c r="P210" i="54"/>
  <c r="P186" i="54"/>
  <c r="P213" i="54"/>
  <c r="P189" i="54"/>
  <c r="P195" i="54"/>
  <c r="P206" i="54"/>
  <c r="P199" i="54"/>
  <c r="P214" i="54"/>
  <c r="P216" i="54"/>
  <c r="P219" i="54"/>
  <c r="P202" i="54"/>
  <c r="P201" i="54"/>
  <c r="P208" i="54"/>
  <c r="P209" i="54"/>
  <c r="P193" i="54"/>
  <c r="P205" i="54"/>
  <c r="Q180" i="54"/>
  <c r="Q176" i="54"/>
  <c r="Q226" i="54" s="1"/>
  <c r="Q172" i="54"/>
  <c r="Q168" i="54"/>
  <c r="Q164" i="54"/>
  <c r="Q160" i="54"/>
  <c r="Q156" i="54"/>
  <c r="Q152" i="54"/>
  <c r="Q148" i="54"/>
  <c r="Q144" i="54"/>
  <c r="Q140" i="54"/>
  <c r="Q136" i="54"/>
  <c r="Q132" i="54"/>
  <c r="Q128" i="54"/>
  <c r="Q124" i="54"/>
  <c r="Q120" i="54"/>
  <c r="Q116" i="54"/>
  <c r="Q112" i="54"/>
  <c r="Q108" i="54"/>
  <c r="Q211" i="54" s="1"/>
  <c r="Q104" i="54"/>
  <c r="Q100" i="54"/>
  <c r="Q96" i="54"/>
  <c r="Q92" i="54"/>
  <c r="Q88" i="54"/>
  <c r="Q84" i="54"/>
  <c r="Q80" i="54"/>
  <c r="Q76" i="54"/>
  <c r="Q72" i="54"/>
  <c r="Q68" i="54"/>
  <c r="Q177" i="54"/>
  <c r="Q227" i="54" s="1"/>
  <c r="Q175" i="54"/>
  <c r="Q225" i="54" s="1"/>
  <c r="Q158" i="54"/>
  <c r="Q218" i="54" s="1"/>
  <c r="Q181" i="54"/>
  <c r="Q179" i="54"/>
  <c r="Q229" i="54" s="1"/>
  <c r="Q169" i="54"/>
  <c r="Q221" i="54" s="1"/>
  <c r="Q167" i="54"/>
  <c r="Q220" i="54" s="1"/>
  <c r="Q150" i="54"/>
  <c r="Q137" i="54"/>
  <c r="Q135" i="54"/>
  <c r="Q118" i="54"/>
  <c r="Q105" i="54"/>
  <c r="Q103" i="54"/>
  <c r="Q86" i="54"/>
  <c r="Q74" i="54"/>
  <c r="Q71" i="54"/>
  <c r="Q178" i="54"/>
  <c r="Q228" i="54" s="1"/>
  <c r="Q171" i="54"/>
  <c r="Q161" i="54"/>
  <c r="Q153" i="54"/>
  <c r="Q146" i="54"/>
  <c r="Q119" i="54"/>
  <c r="Q109" i="54"/>
  <c r="Q102" i="54"/>
  <c r="Q97" i="54"/>
  <c r="Q53" i="54"/>
  <c r="Q50" i="54"/>
  <c r="Q47" i="54"/>
  <c r="Q44" i="54"/>
  <c r="Q15" i="54"/>
  <c r="Q11" i="54"/>
  <c r="Q7" i="54"/>
  <c r="Q174" i="54"/>
  <c r="Q224" i="54" s="1"/>
  <c r="Q143" i="54"/>
  <c r="Q131" i="54"/>
  <c r="Q126" i="54"/>
  <c r="Q121" i="54"/>
  <c r="Q114" i="54"/>
  <c r="Q87" i="54"/>
  <c r="Q70" i="54"/>
  <c r="Q65" i="54"/>
  <c r="Q62" i="54"/>
  <c r="Q59" i="54"/>
  <c r="Q56" i="54"/>
  <c r="Q33" i="54"/>
  <c r="Q30" i="54"/>
  <c r="Q27" i="54"/>
  <c r="Q23" i="54"/>
  <c r="Q19" i="54"/>
  <c r="Q5" i="54"/>
  <c r="Q184" i="54" s="1"/>
  <c r="Q165" i="54"/>
  <c r="Q159" i="54"/>
  <c r="Q139" i="54"/>
  <c r="Q127" i="54"/>
  <c r="Q122" i="54"/>
  <c r="Q117" i="54"/>
  <c r="Q110" i="54"/>
  <c r="Q83" i="54"/>
  <c r="Q61" i="54"/>
  <c r="Q58" i="54"/>
  <c r="Q55" i="54"/>
  <c r="Q52" i="54"/>
  <c r="Q29" i="54"/>
  <c r="Q14" i="54"/>
  <c r="Q10" i="54"/>
  <c r="Q6" i="54"/>
  <c r="Q185" i="54" s="1"/>
  <c r="Q151" i="54"/>
  <c r="Q141" i="54"/>
  <c r="Q134" i="54"/>
  <c r="Q129" i="54"/>
  <c r="Q107" i="54"/>
  <c r="Q95" i="54"/>
  <c r="Q90" i="54"/>
  <c r="Q85" i="54"/>
  <c r="Q78" i="54"/>
  <c r="Q67" i="54"/>
  <c r="Q64" i="54"/>
  <c r="Q41" i="54"/>
  <c r="Q38" i="54"/>
  <c r="Q35" i="54"/>
  <c r="Q196" i="54" s="1"/>
  <c r="Q32" i="54"/>
  <c r="Q26" i="54"/>
  <c r="Q22" i="54"/>
  <c r="Q18" i="54"/>
  <c r="Q170" i="54"/>
  <c r="Q147" i="54"/>
  <c r="Q130" i="54"/>
  <c r="Q94" i="54"/>
  <c r="Q81" i="54"/>
  <c r="Q73" i="54"/>
  <c r="Q42" i="54"/>
  <c r="Q34" i="54"/>
  <c r="Q31" i="54"/>
  <c r="Q21" i="54"/>
  <c r="Q9" i="54"/>
  <c r="Q36" i="54"/>
  <c r="Q197" i="54" s="1"/>
  <c r="Q145" i="54"/>
  <c r="Q155" i="54"/>
  <c r="Q138" i="54"/>
  <c r="Q125" i="54"/>
  <c r="Q111" i="54"/>
  <c r="Q98" i="54"/>
  <c r="Q89" i="54"/>
  <c r="Q39" i="54"/>
  <c r="Q28" i="54"/>
  <c r="Q166" i="54"/>
  <c r="Q133" i="54"/>
  <c r="Q106" i="54"/>
  <c r="Q20" i="54"/>
  <c r="Q173" i="54"/>
  <c r="Q142" i="54"/>
  <c r="Q115" i="54"/>
  <c r="Q79" i="54"/>
  <c r="Q8" i="54"/>
  <c r="Q69" i="54"/>
  <c r="Q157" i="54"/>
  <c r="Q113" i="54"/>
  <c r="Q99" i="54"/>
  <c r="Q91" i="54"/>
  <c r="Q82" i="54"/>
  <c r="Q48" i="54"/>
  <c r="Q45" i="54"/>
  <c r="Q43" i="54"/>
  <c r="Q162" i="54"/>
  <c r="Q77" i="54"/>
  <c r="Q40" i="54"/>
  <c r="Q37" i="54"/>
  <c r="Q198" i="54" s="1"/>
  <c r="Q16" i="54"/>
  <c r="Q13" i="54"/>
  <c r="Q189" i="54" s="1"/>
  <c r="Q101" i="54"/>
  <c r="Q93" i="54"/>
  <c r="Q75" i="54"/>
  <c r="Q66" i="54"/>
  <c r="Q63" i="54"/>
  <c r="Q25" i="54"/>
  <c r="Q154" i="54"/>
  <c r="Q123" i="54"/>
  <c r="Q163" i="54"/>
  <c r="Q51" i="54"/>
  <c r="Q203" i="54" s="1"/>
  <c r="Q49" i="54"/>
  <c r="Q46" i="54"/>
  <c r="Q57" i="54"/>
  <c r="Q17" i="54"/>
  <c r="Q191" i="54" s="1"/>
  <c r="Q12" i="54"/>
  <c r="Q188" i="54" s="1"/>
  <c r="Q149" i="54"/>
  <c r="Q60" i="54"/>
  <c r="Q54" i="54"/>
  <c r="Q24" i="54"/>
  <c r="Q195" i="54"/>
  <c r="Q223" i="54"/>
  <c r="R3" i="54"/>
  <c r="R5" i="54" s="1"/>
  <c r="G1" i="51"/>
  <c r="G2" i="51" s="1"/>
  <c r="G157" i="51"/>
  <c r="G29" i="51"/>
  <c r="G102" i="51"/>
  <c r="G401" i="51"/>
  <c r="G36" i="51"/>
  <c r="G81" i="51"/>
  <c r="G89" i="51"/>
  <c r="G108" i="51"/>
  <c r="G110" i="51"/>
  <c r="G205" i="51"/>
  <c r="G386" i="51"/>
  <c r="G406" i="51"/>
  <c r="G57" i="51"/>
  <c r="G77" i="51"/>
  <c r="G140" i="51"/>
  <c r="G172" i="51"/>
  <c r="G174" i="51"/>
  <c r="G293" i="51"/>
  <c r="G69" i="51"/>
  <c r="G44" i="51"/>
  <c r="G114" i="51"/>
  <c r="G438" i="51"/>
  <c r="G46" i="51"/>
  <c r="G129" i="51"/>
  <c r="G161" i="51"/>
  <c r="G230" i="51"/>
  <c r="G254" i="51"/>
  <c r="G349" i="51"/>
  <c r="G94" i="51"/>
  <c r="G134" i="51"/>
  <c r="G178" i="51"/>
  <c r="G396" i="51"/>
  <c r="G217" i="51"/>
  <c r="G53" i="51"/>
  <c r="G98" i="51"/>
  <c r="G106" i="51"/>
  <c r="G138" i="51"/>
  <c r="G234" i="51"/>
  <c r="G236" i="51"/>
  <c r="G274" i="51"/>
  <c r="G182" i="51"/>
  <c r="G249" i="51"/>
  <c r="G278" i="51"/>
  <c r="G354" i="51"/>
  <c r="G364" i="51"/>
  <c r="G374" i="51"/>
  <c r="G421" i="51"/>
  <c r="G25" i="51"/>
  <c r="G73" i="51"/>
  <c r="G116" i="51"/>
  <c r="G125" i="51"/>
  <c r="G153" i="51"/>
  <c r="G226" i="51"/>
  <c r="G245" i="51"/>
  <c r="G269" i="51"/>
  <c r="G369" i="51"/>
  <c r="G426" i="51"/>
  <c r="G213" i="51"/>
  <c r="G298" i="51"/>
  <c r="G308" i="51"/>
  <c r="G318" i="51"/>
  <c r="G322" i="51"/>
  <c r="G332" i="51"/>
  <c r="G65" i="51"/>
  <c r="G85" i="51"/>
  <c r="G118" i="51"/>
  <c r="G165" i="51"/>
  <c r="G189" i="51"/>
  <c r="G228" i="51"/>
  <c r="G313" i="51"/>
  <c r="G337" i="51"/>
  <c r="G193" i="51"/>
  <c r="G342" i="51"/>
  <c r="G18" i="51"/>
  <c r="G38" i="51"/>
  <c r="G42" i="51"/>
  <c r="G61" i="51"/>
  <c r="G100" i="51"/>
  <c r="G142" i="51"/>
  <c r="G146" i="51"/>
  <c r="G180" i="51"/>
  <c r="G209" i="51"/>
  <c r="G238" i="51"/>
  <c r="G276" i="51"/>
  <c r="G27" i="51"/>
  <c r="G51" i="51"/>
  <c r="G59" i="51"/>
  <c r="G67" i="51"/>
  <c r="G75" i="51"/>
  <c r="G83" i="51"/>
  <c r="G123" i="51"/>
  <c r="G155" i="51"/>
  <c r="G163" i="51"/>
  <c r="G195" i="51"/>
  <c r="G211" i="51"/>
  <c r="G219" i="51"/>
  <c r="G259" i="51"/>
  <c r="G283" i="51"/>
  <c r="G379" i="51"/>
  <c r="G411" i="51"/>
  <c r="G443" i="51"/>
  <c r="G433" i="51"/>
  <c r="G40" i="51"/>
  <c r="G96" i="51"/>
  <c r="G104" i="51"/>
  <c r="G112" i="51"/>
  <c r="G136" i="51"/>
  <c r="G144" i="51"/>
  <c r="G176" i="51"/>
  <c r="G184" i="51"/>
  <c r="G200" i="51"/>
  <c r="G224" i="51"/>
  <c r="G232" i="51"/>
  <c r="G240" i="51"/>
  <c r="G264" i="51"/>
  <c r="G288" i="51"/>
  <c r="G320" i="51"/>
  <c r="G344" i="51"/>
  <c r="G384" i="51"/>
  <c r="G416" i="51"/>
  <c r="G448" i="51"/>
  <c r="G23" i="51"/>
  <c r="G31" i="51"/>
  <c r="G55" i="51"/>
  <c r="G63" i="51"/>
  <c r="G71" i="51"/>
  <c r="G79" i="51"/>
  <c r="G87" i="51"/>
  <c r="G127" i="51"/>
  <c r="G151" i="51"/>
  <c r="G159" i="51"/>
  <c r="G167" i="51"/>
  <c r="G191" i="51"/>
  <c r="G207" i="51"/>
  <c r="G215" i="51"/>
  <c r="G247" i="51"/>
  <c r="G303" i="51"/>
  <c r="G327" i="51"/>
  <c r="G359" i="51"/>
  <c r="G391" i="51"/>
  <c r="G431" i="51"/>
  <c r="Q209" i="54" l="1"/>
  <c r="Q187" i="54"/>
  <c r="Q207" i="54"/>
  <c r="Q201" i="54"/>
  <c r="Q216" i="54"/>
  <c r="Q222" i="54"/>
  <c r="Q217" i="54"/>
  <c r="Q208" i="54"/>
  <c r="Q199" i="54"/>
  <c r="Q186" i="54"/>
  <c r="Q206" i="54"/>
  <c r="Q215" i="54"/>
  <c r="Q192" i="54"/>
  <c r="Q204" i="54"/>
  <c r="Q194" i="54"/>
  <c r="Q205" i="54"/>
  <c r="Q210" i="54"/>
  <c r="Q202" i="54"/>
  <c r="Q200" i="54"/>
  <c r="Q219" i="54"/>
  <c r="Q212" i="54"/>
  <c r="Q190" i="54"/>
  <c r="Q213" i="54"/>
  <c r="Q193" i="54"/>
  <c r="R154" i="54"/>
  <c r="R72" i="54"/>
  <c r="R32" i="54"/>
  <c r="R10" i="54"/>
  <c r="R152" i="54"/>
  <c r="R90" i="54"/>
  <c r="R8" i="54"/>
  <c r="R170" i="54"/>
  <c r="R88" i="54"/>
  <c r="R45" i="54"/>
  <c r="R26" i="54"/>
  <c r="R184" i="54"/>
  <c r="R122" i="54"/>
  <c r="R104" i="54"/>
  <c r="R82" i="54"/>
  <c r="R42" i="54"/>
  <c r="R141" i="54"/>
  <c r="R58" i="54"/>
  <c r="R40" i="54"/>
  <c r="R18" i="54"/>
  <c r="R177" i="54"/>
  <c r="R227" i="54" s="1"/>
  <c r="R120" i="54"/>
  <c r="R13" i="54"/>
  <c r="R84" i="54"/>
  <c r="R33" i="54"/>
  <c r="R77" i="54"/>
  <c r="R168" i="54"/>
  <c r="R116" i="54"/>
  <c r="R160" i="54"/>
  <c r="R157" i="54"/>
  <c r="R97" i="54"/>
  <c r="R44" i="54"/>
  <c r="R138" i="54"/>
  <c r="R106" i="54"/>
  <c r="R56" i="54"/>
  <c r="R136" i="54"/>
  <c r="R24" i="54"/>
  <c r="R146" i="54"/>
  <c r="R96" i="54"/>
  <c r="R36" i="54"/>
  <c r="R197" i="54" s="1"/>
  <c r="R180" i="54"/>
  <c r="R125" i="54"/>
  <c r="R74" i="54"/>
  <c r="R17" i="54"/>
  <c r="R191" i="54" s="1"/>
  <c r="R65" i="54"/>
  <c r="R79" i="54"/>
  <c r="R135" i="54"/>
  <c r="R25" i="54"/>
  <c r="R63" i="54"/>
  <c r="R123" i="54"/>
  <c r="R179" i="54"/>
  <c r="R108" i="54"/>
  <c r="R211" i="54" s="1"/>
  <c r="R57" i="54"/>
  <c r="R29" i="54"/>
  <c r="R89" i="54"/>
  <c r="R169" i="54"/>
  <c r="R221" i="54" s="1"/>
  <c r="R66" i="54"/>
  <c r="R37" i="54"/>
  <c r="R38" i="54"/>
  <c r="R94" i="54"/>
  <c r="R174" i="54"/>
  <c r="R224" i="54" s="1"/>
  <c r="R7" i="54"/>
  <c r="R119" i="54"/>
  <c r="R167" i="54"/>
  <c r="R220" i="54" s="1"/>
  <c r="R91" i="54"/>
  <c r="R103" i="54"/>
  <c r="R112" i="54"/>
  <c r="R107" i="54"/>
  <c r="R61" i="54"/>
  <c r="R105" i="54"/>
  <c r="R28" i="54"/>
  <c r="R156" i="54"/>
  <c r="R117" i="54"/>
  <c r="R150" i="54"/>
  <c r="R102" i="54"/>
  <c r="R16" i="54"/>
  <c r="R15" i="54"/>
  <c r="R175" i="54"/>
  <c r="R225" i="54" s="1"/>
  <c r="R41" i="54"/>
  <c r="R55" i="54"/>
  <c r="R64" i="54"/>
  <c r="R43" i="54"/>
  <c r="R39" i="54"/>
  <c r="R199" i="54" s="1"/>
  <c r="R109" i="54"/>
  <c r="R121" i="54"/>
  <c r="R114" i="54"/>
  <c r="R12" i="54"/>
  <c r="R188" i="54" s="1"/>
  <c r="R53" i="54"/>
  <c r="R149" i="54"/>
  <c r="R93" i="54"/>
  <c r="R46" i="54"/>
  <c r="R110" i="54"/>
  <c r="R144" i="54"/>
  <c r="R47" i="54"/>
  <c r="R80" i="54"/>
  <c r="R81" i="54"/>
  <c r="R75" i="54"/>
  <c r="R87" i="54"/>
  <c r="R115" i="54"/>
  <c r="R52" i="54"/>
  <c r="R143" i="54"/>
  <c r="R131" i="54"/>
  <c r="R34" i="54"/>
  <c r="R76" i="54"/>
  <c r="R129" i="54"/>
  <c r="R69" i="54"/>
  <c r="R85" i="54"/>
  <c r="R181" i="54"/>
  <c r="R6" i="54"/>
  <c r="R185" i="54" s="1"/>
  <c r="R62" i="54"/>
  <c r="R134" i="54"/>
  <c r="R161" i="54"/>
  <c r="R99" i="54"/>
  <c r="R71" i="54"/>
  <c r="R92" i="54"/>
  <c r="R148" i="54"/>
  <c r="R124" i="54"/>
  <c r="R101" i="54"/>
  <c r="R70" i="54"/>
  <c r="R147" i="54"/>
  <c r="R159" i="54"/>
  <c r="R59" i="54"/>
  <c r="R133" i="54"/>
  <c r="R48" i="54"/>
  <c r="R128" i="54"/>
  <c r="R100" i="54"/>
  <c r="R155" i="54"/>
  <c r="R137" i="54"/>
  <c r="R130" i="54"/>
  <c r="R140" i="54"/>
  <c r="R78" i="54"/>
  <c r="R98" i="54"/>
  <c r="R27" i="54"/>
  <c r="R176" i="54"/>
  <c r="R226" i="54" s="1"/>
  <c r="R31" i="54"/>
  <c r="R151" i="54"/>
  <c r="R139" i="54"/>
  <c r="R35" i="54"/>
  <c r="R196" i="54" s="1"/>
  <c r="R171" i="54"/>
  <c r="R162" i="54"/>
  <c r="R21" i="54"/>
  <c r="R132" i="54"/>
  <c r="R165" i="54"/>
  <c r="R86" i="54"/>
  <c r="R172" i="54"/>
  <c r="R60" i="54"/>
  <c r="R14" i="54"/>
  <c r="R142" i="54"/>
  <c r="R51" i="54"/>
  <c r="R203" i="54" s="1"/>
  <c r="R163" i="54"/>
  <c r="R158" i="54"/>
  <c r="R218" i="54" s="1"/>
  <c r="R22" i="54"/>
  <c r="R9" i="54"/>
  <c r="R23" i="54"/>
  <c r="R19" i="54"/>
  <c r="R164" i="54"/>
  <c r="R153" i="54"/>
  <c r="R178" i="54"/>
  <c r="R228" i="54" s="1"/>
  <c r="R173" i="54"/>
  <c r="R126" i="54"/>
  <c r="R49" i="54"/>
  <c r="R54" i="54"/>
  <c r="R95" i="54"/>
  <c r="R166" i="54"/>
  <c r="R111" i="54"/>
  <c r="R11" i="54"/>
  <c r="R20" i="54"/>
  <c r="R50" i="54"/>
  <c r="R68" i="54"/>
  <c r="R83" i="54"/>
  <c r="R118" i="54"/>
  <c r="R113" i="54"/>
  <c r="R127" i="54"/>
  <c r="R73" i="54"/>
  <c r="R145" i="54"/>
  <c r="R67" i="54"/>
  <c r="R30" i="54"/>
  <c r="Q214" i="54"/>
  <c r="H1" i="51"/>
  <c r="H2" i="51" s="1"/>
  <c r="H42" i="51"/>
  <c r="H59" i="51"/>
  <c r="H79" i="51"/>
  <c r="H215" i="51"/>
  <c r="H94" i="51"/>
  <c r="H159" i="51"/>
  <c r="H191" i="51"/>
  <c r="H55" i="51"/>
  <c r="H98" i="51"/>
  <c r="H123" i="51"/>
  <c r="H138" i="51"/>
  <c r="H146" i="51"/>
  <c r="H18" i="51"/>
  <c r="H67" i="51"/>
  <c r="H110" i="51"/>
  <c r="H205" i="51"/>
  <c r="H269" i="51"/>
  <c r="H386" i="51"/>
  <c r="H406" i="51"/>
  <c r="H77" i="51"/>
  <c r="H426" i="51"/>
  <c r="H125" i="51"/>
  <c r="H157" i="51"/>
  <c r="H29" i="51"/>
  <c r="H134" i="51"/>
  <c r="H226" i="51"/>
  <c r="H38" i="51"/>
  <c r="H114" i="51"/>
  <c r="H391" i="51"/>
  <c r="H87" i="51"/>
  <c r="H174" i="51"/>
  <c r="H142" i="51"/>
  <c r="H167" i="51"/>
  <c r="H379" i="51"/>
  <c r="H69" i="51"/>
  <c r="H195" i="51"/>
  <c r="H31" i="51"/>
  <c r="H61" i="51"/>
  <c r="H63" i="51"/>
  <c r="H238" i="51"/>
  <c r="H245" i="51"/>
  <c r="H283" i="51"/>
  <c r="H211" i="51"/>
  <c r="H230" i="51"/>
  <c r="H234" i="51"/>
  <c r="H254" i="51"/>
  <c r="H349" i="51"/>
  <c r="H359" i="51"/>
  <c r="H411" i="51"/>
  <c r="H53" i="51"/>
  <c r="H83" i="51"/>
  <c r="H102" i="51"/>
  <c r="H106" i="51"/>
  <c r="H163" i="51"/>
  <c r="H182" i="51"/>
  <c r="H207" i="51"/>
  <c r="H259" i="51"/>
  <c r="H278" i="51"/>
  <c r="H354" i="51"/>
  <c r="H374" i="51"/>
  <c r="H421" i="51"/>
  <c r="H431" i="51"/>
  <c r="H274" i="51"/>
  <c r="H303" i="51"/>
  <c r="H327" i="51"/>
  <c r="H438" i="51"/>
  <c r="H443" i="51"/>
  <c r="H46" i="51"/>
  <c r="H75" i="51"/>
  <c r="H127" i="51"/>
  <c r="H155" i="51"/>
  <c r="H213" i="51"/>
  <c r="H247" i="51"/>
  <c r="H298" i="51"/>
  <c r="H318" i="51"/>
  <c r="H322" i="51"/>
  <c r="H342" i="51"/>
  <c r="H178" i="51"/>
  <c r="H293" i="51"/>
  <c r="H27" i="51"/>
  <c r="H23" i="51"/>
  <c r="H51" i="51"/>
  <c r="H71" i="51"/>
  <c r="H85" i="51"/>
  <c r="H118" i="51"/>
  <c r="H151" i="51"/>
  <c r="H165" i="51"/>
  <c r="H189" i="51"/>
  <c r="H219" i="51"/>
  <c r="H36" i="51"/>
  <c r="H44" i="51"/>
  <c r="H100" i="51"/>
  <c r="H108" i="51"/>
  <c r="H116" i="51"/>
  <c r="H140" i="51"/>
  <c r="H172" i="51"/>
  <c r="H180" i="51"/>
  <c r="H228" i="51"/>
  <c r="H236" i="51"/>
  <c r="H276" i="51"/>
  <c r="H308" i="51"/>
  <c r="H332" i="51"/>
  <c r="H364" i="51"/>
  <c r="H396" i="51"/>
  <c r="H25" i="51"/>
  <c r="H57" i="51"/>
  <c r="H65" i="51"/>
  <c r="H73" i="51"/>
  <c r="H81" i="51"/>
  <c r="H89" i="51"/>
  <c r="H129" i="51"/>
  <c r="H153" i="51"/>
  <c r="H161" i="51"/>
  <c r="H193" i="51"/>
  <c r="H209" i="51"/>
  <c r="H217" i="51"/>
  <c r="H249" i="51"/>
  <c r="H313" i="51"/>
  <c r="H337" i="51"/>
  <c r="H369" i="51"/>
  <c r="H401" i="51"/>
  <c r="H433" i="51"/>
  <c r="H40" i="51"/>
  <c r="H96" i="51"/>
  <c r="H104" i="51"/>
  <c r="H112" i="51"/>
  <c r="H136" i="51"/>
  <c r="H144" i="51"/>
  <c r="H176" i="51"/>
  <c r="H184" i="51"/>
  <c r="H200" i="51"/>
  <c r="H224" i="51"/>
  <c r="H232" i="51"/>
  <c r="H240" i="51"/>
  <c r="H264" i="51"/>
  <c r="H288" i="51"/>
  <c r="H320" i="51"/>
  <c r="H344" i="51"/>
  <c r="H384" i="51"/>
  <c r="H416" i="51"/>
  <c r="H448" i="51"/>
  <c r="R202" i="54" l="1"/>
  <c r="R192" i="54"/>
  <c r="R198" i="54"/>
  <c r="R215" i="54"/>
  <c r="R186" i="54"/>
  <c r="R194" i="54"/>
  <c r="R195" i="54"/>
  <c r="R190" i="54"/>
  <c r="R214" i="54"/>
  <c r="R204" i="54"/>
  <c r="R187" i="54"/>
  <c r="R213" i="54"/>
  <c r="R229" i="54"/>
  <c r="R207" i="54"/>
  <c r="R217" i="54"/>
  <c r="R223" i="54"/>
  <c r="R219" i="54"/>
  <c r="R210" i="54"/>
  <c r="R209" i="54"/>
  <c r="R216" i="54"/>
  <c r="R212" i="54"/>
  <c r="R205" i="54"/>
  <c r="R201" i="54"/>
  <c r="R222" i="54"/>
  <c r="R206" i="54"/>
  <c r="R193" i="54"/>
  <c r="R200" i="54"/>
  <c r="R189" i="54"/>
  <c r="R208" i="54"/>
  <c r="I1" i="51"/>
  <c r="I2" i="51"/>
  <c r="I118" i="51"/>
  <c r="I87" i="51"/>
  <c r="I59" i="51"/>
  <c r="I102" i="51"/>
  <c r="I180" i="51"/>
  <c r="I83" i="51"/>
  <c r="I116" i="51"/>
  <c r="I238" i="51"/>
  <c r="I431" i="51"/>
  <c r="I40" i="51"/>
  <c r="I100" i="51"/>
  <c r="I123" i="51"/>
  <c r="I163" i="51"/>
  <c r="I240" i="51"/>
  <c r="I278" i="51"/>
  <c r="I110" i="51"/>
  <c r="I140" i="51"/>
  <c r="I200" i="51"/>
  <c r="I224" i="51"/>
  <c r="I112" i="51"/>
  <c r="I215" i="51"/>
  <c r="I96" i="51"/>
  <c r="I159" i="51"/>
  <c r="I374" i="51"/>
  <c r="I396" i="51"/>
  <c r="I31" i="51"/>
  <c r="I144" i="51"/>
  <c r="I151" i="51"/>
  <c r="I182" i="51"/>
  <c r="I219" i="51"/>
  <c r="I67" i="51"/>
  <c r="I207" i="51"/>
  <c r="I176" i="51"/>
  <c r="I264" i="51"/>
  <c r="I79" i="51"/>
  <c r="I142" i="51"/>
  <c r="I36" i="51"/>
  <c r="I51" i="51"/>
  <c r="I71" i="51"/>
  <c r="I195" i="51"/>
  <c r="I259" i="51"/>
  <c r="I23" i="51"/>
  <c r="I38" i="51"/>
  <c r="I276" i="51"/>
  <c r="I391" i="51"/>
  <c r="I167" i="51"/>
  <c r="I172" i="51"/>
  <c r="I191" i="51"/>
  <c r="I320" i="51"/>
  <c r="I344" i="51"/>
  <c r="I406" i="51"/>
  <c r="I44" i="51"/>
  <c r="I63" i="51"/>
  <c r="I134" i="51"/>
  <c r="I211" i="51"/>
  <c r="I230" i="51"/>
  <c r="I254" i="51"/>
  <c r="I359" i="51"/>
  <c r="I364" i="51"/>
  <c r="I411" i="51"/>
  <c r="I416" i="51"/>
  <c r="I448" i="51"/>
  <c r="I379" i="51"/>
  <c r="I384" i="51"/>
  <c r="I55" i="51"/>
  <c r="I94" i="51"/>
  <c r="I108" i="51"/>
  <c r="I136" i="51"/>
  <c r="I174" i="51"/>
  <c r="I232" i="51"/>
  <c r="I303" i="51"/>
  <c r="I308" i="51"/>
  <c r="I327" i="51"/>
  <c r="I332" i="51"/>
  <c r="I438" i="51"/>
  <c r="I236" i="51"/>
  <c r="I283" i="51"/>
  <c r="I288" i="51"/>
  <c r="I27" i="51"/>
  <c r="I46" i="51"/>
  <c r="I75" i="51"/>
  <c r="I104" i="51"/>
  <c r="I127" i="51"/>
  <c r="I155" i="51"/>
  <c r="I184" i="51"/>
  <c r="I228" i="51"/>
  <c r="I247" i="51"/>
  <c r="I318" i="51"/>
  <c r="I342" i="51"/>
  <c r="I29" i="51"/>
  <c r="I53" i="51"/>
  <c r="I61" i="51"/>
  <c r="I69" i="51"/>
  <c r="I77" i="51"/>
  <c r="I85" i="51"/>
  <c r="I125" i="51"/>
  <c r="I157" i="51"/>
  <c r="I165" i="51"/>
  <c r="I189" i="51"/>
  <c r="I205" i="51"/>
  <c r="I213" i="51"/>
  <c r="I245" i="51"/>
  <c r="I269" i="51"/>
  <c r="I293" i="51"/>
  <c r="I349" i="51"/>
  <c r="I421" i="51"/>
  <c r="I443" i="51"/>
  <c r="I18" i="51"/>
  <c r="I42" i="51"/>
  <c r="I98" i="51"/>
  <c r="I106" i="51"/>
  <c r="I114" i="51"/>
  <c r="I138" i="51"/>
  <c r="I146" i="51"/>
  <c r="I178" i="51"/>
  <c r="I226" i="51"/>
  <c r="I234" i="51"/>
  <c r="I274" i="51"/>
  <c r="I298" i="51"/>
  <c r="I322" i="51"/>
  <c r="I354" i="51"/>
  <c r="I386" i="51"/>
  <c r="I426" i="51"/>
  <c r="I25" i="51"/>
  <c r="I57" i="51"/>
  <c r="I65" i="51"/>
  <c r="I73" i="51"/>
  <c r="I81" i="51"/>
  <c r="I89" i="51"/>
  <c r="I129" i="51"/>
  <c r="I153" i="51"/>
  <c r="I161" i="51"/>
  <c r="I193" i="51"/>
  <c r="I209" i="51"/>
  <c r="I217" i="51"/>
  <c r="I249" i="51"/>
  <c r="I313" i="51"/>
  <c r="I337" i="51"/>
  <c r="I369" i="51"/>
  <c r="I401" i="51"/>
  <c r="I433" i="51"/>
  <c r="L433" i="51" l="1"/>
  <c r="L401" i="51"/>
  <c r="L369" i="51"/>
  <c r="L337" i="51"/>
  <c r="L313" i="51"/>
  <c r="L249" i="51"/>
  <c r="L217" i="51"/>
  <c r="L209" i="51"/>
  <c r="L193" i="51"/>
  <c r="L161" i="51"/>
  <c r="L153" i="51"/>
  <c r="L129" i="51"/>
  <c r="L89" i="51"/>
  <c r="L81" i="51"/>
  <c r="L73" i="51"/>
  <c r="L65" i="51"/>
  <c r="L57" i="51"/>
  <c r="L25" i="51"/>
  <c r="L426" i="51"/>
  <c r="L386" i="51"/>
  <c r="L354" i="51"/>
  <c r="L322" i="51"/>
  <c r="L298" i="51"/>
  <c r="L274" i="51"/>
  <c r="L234" i="51"/>
  <c r="L226" i="51"/>
  <c r="L178" i="51"/>
  <c r="L146" i="51"/>
  <c r="L138" i="51"/>
  <c r="L114" i="51"/>
  <c r="L106" i="51"/>
  <c r="L98" i="51"/>
  <c r="L42" i="51"/>
  <c r="L18" i="51"/>
  <c r="L443" i="51"/>
  <c r="L421" i="51"/>
  <c r="L349" i="51"/>
  <c r="L293" i="51"/>
  <c r="L269" i="51"/>
  <c r="L245" i="51"/>
  <c r="L213" i="51"/>
  <c r="L205" i="51"/>
  <c r="L189" i="51"/>
  <c r="L165" i="51"/>
  <c r="L157" i="51"/>
  <c r="L125" i="51"/>
  <c r="L85" i="51"/>
  <c r="L77" i="51"/>
  <c r="L69" i="51"/>
  <c r="L61" i="51"/>
  <c r="L53" i="51"/>
  <c r="L29" i="51"/>
  <c r="L342" i="51"/>
  <c r="L318" i="51"/>
  <c r="L247" i="51"/>
  <c r="L228" i="51"/>
  <c r="L184" i="51"/>
  <c r="L155" i="51"/>
  <c r="L127" i="51"/>
  <c r="L104" i="51"/>
  <c r="L75" i="51"/>
  <c r="L46" i="51"/>
  <c r="L27" i="51"/>
  <c r="L288" i="51"/>
  <c r="L283" i="51"/>
  <c r="L236" i="51"/>
  <c r="L438" i="51"/>
  <c r="L332" i="51"/>
  <c r="L327" i="51"/>
  <c r="L308" i="51"/>
  <c r="L303" i="51"/>
  <c r="L232" i="51"/>
  <c r="L174" i="51"/>
  <c r="L136" i="51"/>
  <c r="L108" i="51"/>
  <c r="L94" i="51"/>
  <c r="L55" i="51"/>
  <c r="L384" i="51"/>
  <c r="L379" i="51"/>
  <c r="L448" i="51"/>
  <c r="L416" i="51"/>
  <c r="L411" i="51"/>
  <c r="L364" i="51"/>
  <c r="L359" i="51"/>
  <c r="L254" i="51"/>
  <c r="L230" i="51"/>
  <c r="L211" i="51"/>
  <c r="L134" i="51"/>
  <c r="L63" i="51"/>
  <c r="L44" i="51"/>
  <c r="L406" i="51"/>
  <c r="L344" i="51"/>
  <c r="L320" i="51"/>
  <c r="L191" i="51"/>
  <c r="L172" i="51"/>
  <c r="L167" i="51"/>
  <c r="L391" i="51"/>
  <c r="L276" i="51"/>
  <c r="L38" i="51"/>
  <c r="L23" i="51"/>
  <c r="L259" i="51"/>
  <c r="L195" i="51"/>
  <c r="L71" i="51"/>
  <c r="L51" i="51"/>
  <c r="L36" i="51"/>
  <c r="L142" i="51"/>
  <c r="L79" i="51"/>
  <c r="L264" i="51"/>
  <c r="L176" i="51"/>
  <c r="L207" i="51"/>
  <c r="L67" i="51"/>
  <c r="L219" i="51"/>
  <c r="L182" i="51"/>
  <c r="L151" i="51"/>
  <c r="L144" i="51"/>
  <c r="L31" i="51"/>
  <c r="L396" i="51"/>
  <c r="L374" i="51"/>
  <c r="L159" i="51"/>
  <c r="L96" i="51"/>
  <c r="L215" i="51"/>
  <c r="L112" i="51"/>
  <c r="L224" i="51"/>
  <c r="L140" i="51"/>
  <c r="L110" i="51"/>
  <c r="L278" i="51"/>
  <c r="L240" i="51"/>
  <c r="L163" i="51"/>
  <c r="L123" i="51"/>
  <c r="L100" i="51"/>
  <c r="L40" i="51"/>
  <c r="L431" i="51"/>
  <c r="L238" i="51"/>
  <c r="L116" i="51"/>
  <c r="L83" i="51"/>
  <c r="L180" i="51"/>
  <c r="L102" i="51"/>
  <c r="L59" i="51"/>
  <c r="L87" i="51"/>
  <c r="L118" i="51"/>
</calcChain>
</file>

<file path=xl/sharedStrings.xml><?xml version="1.0" encoding="utf-8"?>
<sst xmlns="http://schemas.openxmlformats.org/spreadsheetml/2006/main" count="2151" uniqueCount="969">
  <si>
    <t>Ano</t>
  </si>
  <si>
    <t>Mês</t>
  </si>
  <si>
    <t>Semana</t>
  </si>
  <si>
    <t>Data Início</t>
  </si>
  <si>
    <t>Data Fim</t>
  </si>
  <si>
    <t>Pesado SE</t>
  </si>
  <si>
    <t>Médio SE</t>
  </si>
  <si>
    <t>Leve SE</t>
  </si>
  <si>
    <t>Pesado S</t>
  </si>
  <si>
    <t>Médio S</t>
  </si>
  <si>
    <t>Leve S</t>
  </si>
  <si>
    <t>Pesado NE</t>
  </si>
  <si>
    <t>Médio NE</t>
  </si>
  <si>
    <t>Leve NE</t>
  </si>
  <si>
    <t>Pesado N</t>
  </si>
  <si>
    <t>Médio N</t>
  </si>
  <si>
    <t>Leve N</t>
  </si>
  <si>
    <t>LOC</t>
  </si>
  <si>
    <t>DC201407-sem4</t>
  </si>
  <si>
    <t>DC201408-sem1</t>
  </si>
  <si>
    <t>DC201408-sem2</t>
  </si>
  <si>
    <t>DC201408-sem3</t>
  </si>
  <si>
    <t>DC201408-sem4</t>
  </si>
  <si>
    <t>DC201408-sem5</t>
  </si>
  <si>
    <t>DC201409-sem1</t>
  </si>
  <si>
    <t>DC201409-sem2</t>
  </si>
  <si>
    <t>DC201409-sem3</t>
  </si>
  <si>
    <t>DC201409-sem4</t>
  </si>
  <si>
    <t>DC201410-sem1</t>
  </si>
  <si>
    <t>DC201410-sem2</t>
  </si>
  <si>
    <t>DC201410-sem3</t>
  </si>
  <si>
    <t>DC201410-sem4</t>
  </si>
  <si>
    <t>DC201410-sem5</t>
  </si>
  <si>
    <t>DC201411-sem1</t>
  </si>
  <si>
    <t>DC201411-sem2</t>
  </si>
  <si>
    <t>DC201411-sem3</t>
  </si>
  <si>
    <t>DC201411-sem4</t>
  </si>
  <si>
    <t>DC201412-sem1</t>
  </si>
  <si>
    <t>DC201412-sem2</t>
  </si>
  <si>
    <t>DC201412-sem3</t>
  </si>
  <si>
    <t>DC201412-sem4</t>
  </si>
  <si>
    <t>DC201501-sem1</t>
  </si>
  <si>
    <t>DC201501-sem2</t>
  </si>
  <si>
    <t>DC201501-sem3</t>
  </si>
  <si>
    <t>DC201501-sem4</t>
  </si>
  <si>
    <t>DC201501-sem5</t>
  </si>
  <si>
    <t>DC201502-sem1</t>
  </si>
  <si>
    <t>DC201502-sem2</t>
  </si>
  <si>
    <t>DC201502-sem3</t>
  </si>
  <si>
    <t>DC201503-sem1</t>
  </si>
  <si>
    <t>DC201503-sem2</t>
  </si>
  <si>
    <t>DC201502-sem4</t>
  </si>
  <si>
    <t>DC201503-sem3</t>
  </si>
  <si>
    <t>DC201503-sem4</t>
  </si>
  <si>
    <t>DC201504-sem1</t>
  </si>
  <si>
    <t>DC201504-sem2</t>
  </si>
  <si>
    <t>DC201504-sem3</t>
  </si>
  <si>
    <t>DC201504-sem4</t>
  </si>
  <si>
    <t>DC201504-sem5</t>
  </si>
  <si>
    <t>DC201505-sem1</t>
  </si>
  <si>
    <t>DC201506-sem1</t>
  </si>
  <si>
    <t>DC201506-sem2</t>
  </si>
  <si>
    <t>DC201506-sem3</t>
  </si>
  <si>
    <t>DC201506-sem4</t>
  </si>
  <si>
    <t>DC201507-sem1</t>
  </si>
  <si>
    <t>DC201507-sem2</t>
  </si>
  <si>
    <t>DC201507-sem3</t>
  </si>
  <si>
    <t>DC201507-sem4</t>
  </si>
  <si>
    <t>DC201507-sem5</t>
  </si>
  <si>
    <t>DC201508-sem1</t>
  </si>
  <si>
    <t>T</t>
  </si>
  <si>
    <t>H</t>
  </si>
  <si>
    <t>MP Trienal + Inst. Sist. Med. NÃ­vel R.V. + Montag</t>
  </si>
  <si>
    <t xml:space="preserve">                                                  </t>
  </si>
  <si>
    <t xml:space="preserve">Unidade desligou-se por falhas no Bco de Trafo da </t>
  </si>
  <si>
    <t>NECESSIDADE OPERATIVA PREMENTE FURNAS: ESTA INTERV</t>
  </si>
  <si>
    <t>| SolicitaÃ§Ã£o nesta data devido aumento de tempe</t>
  </si>
  <si>
    <t>-SolicitaÃ§Ã£o nesta data para adequar perÃ­odo da</t>
  </si>
  <si>
    <t>SolicitaÃ§Ã£o de urgÃªncia devido aumento da tempe</t>
  </si>
  <si>
    <t xml:space="preserve">A MPP2 desta UG estava prevista para ser iniciada </t>
  </si>
  <si>
    <t xml:space="preserve">|                                                 </t>
  </si>
  <si>
    <t xml:space="preserve">Desarme da unidade geradora 1 devido atuaÃ§Ã£o da </t>
  </si>
  <si>
    <t>Verificado vazamento de Ã³leo quando a unidade ger</t>
  </si>
  <si>
    <t>Riscos de danos Ã  UG conforme relatÃ³rio em anexo</t>
  </si>
  <si>
    <t>Desligamento das Unidades Geradoras 1, 2, 3 e 4 em</t>
  </si>
  <si>
    <t>A unidade geradora 1 serÃ¡ isolada hidraulicamente</t>
  </si>
  <si>
    <t>A unidade geradora 2 serÃ¡ isolada hidraulicamente</t>
  </si>
  <si>
    <t>A unidade geradora 3 serÃ¡ isolada hidraulicamente</t>
  </si>
  <si>
    <t>LIMPEZA NOS TROCADORES DE CALOR DO GERADOR, MC, MG</t>
  </si>
  <si>
    <t xml:space="preserve">MONTAGEM DE INSTRUMENTAÃ‡ÃƒO PARA REALIZAÃ‡ÃƒO DO </t>
  </si>
  <si>
    <t xml:space="preserve">REVISÃƒO DE 100.000 HORAS DA UG 05.               </t>
  </si>
  <si>
    <t>TESTES E AJUSTES NO MANCAL GUIA DA TURBINA, MANCAL</t>
  </si>
  <si>
    <t>INSTALAÃ‡ÃƒO DE SENSORES (ACELERÃ”METROS) NAS CAIX</t>
  </si>
  <si>
    <t>VERIFICAR FALHA PARA AUMENTAR POTÃŠNCIA ATIVA DA U</t>
  </si>
  <si>
    <t>MEDIÃ‡ÃƒO DAS ESCOVAS DO ANEL COLETOR, COMUTADOR D</t>
  </si>
  <si>
    <t xml:space="preserve">INSPEÃ‡ÃƒO DAS GRADES DA TOMADA DÃGUA.           </t>
  </si>
  <si>
    <t xml:space="preserve">LIMPEZA DAS GRADES EXTERNAS DA UNIDADE GERADORA | </t>
  </si>
  <si>
    <t xml:space="preserve">MANUTENÃ‡ÃƒO CORRETIVA NAS BUCHAS INTERMEDIÃRIAS </t>
  </si>
  <si>
    <t>VERIFICAÃ‡ÃƒO E TESTES DE FUNCIONALIDADE DE ATUAÃ‡</t>
  </si>
  <si>
    <t>INSPEÃ‡ÃƒO DOS COMBUSTORES A SER REALIZADA PELO FA</t>
  </si>
  <si>
    <t>RevisÃ£o Anual da Unidade. Troca do disjuntor de 1</t>
  </si>
  <si>
    <t>SUBSTITUIR BARRAS DO ESTATOR DANIFICADOS POR CURTO</t>
  </si>
  <si>
    <t>MANUTEÃ‡ÃƒO PREDITIVA NO TE 34,  EQUIPAMENTOS DA L</t>
  </si>
  <si>
    <t>RISCO DE DANOS AOS EQUIPAMENTOS - DOCUMENTO EM SUB</t>
  </si>
  <si>
    <t>RISCO DE DANOS AO EQUIPAMENTO. A FALHA NO PRECIPIT</t>
  </si>
  <si>
    <t>IndisponÃ­vel para operar como, Compensador  SÃ­nc</t>
  </si>
  <si>
    <t xml:space="preserve">Risco de danificaÃ§Ã£o do equipamento.            </t>
  </si>
  <si>
    <t>Risco de acidente com pessoal, em funÃ§Ã£o da ativ</t>
  </si>
  <si>
    <t>Em substituiÃ§Ã£o a SGI 6176-16 cancelada devido a</t>
  </si>
  <si>
    <t>IndisponÃ­vel em face da sinalizaÃ§Ã£o de "circula</t>
  </si>
  <si>
    <t>SuspensÃ£o da operaÃ§Ã£o comercial da unidade gera</t>
  </si>
  <si>
    <t>RECUPERAÃ‡ÃƒO DO DISJUNTOR PRINCIPAL - SE BLINDADA</t>
  </si>
  <si>
    <t xml:space="preserve">SINISTRO NA SECCIONADORA DA SE BLINDADA.          </t>
  </si>
  <si>
    <t xml:space="preserve">MODERNIZAÃ‡ÃƒO SPCS.                              </t>
  </si>
  <si>
    <t>UNIDADE IMPEDIDA DE OPERAR DEVIDO SUPORTE DO BRAÃ‡</t>
  </si>
  <si>
    <t xml:space="preserve">UNIDADE INDISPONÃVEL PARA A OPERAÃ‡ÃƒO.          </t>
  </si>
  <si>
    <t>CASQUILHO DO MANCAL MÃ“VEL DO CILINDRO B7 DANIFICA</t>
  </si>
  <si>
    <t xml:space="preserve">UNIDADE INDISPONÃVEL PARA OPERAÃ‡ÃƒO.            </t>
  </si>
  <si>
    <t xml:space="preserve">ManutenÃ§Ã£o Preventiva                           </t>
  </si>
  <si>
    <t>Ensaios operacionais apos reforma geral da unidade</t>
  </si>
  <si>
    <t>Para realizaÃ§Ã£o de Atividades MÃ­nimas de Manute</t>
  </si>
  <si>
    <t xml:space="preserve">Verificar causa de desligamento da UG             </t>
  </si>
  <si>
    <t>AntecipaÃ§Ã£o da MPPG, em funÃ§Ã£o do desligamento</t>
  </si>
  <si>
    <t xml:space="preserve">CorreÃ§Ã£o das vedaÃ§Ãµes e casquilhos; Polimento </t>
  </si>
  <si>
    <t>SubstituiÃ§Ã£o das vedaÃ§Ãµes das pÃ¡s Kaplan devi</t>
  </si>
  <si>
    <t xml:space="preserve">manutenÃ§Ã£o do sistema de aquecimento de gÃ¡s    </t>
  </si>
  <si>
    <t>SubstituiÃ§Ã£o Ã  SGI 5.306-16 que serÃ¡ cancelada</t>
  </si>
  <si>
    <t>HistÃ³rico de sucessivas quebras da unidade por da</t>
  </si>
  <si>
    <t xml:space="preserve">SubstituiÃ§Ã£o da turbina.                        </t>
  </si>
  <si>
    <t xml:space="preserve">ManutenÃ§Ã£o corretiva.                           </t>
  </si>
  <si>
    <t>Vazamento na vÃ¡lvula de entrada de gÃ¡s da turbin</t>
  </si>
  <si>
    <t xml:space="preserve">Risco ao equipamento.                             </t>
  </si>
  <si>
    <t xml:space="preserve">ManutenÃ§Ã£o corretiva                            </t>
  </si>
  <si>
    <t>Baixa eficiÃªncia do sistema de resfriamento dos m</t>
  </si>
  <si>
    <t xml:space="preserve">ManutenÃ§Ã£o no sistema Ã¡gua-vapor.              </t>
  </si>
  <si>
    <t xml:space="preserve">.                                                 </t>
  </si>
  <si>
    <t xml:space="preserve">UG indisponÃ­vel devido a atuaÃ§Ã£o do relÃ© 87 . </t>
  </si>
  <si>
    <t>Risco de agravar os danos jÃ¡ detectados caso seja</t>
  </si>
  <si>
    <t>ManutenÃ§Ã£o por horas de operaÃ§Ã£o por recomenda</t>
  </si>
  <si>
    <t xml:space="preserve">Essa mÃ¡quina jÃ¡ estÃ¡ com horÃ­metro avanÃ§ado. </t>
  </si>
  <si>
    <t>Preventivas e limpezas gerais nos radiadores do ge</t>
  </si>
  <si>
    <t xml:space="preserve">RevisÃ£o bienal da unidade geradora.              </t>
  </si>
  <si>
    <t>LIMPEZA GALERIA DE VAZÃƒO SANITÃRIA NA T. ÃGUA C</t>
  </si>
  <si>
    <t xml:space="preserve">Parada Geral da UHE Risoleta Neves conforme o SGI </t>
  </si>
  <si>
    <t xml:space="preserve">INSEPÃ‡ÃƒO APÃ“S 200HORAS DE OPERAÃ‡ÃƒO           </t>
  </si>
  <si>
    <t>UTE indisponÃ­vel aguardando o resultado da AudiÃª</t>
  </si>
  <si>
    <t>Continuidade ao reparo e ensaio da proteÃ§Ã£o 100%</t>
  </si>
  <si>
    <t>Houve falha no processo de partida da UG apÃ³s o t</t>
  </si>
  <si>
    <t>ESSA INTERVENÃ‡ÃƒO SERÃ REALIZADA EM APROVEITAMEN</t>
  </si>
  <si>
    <t xml:space="preserve">EMERGÃŠNCIA                                       </t>
  </si>
  <si>
    <t xml:space="preserve">ALTA TEMPERATURA DE OLEO LUBRIFICANTE NO MANCAL 6 </t>
  </si>
  <si>
    <t xml:space="preserve">A MESMA                                           </t>
  </si>
  <si>
    <t>INDISPONIVEL PARA INSPEÃ‡AO DO DETECTOR DE NEVOA |</t>
  </si>
  <si>
    <t xml:space="preserve">CORRECAO DO SISTEMA DE REFRIGERACÃƒO              </t>
  </si>
  <si>
    <t>SHUTDOWN POR BAIXA PRESSÃƒO DE Ã“LEO LUBRIFICANTE.</t>
  </si>
  <si>
    <t>alta concentraÃ§Ã£o de vapor no interio do cÃ¡rter</t>
  </si>
  <si>
    <t>SAÃDA POR BAIXA PRESSÃƒO DE Ã“LEO LUBRIFICANTE NO</t>
  </si>
  <si>
    <t>| Para atendimento emergencial a uma condiÃ§Ã£o si</t>
  </si>
  <si>
    <t>Logo apÃ³s a rampa de descida de carga e desligame</t>
  </si>
  <si>
    <t>SubstituiÃ§Ã£o dos reguladores de tensÃ£o e veloci</t>
  </si>
  <si>
    <t xml:space="preserve"> ITAIPU 50 HZ ITAIPU </t>
  </si>
  <si>
    <t xml:space="preserve">        U.BARRAGRANDE</t>
  </si>
  <si>
    <t xml:space="preserve">          14 DE JULHO</t>
  </si>
  <si>
    <t xml:space="preserve"> H.BORDEN EXT H.BORDE</t>
  </si>
  <si>
    <t xml:space="preserve"> ILHA SOLTEIRA TRES I</t>
  </si>
  <si>
    <t xml:space="preserve">                JUPIA</t>
  </si>
  <si>
    <t xml:space="preserve">         P. PRIMAVERA</t>
  </si>
  <si>
    <t xml:space="preserve">            PARAIBUNA</t>
  </si>
  <si>
    <t xml:space="preserve">          ITUTINGA-US</t>
  </si>
  <si>
    <t xml:space="preserve">            IGARAPAVA</t>
  </si>
  <si>
    <t xml:space="preserve">         VOLTA GRANDE</t>
  </si>
  <si>
    <t xml:space="preserve">              MIRANDA</t>
  </si>
  <si>
    <t xml:space="preserve">         SAO SIMAO-US</t>
  </si>
  <si>
    <t xml:space="preserve">              BAGUARI</t>
  </si>
  <si>
    <t xml:space="preserve">              AIMORES</t>
  </si>
  <si>
    <t xml:space="preserve">             QUEIMADO</t>
  </si>
  <si>
    <t xml:space="preserve">               FURNAS</t>
  </si>
  <si>
    <t xml:space="preserve">            M. MORAES</t>
  </si>
  <si>
    <t xml:space="preserve">          P. COLOMBIA</t>
  </si>
  <si>
    <t xml:space="preserve">              BATALHA</t>
  </si>
  <si>
    <t xml:space="preserve">            ITUMBIARA</t>
  </si>
  <si>
    <t xml:space="preserve">                FUNIL</t>
  </si>
  <si>
    <t xml:space="preserve">            SIMPLICIO</t>
  </si>
  <si>
    <t xml:space="preserve">        UHE S.DA MESA</t>
  </si>
  <si>
    <t xml:space="preserve">                MANSO</t>
  </si>
  <si>
    <t xml:space="preserve">           SANTA CRUZ</t>
  </si>
  <si>
    <t xml:space="preserve">                JACUI</t>
  </si>
  <si>
    <t xml:space="preserve">               FUNDAO</t>
  </si>
  <si>
    <t xml:space="preserve">            NEY BRAGA</t>
  </si>
  <si>
    <t xml:space="preserve">         U.S.SANTIAGO</t>
  </si>
  <si>
    <t xml:space="preserve">           U.S.OSORIO</t>
  </si>
  <si>
    <t xml:space="preserve">         U.MACHADINHO</t>
  </si>
  <si>
    <t xml:space="preserve">        U.PASSO FUNDO</t>
  </si>
  <si>
    <t xml:space="preserve">         SAO SALVADOR</t>
  </si>
  <si>
    <t xml:space="preserve">             ESTREITO</t>
  </si>
  <si>
    <t xml:space="preserve">          PONTE PEDRA</t>
  </si>
  <si>
    <t xml:space="preserve">         U.JLACERDA-B</t>
  </si>
  <si>
    <t xml:space="preserve">       U.JLACERDA-A 1</t>
  </si>
  <si>
    <t xml:space="preserve">       U.JLACERDA-A 2</t>
  </si>
  <si>
    <t xml:space="preserve">         U.SOBRADINHO</t>
  </si>
  <si>
    <t xml:space="preserve">          U. A. SALES</t>
  </si>
  <si>
    <t xml:space="preserve"> USINA PA-I USINA PA-</t>
  </si>
  <si>
    <t xml:space="preserve">          USINA PA-IV</t>
  </si>
  <si>
    <t xml:space="preserve">          USINA XINGO</t>
  </si>
  <si>
    <t xml:space="preserve">          US.CAMACARI</t>
  </si>
  <si>
    <t xml:space="preserve">          US. TUCURUI</t>
  </si>
  <si>
    <t xml:space="preserve">           UHE SAMUEL</t>
  </si>
  <si>
    <t xml:space="preserve">       UTE SANTANA II</t>
  </si>
  <si>
    <t xml:space="preserve">          UTE SANTANA</t>
  </si>
  <si>
    <t xml:space="preserve">           C. DOURADA</t>
  </si>
  <si>
    <t xml:space="preserve">            CHAVANTES</t>
  </si>
  <si>
    <t xml:space="preserve">             CAPIVARA</t>
  </si>
  <si>
    <t xml:space="preserve">              CACONDE</t>
  </si>
  <si>
    <t xml:space="preserve">        AGUA VERMELHA</t>
  </si>
  <si>
    <t xml:space="preserve">         BARRA BONITA</t>
  </si>
  <si>
    <t xml:space="preserve">            PROMISSAO</t>
  </si>
  <si>
    <t xml:space="preserve">      NO.FLUMINENSE 1</t>
  </si>
  <si>
    <t xml:space="preserve">        UT.TERMOCEARA</t>
  </si>
  <si>
    <t xml:space="preserve">        UT MARIO LAGO</t>
  </si>
  <si>
    <t xml:space="preserve"> FER.GASPARIAN U.PIRA</t>
  </si>
  <si>
    <t xml:space="preserve">              BAHIA I</t>
  </si>
  <si>
    <t xml:space="preserve">           UTE MURICY</t>
  </si>
  <si>
    <t xml:space="preserve">         UTE AREMBEPE</t>
  </si>
  <si>
    <t xml:space="preserve">         B.FLUMINENSE</t>
  </si>
  <si>
    <t xml:space="preserve">       B.L.SOBRINHO P</t>
  </si>
  <si>
    <t xml:space="preserve">        G.L.BRIZOLA P</t>
  </si>
  <si>
    <t xml:space="preserve">        L.C.PRESTES P</t>
  </si>
  <si>
    <t xml:space="preserve">              LAJEADO</t>
  </si>
  <si>
    <t xml:space="preserve">          P.DO CAVALO</t>
  </si>
  <si>
    <t xml:space="preserve">            TERMOCABO</t>
  </si>
  <si>
    <t xml:space="preserve">          SALTO PILAO</t>
  </si>
  <si>
    <t xml:space="preserve">           S.DO FACAO</t>
  </si>
  <si>
    <t xml:space="preserve">        RISOLETANEVES</t>
  </si>
  <si>
    <t xml:space="preserve">        U.MASCARENHAS</t>
  </si>
  <si>
    <t xml:space="preserve">                ALTOS</t>
  </si>
  <si>
    <t xml:space="preserve">              ARACATI</t>
  </si>
  <si>
    <t xml:space="preserve">             BATURITE</t>
  </si>
  <si>
    <t xml:space="preserve">          CAMPO MAIOR</t>
  </si>
  <si>
    <t xml:space="preserve">              CAUCAIA</t>
  </si>
  <si>
    <t xml:space="preserve">                CRATO</t>
  </si>
  <si>
    <t xml:space="preserve">             UT.PECEM</t>
  </si>
  <si>
    <t xml:space="preserve">               IGUATU</t>
  </si>
  <si>
    <t xml:space="preserve">        JUAZEIRO NORT</t>
  </si>
  <si>
    <t xml:space="preserve">            MARAMBAIA</t>
  </si>
  <si>
    <t xml:space="preserve">              NAZARIA</t>
  </si>
  <si>
    <t xml:space="preserve">        SANTO ANTONIO</t>
  </si>
  <si>
    <t xml:space="preserve">        TERMOPERNAMBU</t>
  </si>
  <si>
    <t xml:space="preserve">         UTE MAUA BL4</t>
  </si>
  <si>
    <t xml:space="preserve">        UTE APARECIDA</t>
  </si>
  <si>
    <t xml:space="preserve">        UTE MAUA BL 3</t>
  </si>
  <si>
    <t xml:space="preserve">            UHE JIRAU</t>
  </si>
  <si>
    <t xml:space="preserve">         FERREI.GOMES</t>
  </si>
  <si>
    <t xml:space="preserve">         PALMEIRAS GO</t>
  </si>
  <si>
    <t xml:space="preserve">        UHE GARIBALDI</t>
  </si>
  <si>
    <t xml:space="preserve">        U.QUEB.QUEIXO</t>
  </si>
  <si>
    <t>ELETROBRAS</t>
  </si>
  <si>
    <t>CPFL</t>
  </si>
  <si>
    <t>EMAE</t>
  </si>
  <si>
    <t>CESP</t>
  </si>
  <si>
    <t>CEMIG</t>
  </si>
  <si>
    <t>FURNAS</t>
  </si>
  <si>
    <t>CEEE</t>
  </si>
  <si>
    <t>COPEL</t>
  </si>
  <si>
    <t>TRACTEBEL</t>
  </si>
  <si>
    <t>CHESF</t>
  </si>
  <si>
    <t>ELETRONORTE</t>
  </si>
  <si>
    <t>ENDESA CACHOEIRA</t>
  </si>
  <si>
    <t>DUKE ENERGY</t>
  </si>
  <si>
    <t>AES TIETE</t>
  </si>
  <si>
    <t>NORTE FLUMINENSE</t>
  </si>
  <si>
    <t>PETROBRAS</t>
  </si>
  <si>
    <t>INVESTCO</t>
  </si>
  <si>
    <t>VOTORANTIM_PC</t>
  </si>
  <si>
    <t>TERMOCABO</t>
  </si>
  <si>
    <t>SALTO PILAO</t>
  </si>
  <si>
    <t>SEFAC</t>
  </si>
  <si>
    <t>CANDONGA</t>
  </si>
  <si>
    <t>ENERGEST</t>
  </si>
  <si>
    <t>ENGUIA CE</t>
  </si>
  <si>
    <t>STO ANTONIO</t>
  </si>
  <si>
    <t>NEOENERGIA</t>
  </si>
  <si>
    <t>AMAZONAS G</t>
  </si>
  <si>
    <t>ESBRA</t>
  </si>
  <si>
    <t>FERREIRA GOMES</t>
  </si>
  <si>
    <t>BOLOGNESI</t>
  </si>
  <si>
    <t>RIO CANOAS</t>
  </si>
  <si>
    <t>C E CHAPECa</t>
  </si>
  <si>
    <t>EMPRESA</t>
  </si>
  <si>
    <t>COD</t>
  </si>
  <si>
    <t>Tipo</t>
  </si>
  <si>
    <t>Nome</t>
  </si>
  <si>
    <t>POTÊNCIA</t>
  </si>
  <si>
    <t>Data_Ini</t>
  </si>
  <si>
    <t>Data_Fim</t>
  </si>
  <si>
    <t>Motivo</t>
  </si>
  <si>
    <t>&amp;----------------------------------------------------------------------------------------------</t>
  </si>
  <si>
    <t>&amp;         BLOCO 19 *** MANUTENÇÕES PROGRAMADAS ***</t>
  </si>
  <si>
    <t>&amp;         (REGISTROS MP E MT)</t>
  </si>
  <si>
    <t>&amp;..........................................................</t>
  </si>
  <si>
    <t xml:space="preserve">&amp; MANUTENCAO PROGRAMADA DE USINAS HIDRAULICAS (REGISTRO MP)   </t>
  </si>
  <si>
    <t>&amp;        EST1|EST2|EST3| ...</t>
  </si>
  <si>
    <t>&amp;   USI  FDISP</t>
  </si>
  <si>
    <t>&amp;   xxx  XXXXXxxxxxXXXXXxxxxxXXXXXxxxxxXXXXXxxxxxXXXXXxxxxxXXXXXxxxxxXXXXXxxxxxXXXXXxxxxxXXXXX</t>
  </si>
  <si>
    <t>&amp;MP</t>
  </si>
  <si>
    <t>&amp;.................................</t>
  </si>
  <si>
    <t>&amp;         EMAE</t>
  </si>
  <si>
    <t>&amp;HENRY BORDEN</t>
  </si>
  <si>
    <t>&amp;         CESP</t>
  </si>
  <si>
    <t>&amp;I. SOLT. EQV</t>
  </si>
  <si>
    <t>&amp;JUPIA</t>
  </si>
  <si>
    <t>&amp;P. PRIMAVERA</t>
  </si>
  <si>
    <t>&amp;JAGUARI</t>
  </si>
  <si>
    <t>&amp;PARAIBUNA</t>
  </si>
  <si>
    <t>&amp;         LIGHT</t>
  </si>
  <si>
    <t>&amp;SANTA BRANCA</t>
  </si>
  <si>
    <t>&amp;ILHA POMBOS</t>
  </si>
  <si>
    <t>&amp;NILO PECANHA</t>
  </si>
  <si>
    <t>&amp;P. PASSOS</t>
  </si>
  <si>
    <t>&amp;FONTES A</t>
  </si>
  <si>
    <t>&amp;FONTES BC</t>
  </si>
  <si>
    <t>&amp;         CEMIG</t>
  </si>
  <si>
    <t>&amp;CAMARGOS</t>
  </si>
  <si>
    <t>&amp;ITUTINGA</t>
  </si>
  <si>
    <t>&amp;FUNIL-GRANDE</t>
  </si>
  <si>
    <t>&amp;JAGUARA</t>
  </si>
  <si>
    <t>&amp;IGARAPAVA</t>
  </si>
  <si>
    <t>&amp;VOLTA GRANDE</t>
  </si>
  <si>
    <t>&amp;EMBORCACAO</t>
  </si>
  <si>
    <t>&amp;NOVA PONTE</t>
  </si>
  <si>
    <t>&amp;MIRANDA</t>
  </si>
  <si>
    <t>&amp;CAPIM BRANC1</t>
  </si>
  <si>
    <t>&amp;CAPIM BRANC2</t>
  </si>
  <si>
    <t>&amp;SAO SIMAO</t>
  </si>
  <si>
    <t>&amp;SALTO GRANDE</t>
  </si>
  <si>
    <t>&amp;AIMORES</t>
  </si>
  <si>
    <t>&amp;IRAPE</t>
  </si>
  <si>
    <t>&amp;TRES MARIAS</t>
  </si>
  <si>
    <t>&amp;QUEIMADO</t>
  </si>
  <si>
    <t>&amp;GUILMAN-AMOR</t>
  </si>
  <si>
    <t>&amp;SA CARVALHO</t>
  </si>
  <si>
    <t>&amp;ROSAL</t>
  </si>
  <si>
    <t>&amp;         FURNAS</t>
  </si>
  <si>
    <t>&amp;FURNAS</t>
  </si>
  <si>
    <t>&amp;M. DE MORAES</t>
  </si>
  <si>
    <t>&amp;ESTREITO</t>
  </si>
  <si>
    <t>&amp;P. COLOMBIA</t>
  </si>
  <si>
    <t>&amp;MARIMBONDO</t>
  </si>
  <si>
    <t>&amp;BATALHA</t>
  </si>
  <si>
    <t>&amp;CORUMBA I</t>
  </si>
  <si>
    <t>&amp;ITUMBIARA</t>
  </si>
  <si>
    <t>&amp;FUNIL</t>
  </si>
  <si>
    <t>&amp;SIMPLICIO</t>
  </si>
  <si>
    <t>&amp;SERRA MESA</t>
  </si>
  <si>
    <t>&amp;PEIXE ANGIC</t>
  </si>
  <si>
    <t>&amp;MANSO</t>
  </si>
  <si>
    <t>&amp;         CEEE</t>
  </si>
  <si>
    <t>&amp;PASSO REAL</t>
  </si>
  <si>
    <t>&amp;JACUI</t>
  </si>
  <si>
    <t>&amp;ITAUBA</t>
  </si>
  <si>
    <t>&amp;D. FRANCISCA</t>
  </si>
  <si>
    <t>&amp;         COPEL</t>
  </si>
  <si>
    <t>&amp;MAUA</t>
  </si>
  <si>
    <t>&amp;STA CLARA PR</t>
  </si>
  <si>
    <t>&amp;FUNDAO</t>
  </si>
  <si>
    <t>&amp;G.B. MUNHOZ</t>
  </si>
  <si>
    <t>&amp;SEGREDO</t>
  </si>
  <si>
    <t>&amp;SALTO CAXIAS</t>
  </si>
  <si>
    <t>&amp;G.P. SOUZA</t>
  </si>
  <si>
    <t>&amp;         TRACTEBEL</t>
  </si>
  <si>
    <t>&amp;SLT.SANTIAGO</t>
  </si>
  <si>
    <t>&amp;SALTO OSORIO</t>
  </si>
  <si>
    <t>&amp;MACHADINHO</t>
  </si>
  <si>
    <t>&amp;ITA</t>
  </si>
  <si>
    <t>&amp;PASSO FUNDO</t>
  </si>
  <si>
    <t>&amp;CANA BRAVA</t>
  </si>
  <si>
    <t>&amp;SAO SALVADOR</t>
  </si>
  <si>
    <t>&amp;ESTREITO TOC</t>
  </si>
  <si>
    <t>&amp;PONTE PEDRA</t>
  </si>
  <si>
    <t>&amp;         CHESF</t>
  </si>
  <si>
    <t>&amp;SOBRADINHO</t>
  </si>
  <si>
    <t>&amp;ITAPARICA</t>
  </si>
  <si>
    <t>&amp;MOXOTO</t>
  </si>
  <si>
    <t>&amp;P.AFONSO 123</t>
  </si>
  <si>
    <t>&amp;P.AFONSO 4</t>
  </si>
  <si>
    <t>&amp;XINGO</t>
  </si>
  <si>
    <t>&amp;B. ESPERANCA</t>
  </si>
  <si>
    <t>&amp;         ELETRONORTE</t>
  </si>
  <si>
    <t>&amp;CURUA-UNA</t>
  </si>
  <si>
    <t>&amp;TUCURUI</t>
  </si>
  <si>
    <t>&amp;SAMUEL</t>
  </si>
  <si>
    <t>&amp;COARACY NUNE</t>
  </si>
  <si>
    <t>&amp;         ITAIPU</t>
  </si>
  <si>
    <t>&amp;ITAIPU</t>
  </si>
  <si>
    <t>&amp;         DUKE ENERGY</t>
  </si>
  <si>
    <t>&amp;A.A. LAYDNER</t>
  </si>
  <si>
    <t>&amp;CHAVANTES</t>
  </si>
  <si>
    <t>&amp;L.N. GARCEZ</t>
  </si>
  <si>
    <t>&amp;CANOAS II</t>
  </si>
  <si>
    <t>&amp;CANOAS I</t>
  </si>
  <si>
    <t>&amp;CAPIVARA</t>
  </si>
  <si>
    <t>&amp;TAQUARUCU</t>
  </si>
  <si>
    <t>&amp;ROSANA</t>
  </si>
  <si>
    <t>&amp;         AES TIETE</t>
  </si>
  <si>
    <t>&amp;CACONDE</t>
  </si>
  <si>
    <t>&amp;E. DA CUNHA</t>
  </si>
  <si>
    <t>&amp;A.S.OLIVEIRA</t>
  </si>
  <si>
    <t>&amp;A. VERMELHA</t>
  </si>
  <si>
    <t>&amp;BARRA BONITA</t>
  </si>
  <si>
    <t>&amp;A.S. LIMA</t>
  </si>
  <si>
    <t>&amp;IBITINGA</t>
  </si>
  <si>
    <t>&amp;PROMISSAO</t>
  </si>
  <si>
    <t>&amp;NAVANHANDAVA</t>
  </si>
  <si>
    <t>&amp;         CPFL</t>
  </si>
  <si>
    <t>&amp;BARRA GRANDE</t>
  </si>
  <si>
    <t>&amp;CAMPOS NOVOS</t>
  </si>
  <si>
    <t>&amp;FOZ CHAPECO</t>
  </si>
  <si>
    <t>&amp;         CORUMBA</t>
  </si>
  <si>
    <t>&amp;CORUMBA IV</t>
  </si>
  <si>
    <t>&amp;         VCP</t>
  </si>
  <si>
    <t>&amp;P. CAVALO</t>
  </si>
  <si>
    <t>&amp;         CDSA</t>
  </si>
  <si>
    <t>&amp;CACH.DOURADA</t>
  </si>
  <si>
    <t>&amp;         INVESTCO</t>
  </si>
  <si>
    <t>&amp;LAJEADO</t>
  </si>
  <si>
    <t>&amp;         CBA</t>
  </si>
  <si>
    <t>&amp;PIRAJU</t>
  </si>
  <si>
    <t>&amp;SLT VERDINHO</t>
  </si>
  <si>
    <t>&amp;OURINHOS</t>
  </si>
  <si>
    <t>&amp;         CEC</t>
  </si>
  <si>
    <t>&amp;QUEBRA QUEIX</t>
  </si>
  <si>
    <t>&amp;         PORTOESTRELA</t>
  </si>
  <si>
    <t>&amp;P. ESTRELA</t>
  </si>
  <si>
    <t>&amp;         ITAPEBI</t>
  </si>
  <si>
    <t>&amp;ITAPEBI</t>
  </si>
  <si>
    <t>&amp;         QGE</t>
  </si>
  <si>
    <t>&amp;JAURU</t>
  </si>
  <si>
    <t>&amp;         TANGARA</t>
  </si>
  <si>
    <t>&amp;GUAPORE</t>
  </si>
  <si>
    <t>&amp;         GEASF</t>
  </si>
  <si>
    <t>&amp;SERRA FACAO</t>
  </si>
  <si>
    <t>&amp;         MONJOLINHO</t>
  </si>
  <si>
    <t>&amp;MONJOLINHO</t>
  </si>
  <si>
    <t>&amp;         CERAN</t>
  </si>
  <si>
    <t>&amp;CASTRO ALVES</t>
  </si>
  <si>
    <t>&amp;MONTE CLARO</t>
  </si>
  <si>
    <t>&amp;14 DE JULHO</t>
  </si>
  <si>
    <t>&amp;         CORUMBA III</t>
  </si>
  <si>
    <t>&amp;CORUMBA III</t>
  </si>
  <si>
    <t>&amp;         RIO VERDE</t>
  </si>
  <si>
    <t>&amp;SALTO</t>
  </si>
  <si>
    <t>&amp;         CESC</t>
  </si>
  <si>
    <t>&amp;STA CLARA MG</t>
  </si>
  <si>
    <t>&amp;         GERDAU</t>
  </si>
  <si>
    <t>&amp;CACU</t>
  </si>
  <si>
    <t>&amp;B. COQUEIROS</t>
  </si>
  <si>
    <t>&amp;         ENERGEST</t>
  </si>
  <si>
    <t>&amp;MASCARENHAS</t>
  </si>
  <si>
    <t>&amp;         CVRD</t>
  </si>
  <si>
    <t>&amp;CANDONGA</t>
  </si>
  <si>
    <t>&amp;         SALTO PILAO</t>
  </si>
  <si>
    <t>&amp;SALTO PILAO</t>
  </si>
  <si>
    <t>&amp;         BAGUARI</t>
  </si>
  <si>
    <t>&amp;BAGUARI</t>
  </si>
  <si>
    <t>&amp;         ELETROSUL</t>
  </si>
  <si>
    <t>&amp;PASSO S JOAO</t>
  </si>
  <si>
    <t>&amp;         ELETROGOES</t>
  </si>
  <si>
    <t>&amp;RONDON II</t>
  </si>
  <si>
    <t>&amp;         CELG GT</t>
  </si>
  <si>
    <t>&amp;ESPORA</t>
  </si>
  <si>
    <t>&amp;         BBEP</t>
  </si>
  <si>
    <t>&amp;ITIQUIRA I</t>
  </si>
  <si>
    <t>&amp;ITIQUIRA II</t>
  </si>
  <si>
    <t>&amp;         RETIRO BAIXO</t>
  </si>
  <si>
    <t>&amp;RETIRO BAIXO</t>
  </si>
  <si>
    <t>&amp;         BAIXO IGUAÇU</t>
  </si>
  <si>
    <t>&amp;TELES PIRES</t>
  </si>
  <si>
    <t>&amp;         FOZ R. CLARO</t>
  </si>
  <si>
    <t>&amp;FOZ R. CLARO</t>
  </si>
  <si>
    <t>&amp;         NGUIA G CE</t>
  </si>
  <si>
    <t>&amp;STO ANTONIO</t>
  </si>
  <si>
    <t>&amp;         TMN</t>
  </si>
  <si>
    <t>&amp;SAO JOSE</t>
  </si>
  <si>
    <t>&amp;         NE GENERAT</t>
  </si>
  <si>
    <t>&amp;BALBINA</t>
  </si>
  <si>
    <t>&amp;         ENGUIA BA</t>
  </si>
  <si>
    <t>&amp;GARIBALDI</t>
  </si>
  <si>
    <t>&amp;         AMAZONAS</t>
  </si>
  <si>
    <t>&amp;FERREIRA GOM</t>
  </si>
  <si>
    <t>&amp;         SOBRAGI</t>
  </si>
  <si>
    <t>&amp;PICADA</t>
  </si>
  <si>
    <t>&amp;SOBRAGI</t>
  </si>
  <si>
    <t>&amp;         STO ANT JARI</t>
  </si>
  <si>
    <t>&amp;STO ANT JARI</t>
  </si>
  <si>
    <t>&amp;         AGUAS PEDRA</t>
  </si>
  <si>
    <t>&amp;DARDANELOS</t>
  </si>
  <si>
    <t>&amp;         ESBRA</t>
  </si>
  <si>
    <t>&amp;JIRAU</t>
  </si>
  <si>
    <t>&amp;</t>
  </si>
  <si>
    <t>MP  119</t>
  </si>
  <si>
    <t>MP   44</t>
  </si>
  <si>
    <t>MP   45</t>
  </si>
  <si>
    <t>MP   46</t>
  </si>
  <si>
    <t>MP  120</t>
  </si>
  <si>
    <t>MP  121</t>
  </si>
  <si>
    <t>MP  122</t>
  </si>
  <si>
    <t>MP  130</t>
  </si>
  <si>
    <t>MP  131</t>
  </si>
  <si>
    <t>MP  133</t>
  </si>
  <si>
    <t>MP  183</t>
  </si>
  <si>
    <t>MP  184</t>
  </si>
  <si>
    <t>MP    1</t>
  </si>
  <si>
    <t>MP    2</t>
  </si>
  <si>
    <t>MP    4</t>
  </si>
  <si>
    <t>MP    9</t>
  </si>
  <si>
    <t>MP   10</t>
  </si>
  <si>
    <t>MP   11</t>
  </si>
  <si>
    <t>MP   24</t>
  </si>
  <si>
    <t>MP   25</t>
  </si>
  <si>
    <t>MP   26</t>
  </si>
  <si>
    <t>MP   27</t>
  </si>
  <si>
    <t>MP   28</t>
  </si>
  <si>
    <t>MP   33</t>
  </si>
  <si>
    <t>MP  134</t>
  </si>
  <si>
    <t>MP  143</t>
  </si>
  <si>
    <t>MP  148</t>
  </si>
  <si>
    <t>MP  156</t>
  </si>
  <si>
    <t>MP  162</t>
  </si>
  <si>
    <t>MP  192</t>
  </si>
  <si>
    <t>MP  193</t>
  </si>
  <si>
    <t>MP  217</t>
  </si>
  <si>
    <t>MP    6</t>
  </si>
  <si>
    <t>MP    7</t>
  </si>
  <si>
    <t>MP    8</t>
  </si>
  <si>
    <t>MP   12</t>
  </si>
  <si>
    <t>MP   17</t>
  </si>
  <si>
    <t>MP   20</t>
  </si>
  <si>
    <t>MP   30</t>
  </si>
  <si>
    <t>MP   31</t>
  </si>
  <si>
    <t>MP  123</t>
  </si>
  <si>
    <t>MP  129</t>
  </si>
  <si>
    <t>MP  251</t>
  </si>
  <si>
    <t>MP  257</t>
  </si>
  <si>
    <t>MP  278</t>
  </si>
  <si>
    <t>MP  111</t>
  </si>
  <si>
    <t>MP  112</t>
  </si>
  <si>
    <t>MP  113</t>
  </si>
  <si>
    <t>MP  114</t>
  </si>
  <si>
    <t>MP   57</t>
  </si>
  <si>
    <t>MP   71</t>
  </si>
  <si>
    <t>MP   72</t>
  </si>
  <si>
    <t>MP   74</t>
  </si>
  <si>
    <t>MP   76</t>
  </si>
  <si>
    <t>MP   82</t>
  </si>
  <si>
    <t>MP  115</t>
  </si>
  <si>
    <t>MP   77</t>
  </si>
  <si>
    <t>MP   78</t>
  </si>
  <si>
    <t>MP   91</t>
  </si>
  <si>
    <t>MP   92</t>
  </si>
  <si>
    <t>MP   93</t>
  </si>
  <si>
    <t>MP  252</t>
  </si>
  <si>
    <t>MP  253</t>
  </si>
  <si>
    <t>MP  267</t>
  </si>
  <si>
    <t>MP  281</t>
  </si>
  <si>
    <t>MP  169</t>
  </si>
  <si>
    <t>MP  172</t>
  </si>
  <si>
    <t>MP  173</t>
  </si>
  <si>
    <t>MP  174</t>
  </si>
  <si>
    <t>MP  175</t>
  </si>
  <si>
    <t>MP  178</t>
  </si>
  <si>
    <t>MP  190</t>
  </si>
  <si>
    <t>MP  272</t>
  </si>
  <si>
    <t>MP  275</t>
  </si>
  <si>
    <t>MP  279</t>
  </si>
  <si>
    <t>MP  280</t>
  </si>
  <si>
    <t>MP   66</t>
  </si>
  <si>
    <t>MP   47</t>
  </si>
  <si>
    <t>MP   49</t>
  </si>
  <si>
    <t>MP   50</t>
  </si>
  <si>
    <t>MP   51</t>
  </si>
  <si>
    <t>MP   52</t>
  </si>
  <si>
    <t>MP   61</t>
  </si>
  <si>
    <t>MP   62</t>
  </si>
  <si>
    <t>MP   63</t>
  </si>
  <si>
    <t>MP   14</t>
  </si>
  <si>
    <t>MP   15</t>
  </si>
  <si>
    <t>MP   16</t>
  </si>
  <si>
    <t>MP   18</t>
  </si>
  <si>
    <t>MP   37</t>
  </si>
  <si>
    <t>MP   38</t>
  </si>
  <si>
    <t>MP   39</t>
  </si>
  <si>
    <t>MP   40</t>
  </si>
  <si>
    <t>MP   42</t>
  </si>
  <si>
    <t>MP   86</t>
  </si>
  <si>
    <t>MP   90</t>
  </si>
  <si>
    <t>MP  103</t>
  </si>
  <si>
    <t>MP   29</t>
  </si>
  <si>
    <t>MP  189</t>
  </si>
  <si>
    <t>MP   32</t>
  </si>
  <si>
    <t>MP  261</t>
  </si>
  <si>
    <t>MP   48</t>
  </si>
  <si>
    <t>MP  241</t>
  </si>
  <si>
    <t>MP  249</t>
  </si>
  <si>
    <t>MP   95</t>
  </si>
  <si>
    <t>MP  135</t>
  </si>
  <si>
    <t>MP  154</t>
  </si>
  <si>
    <t>MP  195</t>
  </si>
  <si>
    <t>MP  196</t>
  </si>
  <si>
    <t>MP   21</t>
  </si>
  <si>
    <t>MP   94</t>
  </si>
  <si>
    <t>MP   97</t>
  </si>
  <si>
    <t>MP   98</t>
  </si>
  <si>
    <t>MP   99</t>
  </si>
  <si>
    <t>MP  203</t>
  </si>
  <si>
    <t>MP  262</t>
  </si>
  <si>
    <t>MP  283</t>
  </si>
  <si>
    <t>MP  311</t>
  </si>
  <si>
    <t>MP  312</t>
  </si>
  <si>
    <t>MP  144</t>
  </si>
  <si>
    <t>MP  139</t>
  </si>
  <si>
    <t>MP  215</t>
  </si>
  <si>
    <t>MP  141</t>
  </si>
  <si>
    <t>MP  102</t>
  </si>
  <si>
    <t>MP  276</t>
  </si>
  <si>
    <t>MP  290</t>
  </si>
  <si>
    <t>MP  304</t>
  </si>
  <si>
    <t>MP  305</t>
  </si>
  <si>
    <t>MP  155</t>
  </si>
  <si>
    <t>MP  229</t>
  </si>
  <si>
    <t>MP  315</t>
  </si>
  <si>
    <t>MP  287</t>
  </si>
  <si>
    <t>MP  101</t>
  </si>
  <si>
    <t>MP  277</t>
  </si>
  <si>
    <t>MP   89</t>
  </si>
  <si>
    <t>MP  284</t>
  </si>
  <si>
    <t>MP  126</t>
  </si>
  <si>
    <t>MP  127</t>
  </si>
  <si>
    <t>MP  286</t>
  </si>
  <si>
    <t>MP  310</t>
  </si>
  <si>
    <t>MP  285</t>
  </si>
  <si>
    <t>BASE</t>
  </si>
  <si>
    <t>Flag</t>
  </si>
  <si>
    <t xml:space="preserve"> 66-H</t>
  </si>
  <si>
    <t xml:space="preserve"> 86-H</t>
  </si>
  <si>
    <t xml:space="preserve"> 99-H</t>
  </si>
  <si>
    <t>119-H</t>
  </si>
  <si>
    <t xml:space="preserve"> 44-H</t>
  </si>
  <si>
    <t xml:space="preserve"> 45-H</t>
  </si>
  <si>
    <t xml:space="preserve"> 46-H</t>
  </si>
  <si>
    <t>121-H</t>
  </si>
  <si>
    <t xml:space="preserve">  2-H</t>
  </si>
  <si>
    <t xml:space="preserve"> 10-H</t>
  </si>
  <si>
    <t xml:space="preserve"> 11-H</t>
  </si>
  <si>
    <t xml:space="preserve"> 26-H</t>
  </si>
  <si>
    <t xml:space="preserve"> 33-H</t>
  </si>
  <si>
    <t>141-H</t>
  </si>
  <si>
    <t>143-H</t>
  </si>
  <si>
    <t>162-H</t>
  </si>
  <si>
    <t xml:space="preserve">  6-H</t>
  </si>
  <si>
    <t xml:space="preserve">  7-H</t>
  </si>
  <si>
    <t xml:space="preserve"> 12-H</t>
  </si>
  <si>
    <t xml:space="preserve"> 20-H</t>
  </si>
  <si>
    <t xml:space="preserve"> 31-H</t>
  </si>
  <si>
    <t>123-H</t>
  </si>
  <si>
    <t>129-H</t>
  </si>
  <si>
    <t>251-H</t>
  </si>
  <si>
    <t>278-H</t>
  </si>
  <si>
    <t xml:space="preserve"> 86-T</t>
  </si>
  <si>
    <t>112-H</t>
  </si>
  <si>
    <t xml:space="preserve"> 72-H</t>
  </si>
  <si>
    <t xml:space="preserve"> 76-H</t>
  </si>
  <si>
    <t xml:space="preserve"> 77-H</t>
  </si>
  <si>
    <t xml:space="preserve"> 78-H</t>
  </si>
  <si>
    <t xml:space="preserve"> 91-H</t>
  </si>
  <si>
    <t xml:space="preserve"> 93-H</t>
  </si>
  <si>
    <t>253-H</t>
  </si>
  <si>
    <t>267-H</t>
  </si>
  <si>
    <t>281-H</t>
  </si>
  <si>
    <t xml:space="preserve"> 25-T</t>
  </si>
  <si>
    <t xml:space="preserve"> 26-T</t>
  </si>
  <si>
    <t xml:space="preserve"> 27-T</t>
  </si>
  <si>
    <t>169-H</t>
  </si>
  <si>
    <t>173-H</t>
  </si>
  <si>
    <t>174-H</t>
  </si>
  <si>
    <t>175-H</t>
  </si>
  <si>
    <t>178-H</t>
  </si>
  <si>
    <t xml:space="preserve"> 84-T</t>
  </si>
  <si>
    <t>275-H</t>
  </si>
  <si>
    <t>279-H</t>
  </si>
  <si>
    <t xml:space="preserve"> 94-T</t>
  </si>
  <si>
    <t>208-T</t>
  </si>
  <si>
    <t xml:space="preserve"> 32-H</t>
  </si>
  <si>
    <t xml:space="preserve"> 49-H</t>
  </si>
  <si>
    <t xml:space="preserve"> 61-H</t>
  </si>
  <si>
    <t xml:space="preserve"> 14-H</t>
  </si>
  <si>
    <t xml:space="preserve"> 18-H</t>
  </si>
  <si>
    <t xml:space="preserve"> 37-H</t>
  </si>
  <si>
    <t xml:space="preserve"> 40-H</t>
  </si>
  <si>
    <t>171-T</t>
  </si>
  <si>
    <t xml:space="preserve"> 58-T</t>
  </si>
  <si>
    <t xml:space="preserve"> 90-T</t>
  </si>
  <si>
    <t>110-T</t>
  </si>
  <si>
    <t>112-T</t>
  </si>
  <si>
    <t>164-T</t>
  </si>
  <si>
    <t>166-T</t>
  </si>
  <si>
    <t>211-T</t>
  </si>
  <si>
    <t>213-T</t>
  </si>
  <si>
    <t>215-T</t>
  </si>
  <si>
    <t>217-T</t>
  </si>
  <si>
    <t>261-H</t>
  </si>
  <si>
    <t>189-H</t>
  </si>
  <si>
    <t>152-T</t>
  </si>
  <si>
    <t>215-H</t>
  </si>
  <si>
    <t xml:space="preserve"> 21-H</t>
  </si>
  <si>
    <t>139-H</t>
  </si>
  <si>
    <t>144-H</t>
  </si>
  <si>
    <t>109-T</t>
  </si>
  <si>
    <t>111-T</t>
  </si>
  <si>
    <t>113-T</t>
  </si>
  <si>
    <t>117-T</t>
  </si>
  <si>
    <t>119-T</t>
  </si>
  <si>
    <t>121-T</t>
  </si>
  <si>
    <t>125-T</t>
  </si>
  <si>
    <t>127-T</t>
  </si>
  <si>
    <t>133-T</t>
  </si>
  <si>
    <t>135-T</t>
  </si>
  <si>
    <t>138-T</t>
  </si>
  <si>
    <t>287-H</t>
  </si>
  <si>
    <t xml:space="preserve"> 96-T</t>
  </si>
  <si>
    <t>141-T</t>
  </si>
  <si>
    <t>201-T</t>
  </si>
  <si>
    <t>206-T</t>
  </si>
  <si>
    <t>285-H</t>
  </si>
  <si>
    <t>284-H</t>
  </si>
  <si>
    <t>182-T</t>
  </si>
  <si>
    <t xml:space="preserve"> 89-H</t>
  </si>
  <si>
    <t xml:space="preserve"> 95-H</t>
  </si>
  <si>
    <t>Coluna-ini</t>
  </si>
  <si>
    <t>Estagios</t>
  </si>
  <si>
    <t>SOL</t>
  </si>
  <si>
    <t>ATLAN_CSA</t>
  </si>
  <si>
    <t>ANGRA 2</t>
  </si>
  <si>
    <t>ANGRA 1</t>
  </si>
  <si>
    <t>NORTEFLU 1</t>
  </si>
  <si>
    <t>NORTEFLU 2</t>
  </si>
  <si>
    <t>STAVITORIA</t>
  </si>
  <si>
    <t>BAIXADA FL</t>
  </si>
  <si>
    <t>NORTEFLU 3</t>
  </si>
  <si>
    <t>ATLANTICO</t>
  </si>
  <si>
    <t>EUZEBI_L13</t>
  </si>
  <si>
    <t>LCPRES_L1</t>
  </si>
  <si>
    <t>LCPRES_L13</t>
  </si>
  <si>
    <t>AUR.CHAVES</t>
  </si>
  <si>
    <t>GLBRIZ_L13</t>
  </si>
  <si>
    <t>BLSOBR_L13</t>
  </si>
  <si>
    <t>JUIZ DE FO</t>
  </si>
  <si>
    <t>GLBRIZ_L15</t>
  </si>
  <si>
    <t>GLBRIZ_L1</t>
  </si>
  <si>
    <t>NORTEFLU 4</t>
  </si>
  <si>
    <t>VIANA</t>
  </si>
  <si>
    <t>EROCHA_L1</t>
  </si>
  <si>
    <t>W.ARJONA</t>
  </si>
  <si>
    <t>BLSOBR_L1</t>
  </si>
  <si>
    <t>ST.CRUZ 34</t>
  </si>
  <si>
    <t>FGASPARIAN</t>
  </si>
  <si>
    <t>CAMPOS</t>
  </si>
  <si>
    <t>PIRAT.12 O</t>
  </si>
  <si>
    <t>CUIABA CC</t>
  </si>
  <si>
    <t>M.LAGO</t>
  </si>
  <si>
    <t>IGARAPE</t>
  </si>
  <si>
    <t>TNORTE 2</t>
  </si>
  <si>
    <t>PALMEIR_GO</t>
  </si>
  <si>
    <t>DAIA</t>
  </si>
  <si>
    <t>GOIANIA 2</t>
  </si>
  <si>
    <t>CARIOBA</t>
  </si>
  <si>
    <t>UTE BRASIL</t>
  </si>
  <si>
    <t>XAVANTES</t>
  </si>
  <si>
    <t>CANDIOTA_3</t>
  </si>
  <si>
    <t>P.MEDICI A</t>
  </si>
  <si>
    <t>P.MEDICI B</t>
  </si>
  <si>
    <t>J.LACER. C</t>
  </si>
  <si>
    <t>J.LACER. B</t>
  </si>
  <si>
    <t>J.LAC. A2</t>
  </si>
  <si>
    <t>CHARQUEADA</t>
  </si>
  <si>
    <t>S.JERONIMO</t>
  </si>
  <si>
    <t>MADEIRA</t>
  </si>
  <si>
    <t>J.LAC. A1</t>
  </si>
  <si>
    <t>FIGUEIRA</t>
  </si>
  <si>
    <t>URUGUAIANA</t>
  </si>
  <si>
    <t>S.TIARAJU</t>
  </si>
  <si>
    <t>ARAUCARIA</t>
  </si>
  <si>
    <t>NUTEPA</t>
  </si>
  <si>
    <t>TERMOPE</t>
  </si>
  <si>
    <t>ERB CANDEI</t>
  </si>
  <si>
    <t>P.PECEM1</t>
  </si>
  <si>
    <t>P.PECEM2</t>
  </si>
  <si>
    <t>FORTALEZA</t>
  </si>
  <si>
    <t>R.ALMEIDA</t>
  </si>
  <si>
    <t>PERNAMBU_3</t>
  </si>
  <si>
    <t>C.FURTADO</t>
  </si>
  <si>
    <t>MARACANAU</t>
  </si>
  <si>
    <t>SUAPE II</t>
  </si>
  <si>
    <t>CAMPINA_GR</t>
  </si>
  <si>
    <t>TERMONE</t>
  </si>
  <si>
    <t>TERMOPB</t>
  </si>
  <si>
    <t>GLOBAL I</t>
  </si>
  <si>
    <t>GLOBAL II</t>
  </si>
  <si>
    <t>TERMOCEARA</t>
  </si>
  <si>
    <t>JS_PEREIRA</t>
  </si>
  <si>
    <t>SYKUE I</t>
  </si>
  <si>
    <t>BAHIA_1</t>
  </si>
  <si>
    <t>MURICY</t>
  </si>
  <si>
    <t>AREMBEPE</t>
  </si>
  <si>
    <t>PETROLINA</t>
  </si>
  <si>
    <t>ALTOS</t>
  </si>
  <si>
    <t>ARACATI</t>
  </si>
  <si>
    <t>BATURITE</t>
  </si>
  <si>
    <t>C.MAIOR</t>
  </si>
  <si>
    <t>CAUCAIA</t>
  </si>
  <si>
    <t>CRATO</t>
  </si>
  <si>
    <t>PECEM</t>
  </si>
  <si>
    <t>IGUATU</t>
  </si>
  <si>
    <t>JUAZEIRO N</t>
  </si>
  <si>
    <t>MARAMBAIA</t>
  </si>
  <si>
    <t>NAZARIA</t>
  </si>
  <si>
    <t>POTIGUAR_3</t>
  </si>
  <si>
    <t>POTIGUAR</t>
  </si>
  <si>
    <t>CAMACARI</t>
  </si>
  <si>
    <t>TERMOMANAU</t>
  </si>
  <si>
    <t>PAU FERRO</t>
  </si>
  <si>
    <t>TAMBAQUI</t>
  </si>
  <si>
    <t>JARAQUI</t>
  </si>
  <si>
    <t>MANAUARA</t>
  </si>
  <si>
    <t>PONTA NEGR</t>
  </si>
  <si>
    <t>C. ROCHA</t>
  </si>
  <si>
    <t>SUZANO MA</t>
  </si>
  <si>
    <t>PARNAIB_IV</t>
  </si>
  <si>
    <t>MARANHAOIV</t>
  </si>
  <si>
    <t>MARANHAO V</t>
  </si>
  <si>
    <t>P. ITAQUI</t>
  </si>
  <si>
    <t>N.VENECIA2</t>
  </si>
  <si>
    <t>GERAMAR1</t>
  </si>
  <si>
    <t>GERAMAR2</t>
  </si>
  <si>
    <t>APARECIDA</t>
  </si>
  <si>
    <t>MAUA B3</t>
  </si>
  <si>
    <t>MAUA B4</t>
  </si>
  <si>
    <t>SANTANA I</t>
  </si>
  <si>
    <t>MAUA B1</t>
  </si>
  <si>
    <t>FLORES</t>
  </si>
  <si>
    <t>IRANDUBA</t>
  </si>
  <si>
    <t>ELECTRON</t>
  </si>
  <si>
    <t>SAO JOSE</t>
  </si>
  <si>
    <t>SANTANA II</t>
  </si>
  <si>
    <t>APARECD OC</t>
  </si>
  <si>
    <t>SS</t>
  </si>
  <si>
    <t>NOME</t>
  </si>
  <si>
    <t>13ELENUCLEAR</t>
  </si>
  <si>
    <t>10COCAL</t>
  </si>
  <si>
    <t>92CSA</t>
  </si>
  <si>
    <t>68PETROBRAS</t>
  </si>
  <si>
    <t>60NORTEFLU</t>
  </si>
  <si>
    <t>22PALMEIRAS</t>
  </si>
  <si>
    <t>37ELETRONORTE</t>
  </si>
  <si>
    <t>24TRACTEBEL</t>
  </si>
  <si>
    <t>59CGTEE</t>
  </si>
  <si>
    <t>23COPEL</t>
  </si>
  <si>
    <t>21ENGUIA PI</t>
  </si>
  <si>
    <t>21ENGUIA CE</t>
  </si>
  <si>
    <t>42CGTF</t>
  </si>
  <si>
    <t>17CANDEIAS</t>
  </si>
  <si>
    <t>11TERMOCABO</t>
  </si>
  <si>
    <t>96TERMOPE</t>
  </si>
  <si>
    <t>23AMAZONAS</t>
  </si>
  <si>
    <t>19ENEVA</t>
  </si>
  <si>
    <t>18062016</t>
  </si>
  <si>
    <t>01112016</t>
  </si>
  <si>
    <t>13122016</t>
  </si>
  <si>
    <t>12042016</t>
  </si>
  <si>
    <t>03102016</t>
  </si>
  <si>
    <t>01042016</t>
  </si>
  <si>
    <t>01102016</t>
  </si>
  <si>
    <t>01062016</t>
  </si>
  <si>
    <t>01092016</t>
  </si>
  <si>
    <t>01052016</t>
  </si>
  <si>
    <t>02102016</t>
  </si>
  <si>
    <t>04062016</t>
  </si>
  <si>
    <t>08092016</t>
  </si>
  <si>
    <t>10122016</t>
  </si>
  <si>
    <t>25062016</t>
  </si>
  <si>
    <t>10092016</t>
  </si>
  <si>
    <t>17122016</t>
  </si>
  <si>
    <t>19072016</t>
  </si>
  <si>
    <t>12112016</t>
  </si>
  <si>
    <t>19092016</t>
  </si>
  <si>
    <t>02052016</t>
  </si>
  <si>
    <t>26062016</t>
  </si>
  <si>
    <t>15112016</t>
  </si>
  <si>
    <t>01072016</t>
  </si>
  <si>
    <t>03042016</t>
  </si>
  <si>
    <t>15092016</t>
  </si>
  <si>
    <t>05062016</t>
  </si>
  <si>
    <t>10102016</t>
  </si>
  <si>
    <t>14082016</t>
  </si>
  <si>
    <t>01082016</t>
  </si>
  <si>
    <t>02072016</t>
  </si>
  <si>
    <t>17062016</t>
  </si>
  <si>
    <t>03112016</t>
  </si>
  <si>
    <t>04082016</t>
  </si>
  <si>
    <t>17092016</t>
  </si>
  <si>
    <t>04042016</t>
  </si>
  <si>
    <t>01122016</t>
  </si>
  <si>
    <t>21042016</t>
  </si>
  <si>
    <t>29042016</t>
  </si>
  <si>
    <t>02042016</t>
  </si>
  <si>
    <t>11042016</t>
  </si>
  <si>
    <t>Ini</t>
  </si>
  <si>
    <t>fim</t>
  </si>
  <si>
    <t xml:space="preserve">  1ANGRA 1      </t>
  </si>
  <si>
    <t xml:space="preserve"> 13ANGRA 2      </t>
  </si>
  <si>
    <t xml:space="preserve">104COCAL        </t>
  </si>
  <si>
    <t xml:space="preserve"> 65DO ATLAN_CSA </t>
  </si>
  <si>
    <t xml:space="preserve">213EBOLT_L1     </t>
  </si>
  <si>
    <t xml:space="preserve">110F.GASPARIAN  </t>
  </si>
  <si>
    <t xml:space="preserve">174NORTEFLU-4   </t>
  </si>
  <si>
    <t xml:space="preserve">182PALMEIRAS GO </t>
  </si>
  <si>
    <t xml:space="preserve">217T LAGOAS_L1  </t>
  </si>
  <si>
    <t xml:space="preserve">194T.NORTE 2    </t>
  </si>
  <si>
    <t xml:space="preserve">215TERMORIO_L1  </t>
  </si>
  <si>
    <t xml:space="preserve"> 34W.ARJONA     </t>
  </si>
  <si>
    <t xml:space="preserve">156CANDIOTA 3   </t>
  </si>
  <si>
    <t xml:space="preserve"> 64CANOAS       </t>
  </si>
  <si>
    <t xml:space="preserve"> 29CHARQUEADAS  </t>
  </si>
  <si>
    <t xml:space="preserve"> 28FIGUEIRA     </t>
  </si>
  <si>
    <t xml:space="preserve"> 26J.LACERDA A1 </t>
  </si>
  <si>
    <t xml:space="preserve"> 27J.LACERDA A2 </t>
  </si>
  <si>
    <t xml:space="preserve"> 25J.LACERDA B  </t>
  </si>
  <si>
    <t xml:space="preserve"> 24J.LACERDA C  </t>
  </si>
  <si>
    <t xml:space="preserve">109ALTOS        </t>
  </si>
  <si>
    <t xml:space="preserve">111ARACATI      </t>
  </si>
  <si>
    <t xml:space="preserve">113BATURITE     </t>
  </si>
  <si>
    <t xml:space="preserve">117CAMPO MAIOR  </t>
  </si>
  <si>
    <t xml:space="preserve">119CAUCAIA      </t>
  </si>
  <si>
    <t xml:space="preserve">121CRATO        </t>
  </si>
  <si>
    <t xml:space="preserve">125ENGUIA PECEM </t>
  </si>
  <si>
    <t xml:space="preserve"> 74FAFEN        </t>
  </si>
  <si>
    <t xml:space="preserve"> 42FORTALEZA    </t>
  </si>
  <si>
    <t xml:space="preserve"> 53GLOBAL I     </t>
  </si>
  <si>
    <t xml:space="preserve"> 55GLOBAL II    </t>
  </si>
  <si>
    <t xml:space="preserve">127IGUATU       </t>
  </si>
  <si>
    <t xml:space="preserve">133JUAZEIRO N   </t>
  </si>
  <si>
    <t xml:space="preserve">135MARAMBAIA    </t>
  </si>
  <si>
    <t xml:space="preserve">164MURICY       </t>
  </si>
  <si>
    <t xml:space="preserve">138NAZARIA      </t>
  </si>
  <si>
    <t xml:space="preserve"> 43TERMOBAHIA   </t>
  </si>
  <si>
    <t xml:space="preserve">152TERMOCABO    </t>
  </si>
  <si>
    <t xml:space="preserve"> 58TERMOCEARA   </t>
  </si>
  <si>
    <t xml:space="preserve"> 96TERMOPE      </t>
  </si>
  <si>
    <t xml:space="preserve"> 83VALE DO ACU  </t>
  </si>
  <si>
    <t xml:space="preserve">201APARECIDA    </t>
  </si>
  <si>
    <t xml:space="preserve">206MAUA B3      </t>
  </si>
  <si>
    <t xml:space="preserve">116PARNAIBA IV  </t>
  </si>
  <si>
    <t xml:space="preserve"> 94SANTANA LM   </t>
  </si>
  <si>
    <t xml:space="preserve">208SANTANA W    </t>
  </si>
  <si>
    <t>RV1</t>
  </si>
  <si>
    <t>RV0</t>
  </si>
  <si>
    <t>RV2</t>
  </si>
  <si>
    <t>RV3</t>
  </si>
  <si>
    <t>RV4</t>
  </si>
  <si>
    <t>JUL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</si>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</sst>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$&quot;\ #,##0.00;[Red]\-&quot;R$&quot;\ 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14" fontId="0" fillId="0" borderId="0" xfId="0" applyNumberFormat="1"/>
    <xf numFmtId="0" fontId="1" fillId="0" borderId="1" xfId="0" applyFont="1" applyBorder="1"/>
    <xf numFmtId="14" fontId="1" fillId="0" borderId="1" xfId="0" applyNumberFormat="1" applyFont="1" applyBorder="1"/>
    <xf numFmtId="0" fontId="1" fillId="0" borderId="0" xfId="0" applyFont="1"/>
    <xf numFmtId="164" fontId="0" fillId="0" borderId="0" xfId="0" applyNumberFormat="1"/>
    <xf numFmtId="164" fontId="1" fillId="0" borderId="1" xfId="0" applyNumberFormat="1" applyFont="1" applyBorder="1"/>
    <xf numFmtId="16" fontId="0" fillId="0" borderId="0" xfId="0" applyNumberFormat="1"/>
    <xf numFmtId="0" fontId="0" fillId="2" borderId="0" xfId="0" applyFill="1"/>
    <xf numFmtId="16" fontId="0" fillId="2" borderId="0" xfId="0" applyNumberFormat="1" applyFill="1"/>
    <xf numFmtId="4" fontId="0" fillId="0" borderId="0" xfId="0" applyNumberFormat="1"/>
    <xf numFmtId="165" fontId="0" fillId="0" borderId="0" xfId="0" applyNumberFormat="1" applyAlignment="1">
      <alignment horizontal="center"/>
    </xf>
    <xf numFmtId="0" fontId="0" fillId="2" borderId="1" xfId="0" applyFill="1" applyBorder="1"/>
    <xf numFmtId="4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1" xfId="0" applyBorder="1"/>
    <xf numFmtId="3" fontId="0" fillId="0" borderId="1" xfId="0" applyNumberFormat="1" applyFill="1" applyBorder="1"/>
    <xf numFmtId="3" fontId="0" fillId="0" borderId="1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1"/>
  <sheetViews>
    <sheetView workbookViewId="0">
      <selection activeCell="B2" sqref="B2"/>
    </sheetView>
  </sheetViews>
  <sheetFormatPr defaultRowHeight="15" x14ac:dyDescent="0.25"/>
  <sheetData>
    <row r="1" spans="1:3" x14ac:dyDescent="0.25">
      <c r="B1" t="s">
        <v>71</v>
      </c>
      <c r="C1" t="s">
        <v>70</v>
      </c>
    </row>
    <row r="2" spans="1:3" x14ac:dyDescent="0.25">
      <c r="A2">
        <v>1</v>
      </c>
      <c r="B2">
        <v>46</v>
      </c>
    </row>
    <row r="3" spans="1:3" x14ac:dyDescent="0.25">
      <c r="A3">
        <v>2</v>
      </c>
      <c r="B3">
        <v>52</v>
      </c>
    </row>
    <row r="4" spans="1:3" x14ac:dyDescent="0.25">
      <c r="A4">
        <v>3</v>
      </c>
      <c r="B4">
        <v>0</v>
      </c>
    </row>
    <row r="5" spans="1:3" x14ac:dyDescent="0.25">
      <c r="A5">
        <v>4</v>
      </c>
      <c r="B5">
        <v>180</v>
      </c>
    </row>
    <row r="6" spans="1:3" x14ac:dyDescent="0.25">
      <c r="A6">
        <v>5</v>
      </c>
      <c r="B6">
        <v>0</v>
      </c>
    </row>
    <row r="7" spans="1:3" x14ac:dyDescent="0.25">
      <c r="A7">
        <v>6</v>
      </c>
      <c r="B7">
        <v>1312</v>
      </c>
    </row>
    <row r="8" spans="1:3" x14ac:dyDescent="0.25">
      <c r="A8">
        <v>7</v>
      </c>
      <c r="B8">
        <v>478</v>
      </c>
    </row>
    <row r="9" spans="1:3" x14ac:dyDescent="0.25">
      <c r="A9">
        <v>8</v>
      </c>
      <c r="B9">
        <v>1104</v>
      </c>
    </row>
    <row r="10" spans="1:3" x14ac:dyDescent="0.25">
      <c r="A10">
        <v>9</v>
      </c>
      <c r="B10">
        <v>424</v>
      </c>
    </row>
    <row r="11" spans="1:3" x14ac:dyDescent="0.25">
      <c r="A11">
        <v>10</v>
      </c>
      <c r="B11">
        <v>210</v>
      </c>
    </row>
    <row r="12" spans="1:3" x14ac:dyDescent="0.25">
      <c r="A12">
        <v>11</v>
      </c>
      <c r="B12">
        <v>380</v>
      </c>
    </row>
    <row r="13" spans="1:3" x14ac:dyDescent="0.25">
      <c r="A13">
        <v>12</v>
      </c>
      <c r="B13">
        <v>328</v>
      </c>
    </row>
    <row r="14" spans="1:3" x14ac:dyDescent="0.25">
      <c r="A14">
        <v>13</v>
      </c>
      <c r="B14">
        <v>0</v>
      </c>
    </row>
    <row r="15" spans="1:3" x14ac:dyDescent="0.25">
      <c r="A15">
        <v>14</v>
      </c>
      <c r="B15">
        <v>80.400000000000006</v>
      </c>
    </row>
    <row r="16" spans="1:3" x14ac:dyDescent="0.25">
      <c r="A16">
        <v>15</v>
      </c>
      <c r="B16">
        <v>108.8</v>
      </c>
    </row>
    <row r="17" spans="1:2" x14ac:dyDescent="0.25">
      <c r="A17">
        <v>16</v>
      </c>
      <c r="B17">
        <v>32</v>
      </c>
    </row>
    <row r="18" spans="1:2" x14ac:dyDescent="0.25">
      <c r="A18">
        <v>17</v>
      </c>
      <c r="B18">
        <v>1488</v>
      </c>
    </row>
    <row r="19" spans="1:2" x14ac:dyDescent="0.25">
      <c r="A19">
        <v>18</v>
      </c>
      <c r="B19">
        <v>1396.1999999999998</v>
      </c>
    </row>
    <row r="20" spans="1:2" x14ac:dyDescent="0.25">
      <c r="A20">
        <v>19</v>
      </c>
      <c r="B20">
        <v>0</v>
      </c>
    </row>
    <row r="21" spans="1:2" x14ac:dyDescent="0.25">
      <c r="A21">
        <v>20</v>
      </c>
      <c r="B21">
        <v>52.6</v>
      </c>
    </row>
    <row r="22" spans="1:2" x14ac:dyDescent="0.25">
      <c r="A22">
        <v>21</v>
      </c>
      <c r="B22">
        <v>212.6</v>
      </c>
    </row>
    <row r="23" spans="1:2" x14ac:dyDescent="0.25">
      <c r="A23">
        <v>22</v>
      </c>
      <c r="B23">
        <v>150</v>
      </c>
    </row>
    <row r="24" spans="1:2" x14ac:dyDescent="0.25">
      <c r="A24">
        <v>23</v>
      </c>
      <c r="B24">
        <v>0</v>
      </c>
    </row>
    <row r="25" spans="1:2" x14ac:dyDescent="0.25">
      <c r="A25">
        <v>24</v>
      </c>
      <c r="B25">
        <v>1192</v>
      </c>
    </row>
    <row r="26" spans="1:2" x14ac:dyDescent="0.25">
      <c r="A26">
        <v>25</v>
      </c>
      <c r="B26">
        <v>510</v>
      </c>
    </row>
    <row r="27" spans="1:2" x14ac:dyDescent="0.25">
      <c r="A27">
        <v>26</v>
      </c>
      <c r="B27">
        <v>408</v>
      </c>
    </row>
    <row r="28" spans="1:2" x14ac:dyDescent="0.25">
      <c r="A28">
        <v>27</v>
      </c>
      <c r="B28">
        <v>240</v>
      </c>
    </row>
    <row r="29" spans="1:2" x14ac:dyDescent="0.25">
      <c r="A29">
        <v>28</v>
      </c>
      <c r="B29">
        <v>210</v>
      </c>
    </row>
    <row r="30" spans="1:2" x14ac:dyDescent="0.25">
      <c r="A30">
        <v>29</v>
      </c>
      <c r="B30">
        <v>127</v>
      </c>
    </row>
    <row r="31" spans="1:2" x14ac:dyDescent="0.25">
      <c r="A31">
        <v>30</v>
      </c>
      <c r="B31">
        <v>375</v>
      </c>
    </row>
    <row r="32" spans="1:2" x14ac:dyDescent="0.25">
      <c r="A32">
        <v>31</v>
      </c>
      <c r="B32">
        <v>2082</v>
      </c>
    </row>
    <row r="33" spans="1:2" x14ac:dyDescent="0.25">
      <c r="A33">
        <v>32</v>
      </c>
      <c r="B33">
        <v>658</v>
      </c>
    </row>
    <row r="34" spans="1:2" x14ac:dyDescent="0.25">
      <c r="A34">
        <v>33</v>
      </c>
      <c r="B34">
        <v>1710</v>
      </c>
    </row>
    <row r="35" spans="1:2" x14ac:dyDescent="0.25">
      <c r="A35">
        <v>34</v>
      </c>
      <c r="B35">
        <v>3444</v>
      </c>
    </row>
    <row r="36" spans="1:2" x14ac:dyDescent="0.25">
      <c r="A36">
        <v>35</v>
      </c>
      <c r="B36">
        <v>0</v>
      </c>
    </row>
    <row r="37" spans="1:2" x14ac:dyDescent="0.25">
      <c r="A37">
        <v>36</v>
      </c>
      <c r="B37">
        <v>0</v>
      </c>
    </row>
    <row r="38" spans="1:2" x14ac:dyDescent="0.25">
      <c r="A38">
        <v>37</v>
      </c>
      <c r="B38">
        <v>140</v>
      </c>
    </row>
    <row r="39" spans="1:2" x14ac:dyDescent="0.25">
      <c r="A39">
        <v>38</v>
      </c>
      <c r="B39">
        <v>144</v>
      </c>
    </row>
    <row r="40" spans="1:2" x14ac:dyDescent="0.25">
      <c r="A40">
        <v>39</v>
      </c>
      <c r="B40">
        <v>131.39999999999998</v>
      </c>
    </row>
    <row r="41" spans="1:2" x14ac:dyDescent="0.25">
      <c r="A41">
        <v>40</v>
      </c>
      <c r="B41">
        <v>264</v>
      </c>
    </row>
    <row r="42" spans="1:2" x14ac:dyDescent="0.25">
      <c r="A42">
        <v>41</v>
      </c>
      <c r="B42">
        <v>0</v>
      </c>
    </row>
    <row r="43" spans="1:2" x14ac:dyDescent="0.25">
      <c r="A43">
        <v>42</v>
      </c>
      <c r="B43">
        <v>347.4</v>
      </c>
    </row>
    <row r="44" spans="1:2" x14ac:dyDescent="0.25">
      <c r="A44">
        <v>43</v>
      </c>
      <c r="B44">
        <v>807.5</v>
      </c>
    </row>
    <row r="45" spans="1:2" x14ac:dyDescent="0.25">
      <c r="A45">
        <v>44</v>
      </c>
      <c r="B45">
        <v>4251.5</v>
      </c>
    </row>
    <row r="46" spans="1:2" x14ac:dyDescent="0.25">
      <c r="A46">
        <v>45</v>
      </c>
      <c r="B46">
        <v>1551.2</v>
      </c>
    </row>
    <row r="47" spans="1:2" x14ac:dyDescent="0.25">
      <c r="A47">
        <v>46</v>
      </c>
      <c r="B47">
        <v>1540</v>
      </c>
    </row>
    <row r="48" spans="1:2" x14ac:dyDescent="0.25">
      <c r="A48">
        <v>47</v>
      </c>
      <c r="B48">
        <v>101</v>
      </c>
    </row>
    <row r="49" spans="1:2" x14ac:dyDescent="0.25">
      <c r="A49">
        <v>48</v>
      </c>
      <c r="B49">
        <v>80</v>
      </c>
    </row>
    <row r="50" spans="1:2" x14ac:dyDescent="0.25">
      <c r="A50">
        <v>49</v>
      </c>
      <c r="B50">
        <v>414</v>
      </c>
    </row>
    <row r="51" spans="1:2" x14ac:dyDescent="0.25">
      <c r="A51">
        <v>50</v>
      </c>
      <c r="B51">
        <v>74</v>
      </c>
    </row>
    <row r="52" spans="1:2" x14ac:dyDescent="0.25">
      <c r="A52">
        <v>51</v>
      </c>
      <c r="B52">
        <v>72</v>
      </c>
    </row>
    <row r="53" spans="1:2" x14ac:dyDescent="0.25">
      <c r="A53">
        <v>52</v>
      </c>
      <c r="B53">
        <v>82.5</v>
      </c>
    </row>
    <row r="54" spans="1:2" x14ac:dyDescent="0.25">
      <c r="A54">
        <v>53</v>
      </c>
      <c r="B54">
        <v>0</v>
      </c>
    </row>
    <row r="55" spans="1:2" x14ac:dyDescent="0.25">
      <c r="A55">
        <v>54</v>
      </c>
      <c r="B55">
        <v>0</v>
      </c>
    </row>
    <row r="56" spans="1:2" x14ac:dyDescent="0.25">
      <c r="A56">
        <v>55</v>
      </c>
      <c r="B56">
        <v>0</v>
      </c>
    </row>
    <row r="57" spans="1:2" x14ac:dyDescent="0.25">
      <c r="A57">
        <v>56</v>
      </c>
      <c r="B57">
        <v>0</v>
      </c>
    </row>
    <row r="58" spans="1:2" x14ac:dyDescent="0.25">
      <c r="A58">
        <v>57</v>
      </c>
      <c r="B58">
        <v>352.20000000000005</v>
      </c>
    </row>
    <row r="59" spans="1:2" x14ac:dyDescent="0.25">
      <c r="A59">
        <v>58</v>
      </c>
      <c r="B59">
        <v>330</v>
      </c>
    </row>
    <row r="60" spans="1:2" x14ac:dyDescent="0.25">
      <c r="A60">
        <v>59</v>
      </c>
      <c r="B60">
        <v>0</v>
      </c>
    </row>
    <row r="61" spans="1:2" x14ac:dyDescent="0.25">
      <c r="A61">
        <v>60</v>
      </c>
      <c r="B61">
        <v>0</v>
      </c>
    </row>
    <row r="62" spans="1:2" x14ac:dyDescent="0.25">
      <c r="A62">
        <v>61</v>
      </c>
      <c r="B62">
        <v>619</v>
      </c>
    </row>
    <row r="63" spans="1:2" x14ac:dyDescent="0.25">
      <c r="A63">
        <v>62</v>
      </c>
      <c r="B63">
        <v>525</v>
      </c>
    </row>
    <row r="64" spans="1:2" x14ac:dyDescent="0.25">
      <c r="A64">
        <v>63</v>
      </c>
      <c r="B64">
        <v>354</v>
      </c>
    </row>
    <row r="65" spans="1:2" x14ac:dyDescent="0.25">
      <c r="A65">
        <v>64</v>
      </c>
      <c r="B65">
        <v>0</v>
      </c>
    </row>
    <row r="66" spans="1:2" x14ac:dyDescent="0.25">
      <c r="A66">
        <v>65</v>
      </c>
      <c r="B66">
        <v>0</v>
      </c>
    </row>
    <row r="67" spans="1:2" x14ac:dyDescent="0.25">
      <c r="A67">
        <v>66</v>
      </c>
      <c r="B67">
        <v>14000</v>
      </c>
    </row>
    <row r="68" spans="1:2" x14ac:dyDescent="0.25">
      <c r="A68">
        <v>67</v>
      </c>
      <c r="B68">
        <v>0</v>
      </c>
    </row>
    <row r="69" spans="1:2" x14ac:dyDescent="0.25">
      <c r="A69">
        <v>68</v>
      </c>
      <c r="B69">
        <v>0</v>
      </c>
    </row>
    <row r="70" spans="1:2" x14ac:dyDescent="0.25">
      <c r="A70">
        <v>69</v>
      </c>
      <c r="B70">
        <v>0</v>
      </c>
    </row>
    <row r="71" spans="1:2" x14ac:dyDescent="0.25">
      <c r="A71">
        <v>70</v>
      </c>
      <c r="B71">
        <v>0</v>
      </c>
    </row>
    <row r="72" spans="1:2" x14ac:dyDescent="0.25">
      <c r="A72">
        <v>71</v>
      </c>
      <c r="B72">
        <v>120.2</v>
      </c>
    </row>
    <row r="73" spans="1:2" x14ac:dyDescent="0.25">
      <c r="A73">
        <v>72</v>
      </c>
      <c r="B73">
        <v>120.2</v>
      </c>
    </row>
    <row r="74" spans="1:2" x14ac:dyDescent="0.25">
      <c r="A74">
        <v>73</v>
      </c>
      <c r="B74">
        <v>0</v>
      </c>
    </row>
    <row r="75" spans="1:2" x14ac:dyDescent="0.25">
      <c r="A75">
        <v>74</v>
      </c>
      <c r="B75">
        <v>1676</v>
      </c>
    </row>
    <row r="76" spans="1:2" x14ac:dyDescent="0.25">
      <c r="A76">
        <v>75</v>
      </c>
      <c r="B76">
        <v>53.400000000000006</v>
      </c>
    </row>
    <row r="77" spans="1:2" x14ac:dyDescent="0.25">
      <c r="A77">
        <v>76</v>
      </c>
      <c r="B77">
        <v>1260</v>
      </c>
    </row>
    <row r="78" spans="1:2" x14ac:dyDescent="0.25">
      <c r="A78">
        <v>77</v>
      </c>
      <c r="B78">
        <v>1420</v>
      </c>
    </row>
    <row r="79" spans="1:2" x14ac:dyDescent="0.25">
      <c r="A79">
        <v>78</v>
      </c>
      <c r="B79">
        <v>1078</v>
      </c>
    </row>
    <row r="80" spans="1:2" x14ac:dyDescent="0.25">
      <c r="A80">
        <v>79</v>
      </c>
      <c r="B80">
        <v>0</v>
      </c>
    </row>
    <row r="81" spans="1:2" x14ac:dyDescent="0.25">
      <c r="A81">
        <v>80</v>
      </c>
      <c r="B81">
        <v>60</v>
      </c>
    </row>
    <row r="82" spans="1:2" x14ac:dyDescent="0.25">
      <c r="A82">
        <v>81</v>
      </c>
      <c r="B82">
        <v>45</v>
      </c>
    </row>
    <row r="83" spans="1:2" x14ac:dyDescent="0.25">
      <c r="A83">
        <v>82</v>
      </c>
      <c r="B83">
        <v>1240</v>
      </c>
    </row>
    <row r="84" spans="1:2" x14ac:dyDescent="0.25">
      <c r="A84">
        <v>83</v>
      </c>
      <c r="B84">
        <v>350.1</v>
      </c>
    </row>
    <row r="85" spans="1:2" x14ac:dyDescent="0.25">
      <c r="A85">
        <v>84</v>
      </c>
      <c r="B85">
        <v>0</v>
      </c>
    </row>
    <row r="86" spans="1:2" x14ac:dyDescent="0.25">
      <c r="A86">
        <v>85</v>
      </c>
      <c r="B86">
        <v>291.89999999999998</v>
      </c>
    </row>
    <row r="87" spans="1:2" x14ac:dyDescent="0.25">
      <c r="A87">
        <v>86</v>
      </c>
      <c r="B87">
        <v>690</v>
      </c>
    </row>
    <row r="88" spans="1:2" x14ac:dyDescent="0.25">
      <c r="A88">
        <v>87</v>
      </c>
      <c r="B88">
        <v>0</v>
      </c>
    </row>
    <row r="89" spans="1:2" x14ac:dyDescent="0.25">
      <c r="A89">
        <v>88</v>
      </c>
      <c r="B89">
        <v>141.89999999999998</v>
      </c>
    </row>
    <row r="90" spans="1:2" x14ac:dyDescent="0.25">
      <c r="A90">
        <v>89</v>
      </c>
      <c r="B90">
        <v>189</v>
      </c>
    </row>
    <row r="91" spans="1:2" x14ac:dyDescent="0.25">
      <c r="A91">
        <v>90</v>
      </c>
      <c r="B91">
        <v>879.90000000000009</v>
      </c>
    </row>
    <row r="92" spans="1:2" x14ac:dyDescent="0.25">
      <c r="A92">
        <v>91</v>
      </c>
      <c r="B92">
        <v>1140</v>
      </c>
    </row>
    <row r="93" spans="1:2" x14ac:dyDescent="0.25">
      <c r="A93">
        <v>92</v>
      </c>
      <c r="B93">
        <v>1450</v>
      </c>
    </row>
    <row r="94" spans="1:2" x14ac:dyDescent="0.25">
      <c r="A94">
        <v>93</v>
      </c>
      <c r="B94">
        <v>226</v>
      </c>
    </row>
    <row r="95" spans="1:2" x14ac:dyDescent="0.25">
      <c r="A95">
        <v>94</v>
      </c>
      <c r="B95">
        <v>74</v>
      </c>
    </row>
    <row r="96" spans="1:2" x14ac:dyDescent="0.25">
      <c r="A96">
        <v>95</v>
      </c>
      <c r="B96">
        <v>120</v>
      </c>
    </row>
    <row r="97" spans="1:2" x14ac:dyDescent="0.25">
      <c r="A97">
        <v>96</v>
      </c>
      <c r="B97">
        <v>0</v>
      </c>
    </row>
    <row r="98" spans="1:2" x14ac:dyDescent="0.25">
      <c r="A98">
        <v>97</v>
      </c>
      <c r="B98">
        <v>129.89999999999998</v>
      </c>
    </row>
    <row r="99" spans="1:2" x14ac:dyDescent="0.25">
      <c r="A99">
        <v>98</v>
      </c>
      <c r="B99">
        <v>130</v>
      </c>
    </row>
    <row r="100" spans="1:2" x14ac:dyDescent="0.25">
      <c r="A100">
        <v>99</v>
      </c>
      <c r="B100">
        <v>100</v>
      </c>
    </row>
    <row r="101" spans="1:2" x14ac:dyDescent="0.25">
      <c r="A101">
        <v>100</v>
      </c>
      <c r="B101">
        <v>0</v>
      </c>
    </row>
    <row r="102" spans="1:2" x14ac:dyDescent="0.25">
      <c r="A102">
        <v>101</v>
      </c>
      <c r="B102">
        <v>51</v>
      </c>
    </row>
    <row r="103" spans="1:2" x14ac:dyDescent="0.25">
      <c r="A103">
        <v>102</v>
      </c>
      <c r="B103">
        <v>77</v>
      </c>
    </row>
    <row r="104" spans="1:2" x14ac:dyDescent="0.25">
      <c r="A104">
        <v>103</v>
      </c>
      <c r="B104">
        <v>855.2</v>
      </c>
    </row>
    <row r="105" spans="1:2" x14ac:dyDescent="0.25">
      <c r="A105">
        <v>104</v>
      </c>
      <c r="B105">
        <v>0</v>
      </c>
    </row>
    <row r="106" spans="1:2" x14ac:dyDescent="0.25">
      <c r="A106">
        <v>105</v>
      </c>
      <c r="B106">
        <v>0</v>
      </c>
    </row>
    <row r="107" spans="1:2" x14ac:dyDescent="0.25">
      <c r="A107">
        <v>106</v>
      </c>
      <c r="B107">
        <v>0</v>
      </c>
    </row>
    <row r="108" spans="1:2" x14ac:dyDescent="0.25">
      <c r="A108">
        <v>107</v>
      </c>
      <c r="B108">
        <v>0</v>
      </c>
    </row>
    <row r="109" spans="1:2" x14ac:dyDescent="0.25">
      <c r="A109">
        <v>108</v>
      </c>
      <c r="B109">
        <v>0</v>
      </c>
    </row>
    <row r="110" spans="1:2" x14ac:dyDescent="0.25">
      <c r="A110">
        <v>109</v>
      </c>
      <c r="B110">
        <v>0</v>
      </c>
    </row>
    <row r="111" spans="1:2" x14ac:dyDescent="0.25">
      <c r="A111">
        <v>110</v>
      </c>
      <c r="B111">
        <v>0</v>
      </c>
    </row>
    <row r="112" spans="1:2" x14ac:dyDescent="0.25">
      <c r="A112">
        <v>111</v>
      </c>
      <c r="B112">
        <v>158</v>
      </c>
    </row>
    <row r="113" spans="1:2" x14ac:dyDescent="0.25">
      <c r="A113">
        <v>112</v>
      </c>
      <c r="B113">
        <v>180</v>
      </c>
    </row>
    <row r="114" spans="1:2" x14ac:dyDescent="0.25">
      <c r="A114">
        <v>113</v>
      </c>
      <c r="B114">
        <v>500</v>
      </c>
    </row>
    <row r="115" spans="1:2" x14ac:dyDescent="0.25">
      <c r="A115">
        <v>114</v>
      </c>
      <c r="B115">
        <v>125</v>
      </c>
    </row>
    <row r="116" spans="1:2" x14ac:dyDescent="0.25">
      <c r="A116">
        <v>115</v>
      </c>
      <c r="B116">
        <v>260</v>
      </c>
    </row>
    <row r="117" spans="1:2" x14ac:dyDescent="0.25">
      <c r="A117">
        <v>116</v>
      </c>
      <c r="B117">
        <v>0</v>
      </c>
    </row>
    <row r="118" spans="1:2" x14ac:dyDescent="0.25">
      <c r="A118">
        <v>117</v>
      </c>
      <c r="B118">
        <v>0</v>
      </c>
    </row>
    <row r="119" spans="1:2" x14ac:dyDescent="0.25">
      <c r="A119">
        <v>118</v>
      </c>
      <c r="B119">
        <v>0</v>
      </c>
    </row>
    <row r="120" spans="1:2" x14ac:dyDescent="0.25">
      <c r="A120">
        <v>119</v>
      </c>
      <c r="B120">
        <v>889</v>
      </c>
    </row>
    <row r="121" spans="1:2" x14ac:dyDescent="0.25">
      <c r="A121">
        <v>120</v>
      </c>
      <c r="B121">
        <v>27.6</v>
      </c>
    </row>
    <row r="122" spans="1:2" x14ac:dyDescent="0.25">
      <c r="A122">
        <v>121</v>
      </c>
      <c r="B122">
        <v>87</v>
      </c>
    </row>
    <row r="123" spans="1:2" x14ac:dyDescent="0.25">
      <c r="A123">
        <v>122</v>
      </c>
      <c r="B123">
        <v>56</v>
      </c>
    </row>
    <row r="124" spans="1:2" x14ac:dyDescent="0.25">
      <c r="A124">
        <v>123</v>
      </c>
      <c r="B124">
        <v>222</v>
      </c>
    </row>
    <row r="125" spans="1:2" x14ac:dyDescent="0.25">
      <c r="A125">
        <v>124</v>
      </c>
      <c r="B125">
        <v>0</v>
      </c>
    </row>
    <row r="126" spans="1:2" x14ac:dyDescent="0.25">
      <c r="A126">
        <v>125</v>
      </c>
      <c r="B126">
        <v>0</v>
      </c>
    </row>
    <row r="127" spans="1:2" x14ac:dyDescent="0.25">
      <c r="A127">
        <v>126</v>
      </c>
      <c r="B127">
        <v>50</v>
      </c>
    </row>
    <row r="128" spans="1:2" x14ac:dyDescent="0.25">
      <c r="A128">
        <v>127</v>
      </c>
      <c r="B128">
        <v>60</v>
      </c>
    </row>
    <row r="129" spans="1:2" x14ac:dyDescent="0.25">
      <c r="A129">
        <v>128</v>
      </c>
      <c r="B129">
        <v>0</v>
      </c>
    </row>
    <row r="130" spans="1:2" x14ac:dyDescent="0.25">
      <c r="A130">
        <v>129</v>
      </c>
      <c r="B130">
        <v>305.70000000000005</v>
      </c>
    </row>
    <row r="131" spans="1:2" x14ac:dyDescent="0.25">
      <c r="A131">
        <v>130</v>
      </c>
      <c r="B131">
        <v>187.1</v>
      </c>
    </row>
    <row r="132" spans="1:2" x14ac:dyDescent="0.25">
      <c r="A132">
        <v>131</v>
      </c>
      <c r="B132">
        <v>380</v>
      </c>
    </row>
    <row r="133" spans="1:2" x14ac:dyDescent="0.25">
      <c r="A133">
        <v>132</v>
      </c>
      <c r="B133">
        <v>132</v>
      </c>
    </row>
    <row r="134" spans="1:2" x14ac:dyDescent="0.25">
      <c r="A134">
        <v>133</v>
      </c>
      <c r="B134">
        <v>100</v>
      </c>
    </row>
    <row r="135" spans="1:2" x14ac:dyDescent="0.25">
      <c r="A135">
        <v>134</v>
      </c>
      <c r="B135">
        <v>102</v>
      </c>
    </row>
    <row r="136" spans="1:2" x14ac:dyDescent="0.25">
      <c r="A136">
        <v>135</v>
      </c>
      <c r="B136">
        <v>112</v>
      </c>
    </row>
    <row r="137" spans="1:2" x14ac:dyDescent="0.25">
      <c r="A137">
        <v>136</v>
      </c>
      <c r="B137">
        <v>0</v>
      </c>
    </row>
    <row r="138" spans="1:2" x14ac:dyDescent="0.25">
      <c r="A138">
        <v>137</v>
      </c>
      <c r="B138">
        <v>0</v>
      </c>
    </row>
    <row r="139" spans="1:2" x14ac:dyDescent="0.25">
      <c r="A139">
        <v>138</v>
      </c>
      <c r="B139">
        <v>110.10000000000001</v>
      </c>
    </row>
    <row r="140" spans="1:2" x14ac:dyDescent="0.25">
      <c r="A140">
        <v>139</v>
      </c>
      <c r="B140">
        <v>140.10000000000002</v>
      </c>
    </row>
    <row r="141" spans="1:2" x14ac:dyDescent="0.25">
      <c r="A141">
        <v>140</v>
      </c>
      <c r="B141">
        <v>0</v>
      </c>
    </row>
    <row r="142" spans="1:2" x14ac:dyDescent="0.25">
      <c r="A142">
        <v>141</v>
      </c>
      <c r="B142">
        <v>140</v>
      </c>
    </row>
    <row r="143" spans="1:2" x14ac:dyDescent="0.25">
      <c r="A143">
        <v>142</v>
      </c>
      <c r="B143">
        <v>0</v>
      </c>
    </row>
    <row r="144" spans="1:2" x14ac:dyDescent="0.25">
      <c r="A144">
        <v>143</v>
      </c>
      <c r="B144">
        <v>330</v>
      </c>
    </row>
    <row r="145" spans="1:2" x14ac:dyDescent="0.25">
      <c r="A145">
        <v>144</v>
      </c>
      <c r="B145">
        <v>198</v>
      </c>
    </row>
    <row r="146" spans="1:2" x14ac:dyDescent="0.25">
      <c r="A146">
        <v>145</v>
      </c>
      <c r="B146">
        <v>0</v>
      </c>
    </row>
    <row r="147" spans="1:2" x14ac:dyDescent="0.25">
      <c r="A147">
        <v>146</v>
      </c>
      <c r="B147">
        <v>0</v>
      </c>
    </row>
    <row r="148" spans="1:2" x14ac:dyDescent="0.25">
      <c r="A148">
        <v>147</v>
      </c>
      <c r="B148">
        <v>0</v>
      </c>
    </row>
    <row r="149" spans="1:2" x14ac:dyDescent="0.25">
      <c r="A149">
        <v>148</v>
      </c>
      <c r="B149">
        <v>399</v>
      </c>
    </row>
    <row r="150" spans="1:2" x14ac:dyDescent="0.25">
      <c r="A150">
        <v>149</v>
      </c>
      <c r="B150">
        <v>120</v>
      </c>
    </row>
    <row r="151" spans="1:2" x14ac:dyDescent="0.25">
      <c r="A151">
        <v>150</v>
      </c>
      <c r="B151">
        <v>0</v>
      </c>
    </row>
    <row r="152" spans="1:2" x14ac:dyDescent="0.25">
      <c r="A152">
        <v>151</v>
      </c>
      <c r="B152">
        <v>0</v>
      </c>
    </row>
    <row r="153" spans="1:2" x14ac:dyDescent="0.25">
      <c r="A153">
        <v>152</v>
      </c>
      <c r="B153">
        <v>0</v>
      </c>
    </row>
    <row r="154" spans="1:2" x14ac:dyDescent="0.25">
      <c r="A154">
        <v>153</v>
      </c>
      <c r="B154">
        <v>0</v>
      </c>
    </row>
    <row r="155" spans="1:2" x14ac:dyDescent="0.25">
      <c r="A155">
        <v>154</v>
      </c>
      <c r="B155">
        <v>461.9</v>
      </c>
    </row>
    <row r="156" spans="1:2" x14ac:dyDescent="0.25">
      <c r="A156">
        <v>155</v>
      </c>
      <c r="B156">
        <v>83.699999999999989</v>
      </c>
    </row>
    <row r="157" spans="1:2" x14ac:dyDescent="0.25">
      <c r="A157">
        <v>156</v>
      </c>
      <c r="B157">
        <v>396</v>
      </c>
    </row>
    <row r="158" spans="1:2" x14ac:dyDescent="0.25">
      <c r="A158">
        <v>157</v>
      </c>
      <c r="B158">
        <v>0</v>
      </c>
    </row>
    <row r="159" spans="1:2" x14ac:dyDescent="0.25">
      <c r="A159">
        <v>158</v>
      </c>
      <c r="B159">
        <v>0</v>
      </c>
    </row>
    <row r="160" spans="1:2" x14ac:dyDescent="0.25">
      <c r="A160">
        <v>159</v>
      </c>
      <c r="B160">
        <v>0</v>
      </c>
    </row>
    <row r="161" spans="1:2" x14ac:dyDescent="0.25">
      <c r="A161">
        <v>160</v>
      </c>
      <c r="B161">
        <v>0</v>
      </c>
    </row>
    <row r="162" spans="1:2" x14ac:dyDescent="0.25">
      <c r="A162">
        <v>161</v>
      </c>
      <c r="B162">
        <v>0</v>
      </c>
    </row>
    <row r="163" spans="1:2" x14ac:dyDescent="0.25">
      <c r="A163">
        <v>162</v>
      </c>
      <c r="B163">
        <v>105</v>
      </c>
    </row>
    <row r="164" spans="1:2" x14ac:dyDescent="0.25">
      <c r="A164">
        <v>163</v>
      </c>
      <c r="B164">
        <v>0</v>
      </c>
    </row>
    <row r="165" spans="1:2" x14ac:dyDescent="0.25">
      <c r="A165">
        <v>164</v>
      </c>
      <c r="B165">
        <v>0</v>
      </c>
    </row>
    <row r="166" spans="1:2" x14ac:dyDescent="0.25">
      <c r="A166">
        <v>165</v>
      </c>
      <c r="B166">
        <v>0</v>
      </c>
    </row>
    <row r="167" spans="1:2" x14ac:dyDescent="0.25">
      <c r="A167">
        <v>166</v>
      </c>
      <c r="B167">
        <v>0</v>
      </c>
    </row>
    <row r="168" spans="1:2" x14ac:dyDescent="0.25">
      <c r="A168">
        <v>167</v>
      </c>
      <c r="B168">
        <v>0</v>
      </c>
    </row>
    <row r="169" spans="1:2" x14ac:dyDescent="0.25">
      <c r="A169">
        <v>168</v>
      </c>
      <c r="B169">
        <v>0</v>
      </c>
    </row>
    <row r="170" spans="1:2" x14ac:dyDescent="0.25">
      <c r="A170">
        <v>169</v>
      </c>
      <c r="B170">
        <v>1050</v>
      </c>
    </row>
    <row r="171" spans="1:2" x14ac:dyDescent="0.25">
      <c r="A171">
        <v>170</v>
      </c>
      <c r="B171">
        <v>0</v>
      </c>
    </row>
    <row r="172" spans="1:2" x14ac:dyDescent="0.25">
      <c r="A172">
        <v>171</v>
      </c>
      <c r="B172">
        <v>0</v>
      </c>
    </row>
    <row r="173" spans="1:2" x14ac:dyDescent="0.25">
      <c r="A173">
        <v>172</v>
      </c>
      <c r="B173">
        <v>1479.6</v>
      </c>
    </row>
    <row r="174" spans="1:2" x14ac:dyDescent="0.25">
      <c r="A174">
        <v>173</v>
      </c>
      <c r="B174">
        <v>400</v>
      </c>
    </row>
    <row r="175" spans="1:2" x14ac:dyDescent="0.25">
      <c r="A175">
        <v>174</v>
      </c>
      <c r="B175">
        <v>1417.4</v>
      </c>
    </row>
    <row r="176" spans="1:2" x14ac:dyDescent="0.25">
      <c r="A176">
        <v>175</v>
      </c>
      <c r="B176">
        <v>2462.3999999999996</v>
      </c>
    </row>
    <row r="177" spans="1:2" x14ac:dyDescent="0.25">
      <c r="A177">
        <v>176</v>
      </c>
      <c r="B177">
        <v>4279.6000000000004</v>
      </c>
    </row>
    <row r="178" spans="1:2" x14ac:dyDescent="0.25">
      <c r="A178">
        <v>177</v>
      </c>
      <c r="B178">
        <v>0</v>
      </c>
    </row>
    <row r="179" spans="1:2" x14ac:dyDescent="0.25">
      <c r="A179">
        <v>178</v>
      </c>
      <c r="B179">
        <v>3162</v>
      </c>
    </row>
    <row r="180" spans="1:2" x14ac:dyDescent="0.25">
      <c r="A180">
        <v>179</v>
      </c>
      <c r="B180">
        <v>0</v>
      </c>
    </row>
    <row r="181" spans="1:2" x14ac:dyDescent="0.25">
      <c r="A181">
        <v>180</v>
      </c>
      <c r="B181">
        <v>0</v>
      </c>
    </row>
    <row r="182" spans="1:2" x14ac:dyDescent="0.25">
      <c r="A182">
        <v>181</v>
      </c>
      <c r="B182">
        <v>0</v>
      </c>
    </row>
    <row r="183" spans="1:2" x14ac:dyDescent="0.25">
      <c r="A183">
        <v>182</v>
      </c>
      <c r="B183">
        <v>0</v>
      </c>
    </row>
    <row r="184" spans="1:2" x14ac:dyDescent="0.25">
      <c r="A184">
        <v>183</v>
      </c>
      <c r="B184">
        <v>44</v>
      </c>
    </row>
    <row r="185" spans="1:2" x14ac:dyDescent="0.25">
      <c r="A185">
        <v>184</v>
      </c>
      <c r="B185">
        <v>88</v>
      </c>
    </row>
    <row r="186" spans="1:2" x14ac:dyDescent="0.25">
      <c r="A186">
        <v>185</v>
      </c>
      <c r="B186">
        <v>0</v>
      </c>
    </row>
    <row r="187" spans="1:2" x14ac:dyDescent="0.25">
      <c r="A187">
        <v>186</v>
      </c>
      <c r="B187">
        <v>150</v>
      </c>
    </row>
    <row r="188" spans="1:2" x14ac:dyDescent="0.25">
      <c r="A188">
        <v>187</v>
      </c>
      <c r="B188">
        <v>0</v>
      </c>
    </row>
    <row r="189" spans="1:2" x14ac:dyDescent="0.25">
      <c r="A189">
        <v>188</v>
      </c>
      <c r="B189">
        <v>0</v>
      </c>
    </row>
    <row r="190" spans="1:2" x14ac:dyDescent="0.25">
      <c r="A190">
        <v>189</v>
      </c>
      <c r="B190">
        <v>160</v>
      </c>
    </row>
    <row r="191" spans="1:2" x14ac:dyDescent="0.25">
      <c r="A191">
        <v>190</v>
      </c>
      <c r="B191">
        <v>237.4</v>
      </c>
    </row>
    <row r="192" spans="1:2" x14ac:dyDescent="0.25">
      <c r="A192">
        <v>191</v>
      </c>
      <c r="B192">
        <v>0</v>
      </c>
    </row>
    <row r="193" spans="1:2" x14ac:dyDescent="0.25">
      <c r="A193">
        <v>192</v>
      </c>
      <c r="B193">
        <v>140</v>
      </c>
    </row>
    <row r="194" spans="1:2" x14ac:dyDescent="0.25">
      <c r="A194">
        <v>193</v>
      </c>
      <c r="B194">
        <v>78</v>
      </c>
    </row>
    <row r="195" spans="1:2" x14ac:dyDescent="0.25">
      <c r="A195">
        <v>194</v>
      </c>
      <c r="B195">
        <v>60</v>
      </c>
    </row>
    <row r="196" spans="1:2" x14ac:dyDescent="0.25">
      <c r="A196">
        <v>195</v>
      </c>
      <c r="B196">
        <v>118</v>
      </c>
    </row>
    <row r="197" spans="1:2" x14ac:dyDescent="0.25">
      <c r="A197">
        <v>196</v>
      </c>
      <c r="B197">
        <v>120</v>
      </c>
    </row>
    <row r="198" spans="1:2" x14ac:dyDescent="0.25">
      <c r="A198">
        <v>197</v>
      </c>
      <c r="B198">
        <v>0</v>
      </c>
    </row>
    <row r="199" spans="1:2" x14ac:dyDescent="0.25">
      <c r="A199">
        <v>198</v>
      </c>
      <c r="B199">
        <v>0</v>
      </c>
    </row>
    <row r="200" spans="1:2" x14ac:dyDescent="0.25">
      <c r="A200">
        <v>199</v>
      </c>
      <c r="B200">
        <v>0</v>
      </c>
    </row>
    <row r="201" spans="1:2" x14ac:dyDescent="0.25">
      <c r="A201">
        <v>200</v>
      </c>
      <c r="B201">
        <v>0</v>
      </c>
    </row>
    <row r="202" spans="1:2" x14ac:dyDescent="0.25">
      <c r="A202">
        <v>201</v>
      </c>
      <c r="B202">
        <v>0</v>
      </c>
    </row>
    <row r="203" spans="1:2" x14ac:dyDescent="0.25">
      <c r="A203">
        <v>202</v>
      </c>
      <c r="B203">
        <v>0</v>
      </c>
    </row>
    <row r="204" spans="1:2" x14ac:dyDescent="0.25">
      <c r="A204">
        <v>203</v>
      </c>
      <c r="B204">
        <v>96.4</v>
      </c>
    </row>
    <row r="205" spans="1:2" x14ac:dyDescent="0.25">
      <c r="A205">
        <v>204</v>
      </c>
      <c r="B205">
        <v>219</v>
      </c>
    </row>
    <row r="206" spans="1:2" x14ac:dyDescent="0.25">
      <c r="A206">
        <v>205</v>
      </c>
      <c r="B206">
        <v>0</v>
      </c>
    </row>
    <row r="207" spans="1:2" x14ac:dyDescent="0.25">
      <c r="A207">
        <v>206</v>
      </c>
      <c r="B207">
        <v>0</v>
      </c>
    </row>
    <row r="208" spans="1:2" x14ac:dyDescent="0.25">
      <c r="A208">
        <v>207</v>
      </c>
      <c r="B208">
        <v>0</v>
      </c>
    </row>
    <row r="209" spans="1:2" x14ac:dyDescent="0.25">
      <c r="A209">
        <v>208</v>
      </c>
      <c r="B209">
        <v>0</v>
      </c>
    </row>
    <row r="210" spans="1:2" x14ac:dyDescent="0.25">
      <c r="A210">
        <v>209</v>
      </c>
      <c r="B210">
        <v>0</v>
      </c>
    </row>
    <row r="211" spans="1:2" x14ac:dyDescent="0.25">
      <c r="A211">
        <v>210</v>
      </c>
      <c r="B211">
        <v>0</v>
      </c>
    </row>
    <row r="212" spans="1:2" x14ac:dyDescent="0.25">
      <c r="A212">
        <v>211</v>
      </c>
      <c r="B212">
        <v>0</v>
      </c>
    </row>
    <row r="213" spans="1:2" x14ac:dyDescent="0.25">
      <c r="A213">
        <v>212</v>
      </c>
      <c r="B213">
        <v>0</v>
      </c>
    </row>
    <row r="214" spans="1:2" x14ac:dyDescent="0.25">
      <c r="A214">
        <v>213</v>
      </c>
      <c r="B214">
        <v>0</v>
      </c>
    </row>
    <row r="215" spans="1:2" x14ac:dyDescent="0.25">
      <c r="A215">
        <v>214</v>
      </c>
      <c r="B215">
        <v>0</v>
      </c>
    </row>
    <row r="216" spans="1:2" x14ac:dyDescent="0.25">
      <c r="A216">
        <v>215</v>
      </c>
      <c r="B216">
        <v>191.8</v>
      </c>
    </row>
    <row r="217" spans="1:2" x14ac:dyDescent="0.25">
      <c r="A217">
        <v>216</v>
      </c>
      <c r="B217">
        <v>45</v>
      </c>
    </row>
    <row r="218" spans="1:2" x14ac:dyDescent="0.25">
      <c r="A218">
        <v>217</v>
      </c>
      <c r="B218">
        <v>55</v>
      </c>
    </row>
    <row r="219" spans="1:2" x14ac:dyDescent="0.25">
      <c r="A219">
        <v>218</v>
      </c>
      <c r="B219">
        <v>0</v>
      </c>
    </row>
    <row r="220" spans="1:2" x14ac:dyDescent="0.25">
      <c r="A220">
        <v>219</v>
      </c>
      <c r="B220">
        <v>0</v>
      </c>
    </row>
    <row r="221" spans="1:2" x14ac:dyDescent="0.25">
      <c r="A221">
        <v>220</v>
      </c>
      <c r="B221">
        <v>0</v>
      </c>
    </row>
    <row r="222" spans="1:2" x14ac:dyDescent="0.25">
      <c r="A222">
        <v>221</v>
      </c>
      <c r="B222">
        <v>0</v>
      </c>
    </row>
    <row r="223" spans="1:2" x14ac:dyDescent="0.25">
      <c r="A223">
        <v>222</v>
      </c>
      <c r="B223">
        <v>0</v>
      </c>
    </row>
    <row r="224" spans="1:2" x14ac:dyDescent="0.25">
      <c r="A224">
        <v>223</v>
      </c>
      <c r="B224">
        <v>0</v>
      </c>
    </row>
    <row r="225" spans="1:2" x14ac:dyDescent="0.25">
      <c r="A225">
        <v>224</v>
      </c>
      <c r="B225">
        <v>0</v>
      </c>
    </row>
    <row r="226" spans="1:2" x14ac:dyDescent="0.25">
      <c r="A226">
        <v>225</v>
      </c>
      <c r="B226">
        <v>45</v>
      </c>
    </row>
    <row r="227" spans="1:2" x14ac:dyDescent="0.25">
      <c r="A227">
        <v>226</v>
      </c>
      <c r="B227">
        <v>0</v>
      </c>
    </row>
    <row r="228" spans="1:2" x14ac:dyDescent="0.25">
      <c r="A228">
        <v>227</v>
      </c>
      <c r="B228">
        <v>399.90000000000003</v>
      </c>
    </row>
    <row r="229" spans="1:2" x14ac:dyDescent="0.25">
      <c r="A229">
        <v>228</v>
      </c>
      <c r="B229">
        <v>300</v>
      </c>
    </row>
    <row r="230" spans="1:2" x14ac:dyDescent="0.25">
      <c r="A230">
        <v>229</v>
      </c>
      <c r="B230">
        <v>1820</v>
      </c>
    </row>
    <row r="231" spans="1:2" x14ac:dyDescent="0.25">
      <c r="A231">
        <v>230</v>
      </c>
      <c r="B231">
        <v>700</v>
      </c>
    </row>
    <row r="232" spans="1:2" x14ac:dyDescent="0.25">
      <c r="A232">
        <v>231</v>
      </c>
      <c r="B232">
        <v>0</v>
      </c>
    </row>
    <row r="233" spans="1:2" x14ac:dyDescent="0.25">
      <c r="A233">
        <v>232</v>
      </c>
      <c r="B233">
        <v>0</v>
      </c>
    </row>
    <row r="234" spans="1:2" x14ac:dyDescent="0.25">
      <c r="A234">
        <v>233</v>
      </c>
      <c r="B234">
        <v>0</v>
      </c>
    </row>
    <row r="235" spans="1:2" x14ac:dyDescent="0.25">
      <c r="A235">
        <v>234</v>
      </c>
      <c r="B235">
        <v>0</v>
      </c>
    </row>
    <row r="236" spans="1:2" x14ac:dyDescent="0.25">
      <c r="A236">
        <v>235</v>
      </c>
      <c r="B236">
        <v>0</v>
      </c>
    </row>
    <row r="237" spans="1:2" x14ac:dyDescent="0.25">
      <c r="A237">
        <v>236</v>
      </c>
      <c r="B237">
        <v>0</v>
      </c>
    </row>
    <row r="238" spans="1:2" x14ac:dyDescent="0.25">
      <c r="A238">
        <v>237</v>
      </c>
      <c r="B238">
        <v>0</v>
      </c>
    </row>
    <row r="239" spans="1:2" x14ac:dyDescent="0.25">
      <c r="A239">
        <v>238</v>
      </c>
      <c r="B239">
        <v>0</v>
      </c>
    </row>
    <row r="240" spans="1:2" x14ac:dyDescent="0.25">
      <c r="A240">
        <v>239</v>
      </c>
      <c r="B240">
        <v>0</v>
      </c>
    </row>
    <row r="241" spans="1:2" x14ac:dyDescent="0.25">
      <c r="A241">
        <v>240</v>
      </c>
      <c r="B241">
        <v>0</v>
      </c>
    </row>
    <row r="242" spans="1:2" x14ac:dyDescent="0.25">
      <c r="A242">
        <v>241</v>
      </c>
      <c r="B242">
        <v>93</v>
      </c>
    </row>
    <row r="243" spans="1:2" x14ac:dyDescent="0.25">
      <c r="A243">
        <v>242</v>
      </c>
      <c r="B243">
        <v>0</v>
      </c>
    </row>
    <row r="244" spans="1:2" x14ac:dyDescent="0.25">
      <c r="A244">
        <v>243</v>
      </c>
      <c r="B244">
        <v>0</v>
      </c>
    </row>
    <row r="245" spans="1:2" x14ac:dyDescent="0.25">
      <c r="A245">
        <v>244</v>
      </c>
      <c r="B245">
        <v>0</v>
      </c>
    </row>
    <row r="246" spans="1:2" x14ac:dyDescent="0.25">
      <c r="A246">
        <v>245</v>
      </c>
      <c r="B246">
        <v>0</v>
      </c>
    </row>
    <row r="247" spans="1:2" x14ac:dyDescent="0.25">
      <c r="A247">
        <v>246</v>
      </c>
      <c r="B247">
        <v>0</v>
      </c>
    </row>
    <row r="248" spans="1:2" x14ac:dyDescent="0.25">
      <c r="A248">
        <v>247</v>
      </c>
      <c r="B248">
        <v>0</v>
      </c>
    </row>
    <row r="249" spans="1:2" x14ac:dyDescent="0.25">
      <c r="A249">
        <v>248</v>
      </c>
      <c r="B249">
        <v>0</v>
      </c>
    </row>
    <row r="250" spans="1:2" x14ac:dyDescent="0.25">
      <c r="A250">
        <v>249</v>
      </c>
      <c r="B250">
        <v>44.099999999999994</v>
      </c>
    </row>
    <row r="251" spans="1:2" x14ac:dyDescent="0.25">
      <c r="A251">
        <v>250</v>
      </c>
      <c r="B251">
        <v>0</v>
      </c>
    </row>
    <row r="252" spans="1:2" x14ac:dyDescent="0.25">
      <c r="A252">
        <v>251</v>
      </c>
      <c r="B252">
        <v>1275</v>
      </c>
    </row>
    <row r="253" spans="1:2" x14ac:dyDescent="0.25">
      <c r="A253">
        <v>252</v>
      </c>
      <c r="B253">
        <v>450</v>
      </c>
    </row>
    <row r="254" spans="1:2" x14ac:dyDescent="0.25">
      <c r="A254">
        <v>253</v>
      </c>
      <c r="B254">
        <v>243.2</v>
      </c>
    </row>
    <row r="255" spans="1:2" x14ac:dyDescent="0.25">
      <c r="A255">
        <v>254</v>
      </c>
      <c r="B255">
        <v>0</v>
      </c>
    </row>
    <row r="256" spans="1:2" x14ac:dyDescent="0.25">
      <c r="A256">
        <v>255</v>
      </c>
      <c r="B256">
        <v>0</v>
      </c>
    </row>
    <row r="257" spans="1:2" x14ac:dyDescent="0.25">
      <c r="A257">
        <v>256</v>
      </c>
      <c r="B257">
        <v>0</v>
      </c>
    </row>
    <row r="258" spans="1:2" x14ac:dyDescent="0.25">
      <c r="A258">
        <v>257</v>
      </c>
      <c r="B258">
        <v>498.90000000000003</v>
      </c>
    </row>
    <row r="259" spans="1:2" x14ac:dyDescent="0.25">
      <c r="A259">
        <v>258</v>
      </c>
      <c r="B259">
        <v>0</v>
      </c>
    </row>
    <row r="260" spans="1:2" x14ac:dyDescent="0.25">
      <c r="A260">
        <v>259</v>
      </c>
      <c r="B260">
        <v>0</v>
      </c>
    </row>
    <row r="261" spans="1:2" x14ac:dyDescent="0.25">
      <c r="A261">
        <v>260</v>
      </c>
      <c r="B261">
        <v>0</v>
      </c>
    </row>
    <row r="262" spans="1:2" x14ac:dyDescent="0.25">
      <c r="A262">
        <v>261</v>
      </c>
      <c r="B262">
        <v>902.5</v>
      </c>
    </row>
    <row r="263" spans="1:2" x14ac:dyDescent="0.25">
      <c r="A263">
        <v>262</v>
      </c>
      <c r="B263">
        <v>116</v>
      </c>
    </row>
    <row r="264" spans="1:2" x14ac:dyDescent="0.25">
      <c r="A264">
        <v>263</v>
      </c>
      <c r="B264">
        <v>0</v>
      </c>
    </row>
    <row r="265" spans="1:2" x14ac:dyDescent="0.25">
      <c r="A265">
        <v>264</v>
      </c>
      <c r="B265">
        <v>0</v>
      </c>
    </row>
    <row r="266" spans="1:2" x14ac:dyDescent="0.25">
      <c r="A266">
        <v>265</v>
      </c>
      <c r="B266">
        <v>0</v>
      </c>
    </row>
    <row r="267" spans="1:2" x14ac:dyDescent="0.25">
      <c r="A267">
        <v>266</v>
      </c>
      <c r="B267">
        <v>0</v>
      </c>
    </row>
    <row r="268" spans="1:2" x14ac:dyDescent="0.25">
      <c r="A268">
        <v>267</v>
      </c>
      <c r="B268">
        <v>1087.2</v>
      </c>
    </row>
    <row r="269" spans="1:2" x14ac:dyDescent="0.25">
      <c r="A269">
        <v>268</v>
      </c>
      <c r="B269">
        <v>1328</v>
      </c>
    </row>
    <row r="270" spans="1:2" x14ac:dyDescent="0.25">
      <c r="A270">
        <v>269</v>
      </c>
      <c r="B270">
        <v>150</v>
      </c>
    </row>
    <row r="271" spans="1:2" x14ac:dyDescent="0.25">
      <c r="A271">
        <v>270</v>
      </c>
      <c r="B271">
        <v>0</v>
      </c>
    </row>
    <row r="272" spans="1:2" x14ac:dyDescent="0.25">
      <c r="A272">
        <v>271</v>
      </c>
      <c r="B272">
        <v>0</v>
      </c>
    </row>
    <row r="273" spans="1:2" x14ac:dyDescent="0.25">
      <c r="A273">
        <v>272</v>
      </c>
      <c r="B273">
        <v>30</v>
      </c>
    </row>
    <row r="274" spans="1:2" x14ac:dyDescent="0.25">
      <c r="A274">
        <v>273</v>
      </c>
      <c r="B274">
        <v>1087.2</v>
      </c>
    </row>
    <row r="275" spans="1:2" x14ac:dyDescent="0.25">
      <c r="A275">
        <v>274</v>
      </c>
      <c r="B275">
        <v>0</v>
      </c>
    </row>
    <row r="276" spans="1:2" x14ac:dyDescent="0.25">
      <c r="A276">
        <v>275</v>
      </c>
      <c r="B276">
        <v>8535</v>
      </c>
    </row>
    <row r="277" spans="1:2" x14ac:dyDescent="0.25">
      <c r="A277">
        <v>276</v>
      </c>
      <c r="B277">
        <v>73.5</v>
      </c>
    </row>
    <row r="278" spans="1:2" x14ac:dyDescent="0.25">
      <c r="A278">
        <v>277</v>
      </c>
      <c r="B278">
        <v>250</v>
      </c>
    </row>
    <row r="279" spans="1:2" x14ac:dyDescent="0.25">
      <c r="A279">
        <v>278</v>
      </c>
      <c r="B279">
        <v>210</v>
      </c>
    </row>
    <row r="280" spans="1:2" x14ac:dyDescent="0.25">
      <c r="A280">
        <v>279</v>
      </c>
      <c r="B280">
        <v>216.5</v>
      </c>
    </row>
    <row r="281" spans="1:2" x14ac:dyDescent="0.25">
      <c r="A281">
        <v>280</v>
      </c>
      <c r="B281">
        <v>78</v>
      </c>
    </row>
    <row r="282" spans="1:2" x14ac:dyDescent="0.25">
      <c r="A282">
        <v>281</v>
      </c>
      <c r="B282">
        <v>176.10000000000002</v>
      </c>
    </row>
    <row r="283" spans="1:2" x14ac:dyDescent="0.25">
      <c r="A283">
        <v>282</v>
      </c>
      <c r="B283">
        <v>33</v>
      </c>
    </row>
    <row r="284" spans="1:2" x14ac:dyDescent="0.25">
      <c r="A284">
        <v>283</v>
      </c>
      <c r="B284">
        <v>60</v>
      </c>
    </row>
    <row r="285" spans="1:2" x14ac:dyDescent="0.25">
      <c r="A285">
        <v>284</v>
      </c>
      <c r="B285">
        <v>252</v>
      </c>
    </row>
    <row r="286" spans="1:2" x14ac:dyDescent="0.25">
      <c r="A286">
        <v>285</v>
      </c>
      <c r="B286">
        <v>3750</v>
      </c>
    </row>
    <row r="287" spans="1:2" x14ac:dyDescent="0.25">
      <c r="A287">
        <v>286</v>
      </c>
      <c r="B287">
        <v>369.9</v>
      </c>
    </row>
    <row r="288" spans="1:2" x14ac:dyDescent="0.25">
      <c r="A288">
        <v>287</v>
      </c>
      <c r="B288">
        <v>3568.7999999999997</v>
      </c>
    </row>
    <row r="289" spans="1:2" x14ac:dyDescent="0.25">
      <c r="A289">
        <v>288</v>
      </c>
      <c r="B289">
        <v>10999.800000000001</v>
      </c>
    </row>
    <row r="290" spans="1:2" x14ac:dyDescent="0.25">
      <c r="A290">
        <v>289</v>
      </c>
      <c r="B290">
        <v>50</v>
      </c>
    </row>
    <row r="291" spans="1:2" x14ac:dyDescent="0.25">
      <c r="A291">
        <v>290</v>
      </c>
      <c r="B291">
        <v>32.099999999999994</v>
      </c>
    </row>
    <row r="292" spans="1:2" x14ac:dyDescent="0.25">
      <c r="A292">
        <v>291</v>
      </c>
      <c r="B292">
        <v>0</v>
      </c>
    </row>
    <row r="293" spans="1:2" x14ac:dyDescent="0.25">
      <c r="A293">
        <v>292</v>
      </c>
      <c r="B293">
        <v>0</v>
      </c>
    </row>
    <row r="294" spans="1:2" x14ac:dyDescent="0.25">
      <c r="A294">
        <v>293</v>
      </c>
      <c r="B294">
        <v>0</v>
      </c>
    </row>
    <row r="295" spans="1:2" x14ac:dyDescent="0.25">
      <c r="A295">
        <v>294</v>
      </c>
      <c r="B295">
        <v>0</v>
      </c>
    </row>
    <row r="296" spans="1:2" x14ac:dyDescent="0.25">
      <c r="A296">
        <v>295</v>
      </c>
      <c r="B296">
        <v>0</v>
      </c>
    </row>
    <row r="297" spans="1:2" x14ac:dyDescent="0.25">
      <c r="A297">
        <v>296</v>
      </c>
      <c r="B297">
        <v>0</v>
      </c>
    </row>
    <row r="298" spans="1:2" x14ac:dyDescent="0.25">
      <c r="A298">
        <v>297</v>
      </c>
      <c r="B298">
        <v>0</v>
      </c>
    </row>
    <row r="299" spans="1:2" x14ac:dyDescent="0.25">
      <c r="A299">
        <v>298</v>
      </c>
      <c r="B299">
        <v>0</v>
      </c>
    </row>
    <row r="300" spans="1:2" x14ac:dyDescent="0.25">
      <c r="A300">
        <v>299</v>
      </c>
      <c r="B300">
        <v>0</v>
      </c>
    </row>
    <row r="301" spans="1:2" x14ac:dyDescent="0.25">
      <c r="A301">
        <v>300</v>
      </c>
      <c r="B301">
        <v>0</v>
      </c>
    </row>
    <row r="302" spans="1:2" x14ac:dyDescent="0.25">
      <c r="A302">
        <v>301</v>
      </c>
      <c r="B302">
        <v>0</v>
      </c>
    </row>
    <row r="303" spans="1:2" x14ac:dyDescent="0.25">
      <c r="A303">
        <v>302</v>
      </c>
      <c r="B303">
        <v>0</v>
      </c>
    </row>
    <row r="304" spans="1:2" x14ac:dyDescent="0.25">
      <c r="A304">
        <v>303</v>
      </c>
      <c r="B304">
        <v>0</v>
      </c>
    </row>
    <row r="305" spans="1:2" x14ac:dyDescent="0.25">
      <c r="A305">
        <v>304</v>
      </c>
      <c r="B305">
        <v>60.8</v>
      </c>
    </row>
    <row r="306" spans="1:2" x14ac:dyDescent="0.25">
      <c r="A306">
        <v>305</v>
      </c>
      <c r="B306">
        <v>96.6</v>
      </c>
    </row>
    <row r="307" spans="1:2" x14ac:dyDescent="0.25">
      <c r="A307">
        <v>306</v>
      </c>
      <c r="B307">
        <v>0</v>
      </c>
    </row>
    <row r="308" spans="1:2" x14ac:dyDescent="0.25">
      <c r="A308">
        <v>307</v>
      </c>
      <c r="B308">
        <v>0</v>
      </c>
    </row>
    <row r="309" spans="1:2" x14ac:dyDescent="0.25">
      <c r="A309">
        <v>308</v>
      </c>
      <c r="B309">
        <v>0</v>
      </c>
    </row>
    <row r="310" spans="1:2" x14ac:dyDescent="0.25">
      <c r="A310">
        <v>309</v>
      </c>
      <c r="B310">
        <v>0</v>
      </c>
    </row>
    <row r="311" spans="1:2" x14ac:dyDescent="0.25">
      <c r="A311">
        <v>310</v>
      </c>
      <c r="B311">
        <v>261</v>
      </c>
    </row>
    <row r="312" spans="1:2" x14ac:dyDescent="0.25">
      <c r="A312">
        <v>311</v>
      </c>
      <c r="B312">
        <v>65</v>
      </c>
    </row>
    <row r="313" spans="1:2" x14ac:dyDescent="0.25">
      <c r="A313">
        <v>312</v>
      </c>
      <c r="B313">
        <v>90</v>
      </c>
    </row>
    <row r="314" spans="1:2" x14ac:dyDescent="0.25">
      <c r="A314">
        <v>313</v>
      </c>
      <c r="B314">
        <v>130</v>
      </c>
    </row>
    <row r="315" spans="1:2" x14ac:dyDescent="0.25">
      <c r="A315">
        <v>314</v>
      </c>
      <c r="B315">
        <v>232.79999999999998</v>
      </c>
    </row>
    <row r="316" spans="1:2" x14ac:dyDescent="0.25">
      <c r="A316">
        <v>315</v>
      </c>
      <c r="B316">
        <v>68.400000000000006</v>
      </c>
    </row>
    <row r="317" spans="1:2" x14ac:dyDescent="0.25">
      <c r="A317">
        <v>316</v>
      </c>
      <c r="B317">
        <v>0</v>
      </c>
    </row>
    <row r="318" spans="1:2" x14ac:dyDescent="0.25">
      <c r="A318">
        <v>317</v>
      </c>
      <c r="B318">
        <v>0</v>
      </c>
    </row>
    <row r="319" spans="1:2" x14ac:dyDescent="0.25">
      <c r="A319">
        <v>318</v>
      </c>
      <c r="B319">
        <v>0</v>
      </c>
    </row>
    <row r="320" spans="1:2" x14ac:dyDescent="0.25">
      <c r="A320">
        <v>319</v>
      </c>
      <c r="B320">
        <v>0</v>
      </c>
    </row>
    <row r="321" spans="1:2" x14ac:dyDescent="0.25">
      <c r="A321">
        <v>320</v>
      </c>
      <c r="B32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S229"/>
  <sheetViews>
    <sheetView tabSelected="1" topLeftCell="A81" workbookViewId="0">
      <selection activeCell="B99" sqref="B99"/>
    </sheetView>
  </sheetViews>
  <sheetFormatPr defaultRowHeight="15" x14ac:dyDescent="0.25"/>
  <cols>
    <col min="1" max="1" width="15.5703125" bestFit="1" customWidth="1"/>
    <col min="2" max="2" width="18.42578125" bestFit="1" customWidth="1"/>
    <col min="3" max="3" width="2" bestFit="1" customWidth="1"/>
    <col min="4" max="4" width="9" style="14" bestFit="1" customWidth="1"/>
    <col min="5" max="5" width="4" bestFit="1" customWidth="1"/>
    <col min="6" max="6" width="7" bestFit="1" customWidth="1"/>
    <col min="8" max="8" width="5.7109375" bestFit="1" customWidth="1"/>
    <col min="9" max="9" width="7" bestFit="1" customWidth="1"/>
    <col min="10" max="10" width="10.7109375" bestFit="1" customWidth="1"/>
    <col min="11" max="11" width="18.42578125" bestFit="1" customWidth="1"/>
    <col min="12" max="16" width="7.42578125" bestFit="1" customWidth="1"/>
    <col min="17" max="17" width="6.7109375" bestFit="1" customWidth="1"/>
    <col min="18" max="18" width="6.140625" bestFit="1" customWidth="1"/>
  </cols>
  <sheetData>
    <row r="3" spans="1:19" x14ac:dyDescent="0.25">
      <c r="L3" s="9">
        <v>42455</v>
      </c>
      <c r="M3" s="7">
        <f>+L4+1</f>
        <v>42462</v>
      </c>
      <c r="N3" s="7">
        <f t="shared" ref="N3:Q3" si="0">+M4+1</f>
        <v>42469</v>
      </c>
      <c r="O3" s="7">
        <f t="shared" si="0"/>
        <v>42476</v>
      </c>
      <c r="P3" s="7">
        <f t="shared" si="0"/>
        <v>42483</v>
      </c>
      <c r="Q3" s="7">
        <f t="shared" si="0"/>
        <v>42490</v>
      </c>
      <c r="R3" s="7">
        <f>Q4+1</f>
        <v>42491</v>
      </c>
      <c r="S3" t="str">
        <f>""</f>
        <v/>
      </c>
    </row>
    <row r="4" spans="1:19" x14ac:dyDescent="0.25">
      <c r="J4" t="s">
        <v>914</v>
      </c>
      <c r="K4" t="s">
        <v>915</v>
      </c>
      <c r="L4" s="7">
        <f>+L3+6</f>
        <v>42461</v>
      </c>
      <c r="M4" s="7">
        <f>+M3+6</f>
        <v>42468</v>
      </c>
      <c r="N4" s="7">
        <f t="shared" ref="N4:Q4" si="1">+N3+6</f>
        <v>42475</v>
      </c>
      <c r="O4" s="7">
        <f t="shared" si="1"/>
        <v>42482</v>
      </c>
      <c r="P4" s="7">
        <f t="shared" si="1"/>
        <v>42489</v>
      </c>
      <c r="Q4" s="7">
        <f>EOMONTH(P4,0)</f>
        <v>42490</v>
      </c>
      <c r="R4" s="7">
        <f>EOMONTH(Q4,1)</f>
        <v>42521</v>
      </c>
      <c r="S4" t="str">
        <f>""</f>
        <v/>
      </c>
    </row>
    <row r="5" spans="1:19" x14ac:dyDescent="0.25">
      <c r="A5" t="s">
        <v>855</v>
      </c>
      <c r="B5" s="8" t="s">
        <v>916</v>
      </c>
      <c r="C5">
        <v>1</v>
      </c>
      <c r="D5" s="14" t="s">
        <v>873</v>
      </c>
      <c r="E5">
        <v>37</v>
      </c>
      <c r="F5">
        <v>640</v>
      </c>
      <c r="H5" t="str">
        <f>LEFT(B5,3)&amp;"-T"</f>
        <v xml:space="preserve">  1-T</v>
      </c>
      <c r="I5">
        <f>+F5</f>
        <v>640</v>
      </c>
      <c r="J5" s="1">
        <f>DATE(MID(D5,5,4),MID(D5,3,2),LEFT(D5,2))</f>
        <v>42539</v>
      </c>
      <c r="K5" s="1">
        <f>J5+E5</f>
        <v>42576</v>
      </c>
      <c r="L5" s="17">
        <f t="shared" ref="L5:Q20" si="2">-1*IF($K5&lt;L$3,0,IF($J5&gt;L$4,0,-1+MAX($J5,L$3)-MIN($K5,L$4)))*$I5/(L$4-L$3+1)</f>
        <v>0</v>
      </c>
      <c r="M5" s="17">
        <f t="shared" si="2"/>
        <v>0</v>
      </c>
      <c r="N5" s="17">
        <f t="shared" si="2"/>
        <v>0</v>
      </c>
      <c r="O5" s="17">
        <f t="shared" si="2"/>
        <v>0</v>
      </c>
      <c r="P5" s="17">
        <f t="shared" si="2"/>
        <v>0</v>
      </c>
      <c r="Q5" s="17">
        <f>-1*IF($K5&lt;Q$3,0,IF($J5&gt;Q$4,0,-1+MAX($J5,Q$3)-MIN($K5,Q$4)))*$I5/(Q$4-Q$3+1)</f>
        <v>0</v>
      </c>
      <c r="R5" s="17">
        <f>-1*IF($K5&lt;R$3,0,IF($J5&gt;R$4,0,-1+MAX($J5,R$3)-MIN($K5,R$4)))*$I5/(R$4-R$3+1)</f>
        <v>0</v>
      </c>
    </row>
    <row r="6" spans="1:19" x14ac:dyDescent="0.25">
      <c r="A6" t="s">
        <v>855</v>
      </c>
      <c r="B6" s="8" t="s">
        <v>917</v>
      </c>
      <c r="C6">
        <v>1</v>
      </c>
      <c r="D6" s="14" t="s">
        <v>874</v>
      </c>
      <c r="E6">
        <v>30</v>
      </c>
      <c r="F6">
        <v>1350</v>
      </c>
      <c r="H6" t="str">
        <f>LEFT(B6,3)&amp;"-T"</f>
        <v xml:space="preserve"> 13-T</v>
      </c>
      <c r="I6">
        <f t="shared" ref="I6:I69" si="3">+F6</f>
        <v>1350</v>
      </c>
      <c r="J6" s="1">
        <f>DATE(MID(D6,5,4),MID(D6,3,2),LEFT(D6,2))</f>
        <v>42675</v>
      </c>
      <c r="K6" s="1">
        <f>J6+E6</f>
        <v>42705</v>
      </c>
      <c r="L6" s="17">
        <f t="shared" si="2"/>
        <v>0</v>
      </c>
      <c r="M6" s="17">
        <f t="shared" si="2"/>
        <v>0</v>
      </c>
      <c r="N6" s="17">
        <f t="shared" si="2"/>
        <v>0</v>
      </c>
      <c r="O6" s="17">
        <f t="shared" si="2"/>
        <v>0</v>
      </c>
      <c r="P6" s="17">
        <f t="shared" si="2"/>
        <v>0</v>
      </c>
      <c r="Q6" s="17">
        <f t="shared" si="2"/>
        <v>0</v>
      </c>
      <c r="R6" s="17">
        <f t="shared" ref="R6:R69" si="4">-1*IF($K6&lt;R$3,0,IF($J6&gt;R$4,0,-1+MAX($J6,R$3)-MIN($K6,R$4)))*I6/(R$4-R$3+1)</f>
        <v>0</v>
      </c>
    </row>
    <row r="7" spans="1:19" x14ac:dyDescent="0.25">
      <c r="A7" t="s">
        <v>856</v>
      </c>
      <c r="B7" t="s">
        <v>918</v>
      </c>
      <c r="C7">
        <v>1</v>
      </c>
      <c r="D7" s="14" t="s">
        <v>875</v>
      </c>
      <c r="E7">
        <v>19</v>
      </c>
      <c r="F7">
        <v>1.2</v>
      </c>
      <c r="H7" t="str">
        <f>LEFT(B7,3)&amp;"-T"</f>
        <v>104-T</v>
      </c>
      <c r="I7">
        <f t="shared" si="3"/>
        <v>1.2</v>
      </c>
      <c r="J7" s="1">
        <f>DATE(MID(D7,5,4),MID(D7,3,2),LEFT(D7,2))</f>
        <v>42717</v>
      </c>
      <c r="K7" s="1">
        <f>J7+E7</f>
        <v>42736</v>
      </c>
      <c r="L7" s="17">
        <f t="shared" si="2"/>
        <v>0</v>
      </c>
      <c r="M7" s="17">
        <f t="shared" si="2"/>
        <v>0</v>
      </c>
      <c r="N7" s="17">
        <f t="shared" si="2"/>
        <v>0</v>
      </c>
      <c r="O7" s="17">
        <f t="shared" si="2"/>
        <v>0</v>
      </c>
      <c r="P7" s="17">
        <f t="shared" si="2"/>
        <v>0</v>
      </c>
      <c r="Q7" s="17">
        <f t="shared" si="2"/>
        <v>0</v>
      </c>
      <c r="R7" s="17">
        <f t="shared" si="4"/>
        <v>0</v>
      </c>
    </row>
    <row r="8" spans="1:19" x14ac:dyDescent="0.25">
      <c r="A8" t="s">
        <v>856</v>
      </c>
      <c r="B8" t="s">
        <v>918</v>
      </c>
      <c r="C8">
        <v>2</v>
      </c>
      <c r="D8" s="14" t="s">
        <v>875</v>
      </c>
      <c r="E8">
        <v>19</v>
      </c>
      <c r="F8">
        <v>2</v>
      </c>
      <c r="H8" t="str">
        <f>LEFT(B8,3)&amp;"-T"</f>
        <v>104-T</v>
      </c>
      <c r="I8">
        <f t="shared" si="3"/>
        <v>2</v>
      </c>
      <c r="J8" s="1">
        <f>DATE(MID(D8,5,4),MID(D8,3,2),LEFT(D8,2))</f>
        <v>42717</v>
      </c>
      <c r="K8" s="1">
        <f>J8+E8</f>
        <v>42736</v>
      </c>
      <c r="L8" s="17">
        <f t="shared" si="2"/>
        <v>0</v>
      </c>
      <c r="M8" s="17">
        <f t="shared" si="2"/>
        <v>0</v>
      </c>
      <c r="N8" s="17">
        <f t="shared" si="2"/>
        <v>0</v>
      </c>
      <c r="O8" s="17">
        <f t="shared" si="2"/>
        <v>0</v>
      </c>
      <c r="P8" s="17">
        <f t="shared" si="2"/>
        <v>0</v>
      </c>
      <c r="Q8" s="17">
        <f t="shared" si="2"/>
        <v>0</v>
      </c>
      <c r="R8" s="17">
        <f t="shared" si="4"/>
        <v>0</v>
      </c>
    </row>
    <row r="9" spans="1:19" x14ac:dyDescent="0.25">
      <c r="A9" t="s">
        <v>856</v>
      </c>
      <c r="B9" t="s">
        <v>918</v>
      </c>
      <c r="C9">
        <v>3</v>
      </c>
      <c r="D9" s="14" t="s">
        <v>875</v>
      </c>
      <c r="E9">
        <v>19</v>
      </c>
      <c r="F9">
        <v>25</v>
      </c>
      <c r="H9" t="str">
        <f>LEFT(B9,3)&amp;"-T"</f>
        <v>104-T</v>
      </c>
      <c r="I9">
        <f t="shared" si="3"/>
        <v>25</v>
      </c>
      <c r="J9" s="1">
        <f>DATE(MID(D9,5,4),MID(D9,3,2),LEFT(D9,2))</f>
        <v>42717</v>
      </c>
      <c r="K9" s="1">
        <f>J9+E9</f>
        <v>42736</v>
      </c>
      <c r="L9" s="17">
        <f t="shared" si="2"/>
        <v>0</v>
      </c>
      <c r="M9" s="17">
        <f t="shared" si="2"/>
        <v>0</v>
      </c>
      <c r="N9" s="17">
        <f t="shared" si="2"/>
        <v>0</v>
      </c>
      <c r="O9" s="17">
        <f t="shared" si="2"/>
        <v>0</v>
      </c>
      <c r="P9" s="17">
        <f t="shared" si="2"/>
        <v>0</v>
      </c>
      <c r="Q9" s="17">
        <f t="shared" si="2"/>
        <v>0</v>
      </c>
      <c r="R9" s="17">
        <f t="shared" si="4"/>
        <v>0</v>
      </c>
    </row>
    <row r="10" spans="1:19" x14ac:dyDescent="0.25">
      <c r="A10" t="s">
        <v>857</v>
      </c>
      <c r="B10" s="8" t="s">
        <v>919</v>
      </c>
      <c r="C10">
        <v>1</v>
      </c>
      <c r="D10" s="14" t="s">
        <v>876</v>
      </c>
      <c r="E10">
        <v>1</v>
      </c>
      <c r="F10">
        <v>254.8</v>
      </c>
      <c r="H10" t="str">
        <f>LEFT(B10,3)&amp;"-T"</f>
        <v xml:space="preserve"> 65-T</v>
      </c>
      <c r="I10">
        <f t="shared" si="3"/>
        <v>254.8</v>
      </c>
      <c r="J10" s="1">
        <f>DATE(MID(D10,5,4),MID(D10,3,2),LEFT(D10,2))</f>
        <v>42472</v>
      </c>
      <c r="K10" s="1">
        <f>J10+E10</f>
        <v>42473</v>
      </c>
      <c r="L10" s="17">
        <f t="shared" si="2"/>
        <v>0</v>
      </c>
      <c r="M10" s="17">
        <f t="shared" si="2"/>
        <v>0</v>
      </c>
      <c r="N10" s="17">
        <f t="shared" si="2"/>
        <v>72.8</v>
      </c>
      <c r="O10" s="17">
        <f t="shared" si="2"/>
        <v>0</v>
      </c>
      <c r="P10" s="17">
        <f t="shared" si="2"/>
        <v>0</v>
      </c>
      <c r="Q10" s="17">
        <f t="shared" si="2"/>
        <v>0</v>
      </c>
      <c r="R10" s="17">
        <f t="shared" si="4"/>
        <v>0</v>
      </c>
    </row>
    <row r="11" spans="1:19" x14ac:dyDescent="0.25">
      <c r="A11" t="s">
        <v>857</v>
      </c>
      <c r="B11" s="8" t="s">
        <v>919</v>
      </c>
      <c r="C11">
        <v>1</v>
      </c>
      <c r="D11" s="14" t="s">
        <v>877</v>
      </c>
      <c r="E11">
        <v>13</v>
      </c>
      <c r="F11">
        <v>254.8</v>
      </c>
      <c r="H11" t="str">
        <f>LEFT(B11,3)&amp;"-T"</f>
        <v xml:space="preserve"> 65-T</v>
      </c>
      <c r="I11">
        <f t="shared" si="3"/>
        <v>254.8</v>
      </c>
      <c r="J11" s="1">
        <f>DATE(MID(D11,5,4),MID(D11,3,2),LEFT(D11,2))</f>
        <v>42646</v>
      </c>
      <c r="K11" s="1">
        <f>J11+E11</f>
        <v>42659</v>
      </c>
      <c r="L11" s="17">
        <f t="shared" si="2"/>
        <v>0</v>
      </c>
      <c r="M11" s="17">
        <f t="shared" si="2"/>
        <v>0</v>
      </c>
      <c r="N11" s="17">
        <f t="shared" si="2"/>
        <v>0</v>
      </c>
      <c r="O11" s="17">
        <f t="shared" si="2"/>
        <v>0</v>
      </c>
      <c r="P11" s="17">
        <f t="shared" si="2"/>
        <v>0</v>
      </c>
      <c r="Q11" s="17">
        <f t="shared" si="2"/>
        <v>0</v>
      </c>
      <c r="R11" s="17">
        <f t="shared" si="4"/>
        <v>0</v>
      </c>
    </row>
    <row r="12" spans="1:19" x14ac:dyDescent="0.25">
      <c r="A12" t="s">
        <v>858</v>
      </c>
      <c r="B12" s="8" t="s">
        <v>920</v>
      </c>
      <c r="C12">
        <v>1</v>
      </c>
      <c r="D12" s="14" t="s">
        <v>878</v>
      </c>
      <c r="E12">
        <v>14</v>
      </c>
      <c r="F12">
        <v>320.64999999999998</v>
      </c>
      <c r="H12" t="str">
        <f>LEFT(B12,3)&amp;"-T"</f>
        <v>213-T</v>
      </c>
      <c r="I12">
        <f t="shared" si="3"/>
        <v>320.64999999999998</v>
      </c>
      <c r="J12" s="1">
        <f>DATE(MID(D12,5,4),MID(D12,3,2),LEFT(D12,2))</f>
        <v>42461</v>
      </c>
      <c r="K12" s="1">
        <f>J12+E12</f>
        <v>42475</v>
      </c>
      <c r="L12" s="17">
        <f t="shared" si="2"/>
        <v>45.807142857142857</v>
      </c>
      <c r="M12" s="17">
        <f t="shared" si="2"/>
        <v>320.64999999999998</v>
      </c>
      <c r="N12" s="17">
        <f t="shared" si="2"/>
        <v>320.64999999999998</v>
      </c>
      <c r="O12" s="17">
        <f t="shared" si="2"/>
        <v>0</v>
      </c>
      <c r="P12" s="17">
        <f t="shared" si="2"/>
        <v>0</v>
      </c>
      <c r="Q12" s="17">
        <f t="shared" si="2"/>
        <v>0</v>
      </c>
      <c r="R12" s="17">
        <f t="shared" si="4"/>
        <v>0</v>
      </c>
    </row>
    <row r="13" spans="1:19" x14ac:dyDescent="0.25">
      <c r="A13" t="s">
        <v>858</v>
      </c>
      <c r="B13" t="s">
        <v>921</v>
      </c>
      <c r="C13">
        <v>1</v>
      </c>
      <c r="D13" s="14" t="s">
        <v>879</v>
      </c>
      <c r="E13">
        <v>30</v>
      </c>
      <c r="F13">
        <v>96.41</v>
      </c>
      <c r="H13" t="str">
        <f>LEFT(B13,3)&amp;"-T"</f>
        <v>110-T</v>
      </c>
      <c r="I13">
        <f t="shared" si="3"/>
        <v>96.41</v>
      </c>
      <c r="J13" s="1">
        <f>DATE(MID(D13,5,4),MID(D13,3,2),LEFT(D13,2))</f>
        <v>42644</v>
      </c>
      <c r="K13" s="1">
        <f>J13+E13</f>
        <v>42674</v>
      </c>
      <c r="L13" s="17">
        <f t="shared" si="2"/>
        <v>0</v>
      </c>
      <c r="M13" s="17">
        <f t="shared" si="2"/>
        <v>0</v>
      </c>
      <c r="N13" s="17">
        <f t="shared" si="2"/>
        <v>0</v>
      </c>
      <c r="O13" s="17">
        <f t="shared" si="2"/>
        <v>0</v>
      </c>
      <c r="P13" s="17">
        <f t="shared" si="2"/>
        <v>0</v>
      </c>
      <c r="Q13" s="17">
        <f t="shared" si="2"/>
        <v>0</v>
      </c>
      <c r="R13" s="17">
        <f t="shared" si="4"/>
        <v>0</v>
      </c>
    </row>
    <row r="14" spans="1:19" x14ac:dyDescent="0.25">
      <c r="A14" t="s">
        <v>858</v>
      </c>
      <c r="B14" t="s">
        <v>921</v>
      </c>
      <c r="C14">
        <v>5</v>
      </c>
      <c r="D14" s="14" t="s">
        <v>878</v>
      </c>
      <c r="E14">
        <v>19</v>
      </c>
      <c r="F14">
        <v>92.85</v>
      </c>
      <c r="H14" t="str">
        <f>LEFT(B14,3)&amp;"-T"</f>
        <v>110-T</v>
      </c>
      <c r="I14">
        <f t="shared" si="3"/>
        <v>92.85</v>
      </c>
      <c r="J14" s="1">
        <f>DATE(MID(D14,5,4),MID(D14,3,2),LEFT(D14,2))</f>
        <v>42461</v>
      </c>
      <c r="K14" s="1">
        <f>J14+E14</f>
        <v>42480</v>
      </c>
      <c r="L14" s="17">
        <f t="shared" si="2"/>
        <v>13.264285714285714</v>
      </c>
      <c r="M14" s="17">
        <f t="shared" si="2"/>
        <v>92.85</v>
      </c>
      <c r="N14" s="17">
        <f t="shared" si="2"/>
        <v>92.85</v>
      </c>
      <c r="O14" s="17">
        <f t="shared" si="2"/>
        <v>66.321428571428569</v>
      </c>
      <c r="P14" s="17">
        <f t="shared" si="2"/>
        <v>0</v>
      </c>
      <c r="Q14" s="17">
        <f t="shared" si="2"/>
        <v>0</v>
      </c>
      <c r="R14" s="17">
        <f t="shared" si="4"/>
        <v>0</v>
      </c>
    </row>
    <row r="15" spans="1:19" x14ac:dyDescent="0.25">
      <c r="A15" t="s">
        <v>859</v>
      </c>
      <c r="B15" s="8" t="s">
        <v>922</v>
      </c>
      <c r="C15">
        <v>1</v>
      </c>
      <c r="D15" s="14" t="s">
        <v>880</v>
      </c>
      <c r="E15">
        <v>21</v>
      </c>
      <c r="F15">
        <v>126.78</v>
      </c>
      <c r="H15" t="str">
        <f>LEFT(B15,3)&amp;"-T"</f>
        <v>174-T</v>
      </c>
      <c r="I15">
        <f t="shared" si="3"/>
        <v>126.78</v>
      </c>
      <c r="J15" s="1">
        <f>DATE(MID(D15,5,4),MID(D15,3,2),LEFT(D15,2))</f>
        <v>42522</v>
      </c>
      <c r="K15" s="1">
        <f>J15+E15</f>
        <v>42543</v>
      </c>
      <c r="L15" s="17">
        <f t="shared" si="2"/>
        <v>0</v>
      </c>
      <c r="M15" s="17">
        <f t="shared" si="2"/>
        <v>0</v>
      </c>
      <c r="N15" s="17">
        <f t="shared" si="2"/>
        <v>0</v>
      </c>
      <c r="O15" s="17">
        <f t="shared" si="2"/>
        <v>0</v>
      </c>
      <c r="P15" s="17">
        <f t="shared" si="2"/>
        <v>0</v>
      </c>
      <c r="Q15" s="17">
        <f t="shared" si="2"/>
        <v>0</v>
      </c>
      <c r="R15" s="17">
        <f t="shared" si="4"/>
        <v>0</v>
      </c>
    </row>
    <row r="16" spans="1:19" x14ac:dyDescent="0.25">
      <c r="A16" t="s">
        <v>859</v>
      </c>
      <c r="B16" s="8" t="s">
        <v>922</v>
      </c>
      <c r="C16">
        <v>1</v>
      </c>
      <c r="D16" s="14" t="s">
        <v>881</v>
      </c>
      <c r="E16">
        <v>13</v>
      </c>
      <c r="F16">
        <v>126.78</v>
      </c>
      <c r="H16" t="str">
        <f>LEFT(B16,3)&amp;"-T"</f>
        <v>174-T</v>
      </c>
      <c r="I16">
        <f t="shared" si="3"/>
        <v>126.78</v>
      </c>
      <c r="J16" s="1">
        <f>DATE(MID(D16,5,4),MID(D16,3,2),LEFT(D16,2))</f>
        <v>42614</v>
      </c>
      <c r="K16" s="1">
        <f>J16+E16</f>
        <v>42627</v>
      </c>
      <c r="L16" s="17">
        <f t="shared" si="2"/>
        <v>0</v>
      </c>
      <c r="M16" s="17">
        <f t="shared" si="2"/>
        <v>0</v>
      </c>
      <c r="N16" s="17">
        <f t="shared" si="2"/>
        <v>0</v>
      </c>
      <c r="O16" s="17">
        <f t="shared" si="2"/>
        <v>0</v>
      </c>
      <c r="P16" s="17">
        <f t="shared" si="2"/>
        <v>0</v>
      </c>
      <c r="Q16" s="17">
        <f t="shared" si="2"/>
        <v>0</v>
      </c>
      <c r="R16" s="17">
        <f t="shared" si="4"/>
        <v>0</v>
      </c>
    </row>
    <row r="17" spans="1:18" x14ac:dyDescent="0.25">
      <c r="A17" t="s">
        <v>860</v>
      </c>
      <c r="B17" t="s">
        <v>923</v>
      </c>
      <c r="C17">
        <v>1</v>
      </c>
      <c r="D17" s="14" t="s">
        <v>878</v>
      </c>
      <c r="E17">
        <v>3</v>
      </c>
      <c r="F17">
        <v>88.24</v>
      </c>
      <c r="H17" t="str">
        <f>LEFT(B17,3)&amp;"-T"</f>
        <v>182-T</v>
      </c>
      <c r="I17">
        <f t="shared" si="3"/>
        <v>88.24</v>
      </c>
      <c r="J17" s="1">
        <f>DATE(MID(D17,5,4),MID(D17,3,2),LEFT(D17,2))</f>
        <v>42461</v>
      </c>
      <c r="K17" s="1">
        <f>J17+E17</f>
        <v>42464</v>
      </c>
      <c r="L17" s="17">
        <f t="shared" si="2"/>
        <v>12.605714285714285</v>
      </c>
      <c r="M17" s="17">
        <f t="shared" si="2"/>
        <v>37.817142857142855</v>
      </c>
      <c r="N17" s="17">
        <f t="shared" si="2"/>
        <v>0</v>
      </c>
      <c r="O17" s="17">
        <f t="shared" si="2"/>
        <v>0</v>
      </c>
      <c r="P17" s="17">
        <f t="shared" si="2"/>
        <v>0</v>
      </c>
      <c r="Q17" s="17">
        <f t="shared" si="2"/>
        <v>0</v>
      </c>
      <c r="R17" s="17">
        <f t="shared" si="4"/>
        <v>0</v>
      </c>
    </row>
    <row r="18" spans="1:18" x14ac:dyDescent="0.25">
      <c r="A18" t="s">
        <v>858</v>
      </c>
      <c r="B18" s="8" t="s">
        <v>924</v>
      </c>
      <c r="C18">
        <v>1</v>
      </c>
      <c r="D18" s="14" t="s">
        <v>882</v>
      </c>
      <c r="E18">
        <v>15</v>
      </c>
      <c r="F18">
        <v>134.25</v>
      </c>
      <c r="H18" t="str">
        <f>LEFT(B18,3)&amp;"-T"</f>
        <v>217-T</v>
      </c>
      <c r="I18">
        <f t="shared" si="3"/>
        <v>134.25</v>
      </c>
      <c r="J18" s="1">
        <f>DATE(MID(D18,5,4),MID(D18,3,2),LEFT(D18,2))</f>
        <v>42491</v>
      </c>
      <c r="K18" s="1">
        <f>J18+E18</f>
        <v>42506</v>
      </c>
      <c r="L18" s="17">
        <f>-1*IF($K18&lt;L$3,0,IF($J18&gt;L$4,0,-1+MAX($J18,L$3)-MIN($K18,L$4)))*$I18/(L$4-L$3+1)</f>
        <v>0</v>
      </c>
      <c r="M18" s="17">
        <f t="shared" si="2"/>
        <v>0</v>
      </c>
      <c r="N18" s="17">
        <f t="shared" si="2"/>
        <v>0</v>
      </c>
      <c r="O18" s="17">
        <f t="shared" si="2"/>
        <v>0</v>
      </c>
      <c r="P18" s="17">
        <f t="shared" si="2"/>
        <v>0</v>
      </c>
      <c r="Q18" s="17">
        <f t="shared" si="2"/>
        <v>0</v>
      </c>
      <c r="R18" s="17">
        <f t="shared" si="4"/>
        <v>69.290322580645167</v>
      </c>
    </row>
    <row r="19" spans="1:18" x14ac:dyDescent="0.25">
      <c r="A19" t="s">
        <v>858</v>
      </c>
      <c r="B19" s="8" t="s">
        <v>924</v>
      </c>
      <c r="C19">
        <v>1</v>
      </c>
      <c r="D19" s="14" t="s">
        <v>883</v>
      </c>
      <c r="E19">
        <v>9</v>
      </c>
      <c r="F19">
        <v>134.25</v>
      </c>
      <c r="H19" t="str">
        <f>LEFT(B19,3)&amp;"-T"</f>
        <v>217-T</v>
      </c>
      <c r="I19">
        <f t="shared" si="3"/>
        <v>134.25</v>
      </c>
      <c r="J19" s="1">
        <f>DATE(MID(D19,5,4),MID(D19,3,2),LEFT(D19,2))</f>
        <v>42645</v>
      </c>
      <c r="K19" s="1">
        <f>J19+E19</f>
        <v>42654</v>
      </c>
      <c r="L19" s="17">
        <f t="shared" si="2"/>
        <v>0</v>
      </c>
      <c r="M19" s="17">
        <f t="shared" si="2"/>
        <v>0</v>
      </c>
      <c r="N19" s="17">
        <f t="shared" si="2"/>
        <v>0</v>
      </c>
      <c r="O19" s="17">
        <f t="shared" si="2"/>
        <v>0</v>
      </c>
      <c r="P19" s="17">
        <f t="shared" si="2"/>
        <v>0</v>
      </c>
      <c r="Q19" s="17">
        <f t="shared" si="2"/>
        <v>0</v>
      </c>
      <c r="R19" s="17">
        <f t="shared" si="4"/>
        <v>0</v>
      </c>
    </row>
    <row r="20" spans="1:18" x14ac:dyDescent="0.25">
      <c r="A20" t="s">
        <v>861</v>
      </c>
      <c r="B20" t="s">
        <v>925</v>
      </c>
      <c r="C20">
        <v>1</v>
      </c>
      <c r="D20" s="14" t="s">
        <v>884</v>
      </c>
      <c r="E20">
        <v>2</v>
      </c>
      <c r="F20">
        <v>73.8</v>
      </c>
      <c r="H20" t="str">
        <f>LEFT(B20,3)&amp;"-T"</f>
        <v>194-T</v>
      </c>
      <c r="I20">
        <f t="shared" si="3"/>
        <v>73.8</v>
      </c>
      <c r="J20" s="1">
        <f>DATE(MID(D20,5,4),MID(D20,3,2),LEFT(D20,2))</f>
        <v>42525</v>
      </c>
      <c r="K20" s="1">
        <f>J20+E20</f>
        <v>42527</v>
      </c>
      <c r="L20" s="17">
        <f t="shared" si="2"/>
        <v>0</v>
      </c>
      <c r="M20" s="17">
        <f t="shared" si="2"/>
        <v>0</v>
      </c>
      <c r="N20" s="17">
        <f t="shared" si="2"/>
        <v>0</v>
      </c>
      <c r="O20" s="17">
        <f t="shared" si="2"/>
        <v>0</v>
      </c>
      <c r="P20" s="17">
        <f t="shared" si="2"/>
        <v>0</v>
      </c>
      <c r="Q20" s="17">
        <f t="shared" si="2"/>
        <v>0</v>
      </c>
      <c r="R20" s="17">
        <f t="shared" si="4"/>
        <v>0</v>
      </c>
    </row>
    <row r="21" spans="1:18" x14ac:dyDescent="0.25">
      <c r="A21" t="s">
        <v>861</v>
      </c>
      <c r="B21" t="s">
        <v>925</v>
      </c>
      <c r="C21">
        <v>1</v>
      </c>
      <c r="D21" s="14" t="s">
        <v>885</v>
      </c>
      <c r="E21">
        <v>1</v>
      </c>
      <c r="F21">
        <v>73.8</v>
      </c>
      <c r="H21" t="str">
        <f>LEFT(B21,3)&amp;"-T"</f>
        <v>194-T</v>
      </c>
      <c r="I21">
        <f t="shared" si="3"/>
        <v>73.8</v>
      </c>
      <c r="J21" s="1">
        <f>DATE(MID(D21,5,4),MID(D21,3,2),LEFT(D21,2))</f>
        <v>42621</v>
      </c>
      <c r="K21" s="1">
        <f>J21+E21</f>
        <v>42622</v>
      </c>
      <c r="L21" s="17">
        <f t="shared" ref="L21:Q36" si="5">-1*IF($K21&lt;L$3,0,IF($J21&gt;L$4,0,-1+MAX($J21,L$3)-MIN($K21,L$4)))*$I21/(L$4-L$3+1)</f>
        <v>0</v>
      </c>
      <c r="M21" s="17">
        <f t="shared" si="5"/>
        <v>0</v>
      </c>
      <c r="N21" s="17">
        <f t="shared" si="5"/>
        <v>0</v>
      </c>
      <c r="O21" s="17">
        <f t="shared" si="5"/>
        <v>0</v>
      </c>
      <c r="P21" s="17">
        <f t="shared" si="5"/>
        <v>0</v>
      </c>
      <c r="Q21" s="17">
        <f t="shared" si="5"/>
        <v>0</v>
      </c>
      <c r="R21" s="17">
        <f t="shared" si="4"/>
        <v>0</v>
      </c>
    </row>
    <row r="22" spans="1:18" x14ac:dyDescent="0.25">
      <c r="A22" t="s">
        <v>861</v>
      </c>
      <c r="B22" t="s">
        <v>925</v>
      </c>
      <c r="C22">
        <v>1</v>
      </c>
      <c r="D22" s="14" t="s">
        <v>886</v>
      </c>
      <c r="E22">
        <v>1</v>
      </c>
      <c r="F22">
        <v>73.8</v>
      </c>
      <c r="H22" t="str">
        <f>LEFT(B22,3)&amp;"-T"</f>
        <v>194-T</v>
      </c>
      <c r="I22">
        <f t="shared" si="3"/>
        <v>73.8</v>
      </c>
      <c r="J22" s="1">
        <f>DATE(MID(D22,5,4),MID(D22,3,2),LEFT(D22,2))</f>
        <v>42714</v>
      </c>
      <c r="K22" s="1">
        <f>J22+E22</f>
        <v>42715</v>
      </c>
      <c r="L22" s="17">
        <f t="shared" si="5"/>
        <v>0</v>
      </c>
      <c r="M22" s="17">
        <f t="shared" si="5"/>
        <v>0</v>
      </c>
      <c r="N22" s="17">
        <f t="shared" si="5"/>
        <v>0</v>
      </c>
      <c r="O22" s="17">
        <f t="shared" si="5"/>
        <v>0</v>
      </c>
      <c r="P22" s="17">
        <f t="shared" si="5"/>
        <v>0</v>
      </c>
      <c r="Q22" s="17">
        <f t="shared" si="5"/>
        <v>0</v>
      </c>
      <c r="R22" s="17">
        <f t="shared" si="4"/>
        <v>0</v>
      </c>
    </row>
    <row r="23" spans="1:18" x14ac:dyDescent="0.25">
      <c r="A23" t="s">
        <v>861</v>
      </c>
      <c r="B23" t="s">
        <v>925</v>
      </c>
      <c r="C23">
        <v>2</v>
      </c>
      <c r="D23" s="14" t="s">
        <v>887</v>
      </c>
      <c r="E23">
        <v>1</v>
      </c>
      <c r="F23">
        <v>73.8</v>
      </c>
      <c r="H23" t="str">
        <f>LEFT(B23,3)&amp;"-T"</f>
        <v>194-T</v>
      </c>
      <c r="I23">
        <f t="shared" si="3"/>
        <v>73.8</v>
      </c>
      <c r="J23" s="1">
        <f>DATE(MID(D23,5,4),MID(D23,3,2),LEFT(D23,2))</f>
        <v>42546</v>
      </c>
      <c r="K23" s="1">
        <f>J23+E23</f>
        <v>42547</v>
      </c>
      <c r="L23" s="17">
        <f t="shared" si="5"/>
        <v>0</v>
      </c>
      <c r="M23" s="17">
        <f t="shared" si="5"/>
        <v>0</v>
      </c>
      <c r="N23" s="17">
        <f t="shared" si="5"/>
        <v>0</v>
      </c>
      <c r="O23" s="17">
        <f t="shared" si="5"/>
        <v>0</v>
      </c>
      <c r="P23" s="17">
        <f t="shared" si="5"/>
        <v>0</v>
      </c>
      <c r="Q23" s="17">
        <f t="shared" si="5"/>
        <v>0</v>
      </c>
      <c r="R23" s="17">
        <f t="shared" si="4"/>
        <v>0</v>
      </c>
    </row>
    <row r="24" spans="1:18" x14ac:dyDescent="0.25">
      <c r="A24" t="s">
        <v>861</v>
      </c>
      <c r="B24" t="s">
        <v>925</v>
      </c>
      <c r="C24">
        <v>2</v>
      </c>
      <c r="D24" s="14" t="s">
        <v>888</v>
      </c>
      <c r="E24">
        <v>1</v>
      </c>
      <c r="F24">
        <v>73.8</v>
      </c>
      <c r="H24" t="str">
        <f>LEFT(B24,3)&amp;"-T"</f>
        <v>194-T</v>
      </c>
      <c r="I24">
        <f t="shared" si="3"/>
        <v>73.8</v>
      </c>
      <c r="J24" s="1">
        <f>DATE(MID(D24,5,4),MID(D24,3,2),LEFT(D24,2))</f>
        <v>42623</v>
      </c>
      <c r="K24" s="1">
        <f>J24+E24</f>
        <v>42624</v>
      </c>
      <c r="L24" s="17">
        <f t="shared" si="5"/>
        <v>0</v>
      </c>
      <c r="M24" s="17">
        <f t="shared" si="5"/>
        <v>0</v>
      </c>
      <c r="N24" s="17">
        <f t="shared" si="5"/>
        <v>0</v>
      </c>
      <c r="O24" s="17">
        <f t="shared" si="5"/>
        <v>0</v>
      </c>
      <c r="P24" s="17">
        <f t="shared" si="5"/>
        <v>0</v>
      </c>
      <c r="Q24" s="17">
        <f t="shared" si="5"/>
        <v>0</v>
      </c>
      <c r="R24" s="17">
        <f t="shared" si="4"/>
        <v>0</v>
      </c>
    </row>
    <row r="25" spans="1:18" x14ac:dyDescent="0.25">
      <c r="A25" t="s">
        <v>861</v>
      </c>
      <c r="B25" t="s">
        <v>925</v>
      </c>
      <c r="C25">
        <v>2</v>
      </c>
      <c r="D25" s="14" t="s">
        <v>889</v>
      </c>
      <c r="E25">
        <v>2</v>
      </c>
      <c r="F25">
        <v>73.8</v>
      </c>
      <c r="H25" t="str">
        <f>LEFT(B25,3)&amp;"-T"</f>
        <v>194-T</v>
      </c>
      <c r="I25">
        <f t="shared" si="3"/>
        <v>73.8</v>
      </c>
      <c r="J25" s="1">
        <f>DATE(MID(D25,5,4),MID(D25,3,2),LEFT(D25,2))</f>
        <v>42721</v>
      </c>
      <c r="K25" s="1">
        <f>J25+E25</f>
        <v>42723</v>
      </c>
      <c r="L25" s="17">
        <f t="shared" si="5"/>
        <v>0</v>
      </c>
      <c r="M25" s="17">
        <f t="shared" si="5"/>
        <v>0</v>
      </c>
      <c r="N25" s="17">
        <f t="shared" si="5"/>
        <v>0</v>
      </c>
      <c r="O25" s="17">
        <f t="shared" si="5"/>
        <v>0</v>
      </c>
      <c r="P25" s="17">
        <f t="shared" si="5"/>
        <v>0</v>
      </c>
      <c r="Q25" s="17">
        <f t="shared" si="5"/>
        <v>0</v>
      </c>
      <c r="R25" s="17">
        <f t="shared" si="4"/>
        <v>0</v>
      </c>
    </row>
    <row r="26" spans="1:18" x14ac:dyDescent="0.25">
      <c r="A26" t="s">
        <v>861</v>
      </c>
      <c r="B26" t="s">
        <v>925</v>
      </c>
      <c r="C26">
        <v>3</v>
      </c>
      <c r="D26" s="14" t="s">
        <v>890</v>
      </c>
      <c r="E26">
        <v>23</v>
      </c>
      <c r="F26">
        <v>73.8</v>
      </c>
      <c r="H26" t="str">
        <f>LEFT(B26,3)&amp;"-T"</f>
        <v>194-T</v>
      </c>
      <c r="I26">
        <f t="shared" si="3"/>
        <v>73.8</v>
      </c>
      <c r="J26" s="1">
        <f>DATE(MID(D26,5,4),MID(D26,3,2),LEFT(D26,2))</f>
        <v>42570</v>
      </c>
      <c r="K26" s="1">
        <f>J26+E26</f>
        <v>42593</v>
      </c>
      <c r="L26" s="17">
        <f t="shared" si="5"/>
        <v>0</v>
      </c>
      <c r="M26" s="17">
        <f t="shared" si="5"/>
        <v>0</v>
      </c>
      <c r="N26" s="17">
        <f t="shared" si="5"/>
        <v>0</v>
      </c>
      <c r="O26" s="17">
        <f t="shared" si="5"/>
        <v>0</v>
      </c>
      <c r="P26" s="17">
        <f t="shared" si="5"/>
        <v>0</v>
      </c>
      <c r="Q26" s="17">
        <f t="shared" si="5"/>
        <v>0</v>
      </c>
      <c r="R26" s="17">
        <f t="shared" si="4"/>
        <v>0</v>
      </c>
    </row>
    <row r="27" spans="1:18" x14ac:dyDescent="0.25">
      <c r="A27" t="s">
        <v>861</v>
      </c>
      <c r="B27" t="s">
        <v>925</v>
      </c>
      <c r="C27">
        <v>3</v>
      </c>
      <c r="D27" s="14" t="s">
        <v>891</v>
      </c>
      <c r="E27">
        <v>1</v>
      </c>
      <c r="F27">
        <v>73.8</v>
      </c>
      <c r="H27" t="str">
        <f>LEFT(B27,3)&amp;"-T"</f>
        <v>194-T</v>
      </c>
      <c r="I27">
        <f t="shared" si="3"/>
        <v>73.8</v>
      </c>
      <c r="J27" s="1">
        <f>DATE(MID(D27,5,4),MID(D27,3,2),LEFT(D27,2))</f>
        <v>42686</v>
      </c>
      <c r="K27" s="1">
        <f>J27+E27</f>
        <v>42687</v>
      </c>
      <c r="L27" s="17">
        <f t="shared" si="5"/>
        <v>0</v>
      </c>
      <c r="M27" s="17">
        <f t="shared" si="5"/>
        <v>0</v>
      </c>
      <c r="N27" s="17">
        <f t="shared" si="5"/>
        <v>0</v>
      </c>
      <c r="O27" s="17">
        <f t="shared" si="5"/>
        <v>0</v>
      </c>
      <c r="P27" s="17">
        <f t="shared" si="5"/>
        <v>0</v>
      </c>
      <c r="Q27" s="17">
        <f t="shared" si="5"/>
        <v>0</v>
      </c>
      <c r="R27" s="17">
        <f t="shared" si="4"/>
        <v>0</v>
      </c>
    </row>
    <row r="28" spans="1:18" x14ac:dyDescent="0.25">
      <c r="A28" t="s">
        <v>861</v>
      </c>
      <c r="B28" s="8" t="s">
        <v>925</v>
      </c>
      <c r="C28">
        <v>4</v>
      </c>
      <c r="D28" s="14" t="s">
        <v>892</v>
      </c>
      <c r="E28">
        <v>44</v>
      </c>
      <c r="F28">
        <v>118.6</v>
      </c>
      <c r="H28" t="str">
        <f>LEFT(B28,3)&amp;"-T"</f>
        <v>194-T</v>
      </c>
      <c r="I28">
        <f t="shared" si="3"/>
        <v>118.6</v>
      </c>
      <c r="J28" s="1">
        <f>DATE(MID(D28,5,4),MID(D28,3,2),LEFT(D28,2))</f>
        <v>42632</v>
      </c>
      <c r="K28" s="1">
        <f>J28+E28</f>
        <v>42676</v>
      </c>
      <c r="L28" s="17">
        <f t="shared" si="5"/>
        <v>0</v>
      </c>
      <c r="M28" s="17">
        <f t="shared" si="5"/>
        <v>0</v>
      </c>
      <c r="N28" s="17">
        <f t="shared" si="5"/>
        <v>0</v>
      </c>
      <c r="O28" s="17">
        <f t="shared" si="5"/>
        <v>0</v>
      </c>
      <c r="P28" s="17">
        <f t="shared" si="5"/>
        <v>0</v>
      </c>
      <c r="Q28" s="17">
        <f t="shared" si="5"/>
        <v>0</v>
      </c>
      <c r="R28" s="17">
        <f t="shared" si="4"/>
        <v>0</v>
      </c>
    </row>
    <row r="29" spans="1:18" x14ac:dyDescent="0.25">
      <c r="A29" t="s">
        <v>858</v>
      </c>
      <c r="B29" s="8" t="s">
        <v>926</v>
      </c>
      <c r="C29">
        <v>1</v>
      </c>
      <c r="D29" s="14" t="s">
        <v>878</v>
      </c>
      <c r="E29">
        <v>5</v>
      </c>
      <c r="F29">
        <v>739.88</v>
      </c>
      <c r="H29" t="str">
        <f>LEFT(B29,3)&amp;"-T"</f>
        <v>215-T</v>
      </c>
      <c r="I29">
        <f t="shared" si="3"/>
        <v>739.88</v>
      </c>
      <c r="J29" s="1">
        <f>DATE(MID(D29,5,4),MID(D29,3,2),LEFT(D29,2))</f>
        <v>42461</v>
      </c>
      <c r="K29" s="1">
        <f>J29+E29</f>
        <v>42466</v>
      </c>
      <c r="L29" s="17">
        <f t="shared" si="5"/>
        <v>105.69714285714285</v>
      </c>
      <c r="M29" s="17">
        <f t="shared" si="5"/>
        <v>528.48571428571427</v>
      </c>
      <c r="N29" s="17">
        <f t="shared" si="5"/>
        <v>0</v>
      </c>
      <c r="O29" s="17">
        <f t="shared" si="5"/>
        <v>0</v>
      </c>
      <c r="P29" s="17">
        <f t="shared" si="5"/>
        <v>0</v>
      </c>
      <c r="Q29" s="17">
        <f t="shared" si="5"/>
        <v>0</v>
      </c>
      <c r="R29" s="17">
        <f t="shared" si="4"/>
        <v>0</v>
      </c>
    </row>
    <row r="30" spans="1:18" x14ac:dyDescent="0.25">
      <c r="A30" t="s">
        <v>858</v>
      </c>
      <c r="B30" s="8" t="s">
        <v>926</v>
      </c>
      <c r="C30">
        <v>1</v>
      </c>
      <c r="D30" s="14" t="s">
        <v>893</v>
      </c>
      <c r="E30">
        <v>9</v>
      </c>
      <c r="F30">
        <v>739.88</v>
      </c>
      <c r="H30" t="str">
        <f>LEFT(B30,3)&amp;"-T"</f>
        <v>215-T</v>
      </c>
      <c r="I30">
        <f t="shared" si="3"/>
        <v>739.88</v>
      </c>
      <c r="J30" s="1">
        <f>DATE(MID(D30,5,4),MID(D30,3,2),LEFT(D30,2))</f>
        <v>42492</v>
      </c>
      <c r="K30" s="1">
        <f>J30+E30</f>
        <v>42501</v>
      </c>
      <c r="L30" s="17">
        <f t="shared" si="5"/>
        <v>0</v>
      </c>
      <c r="M30" s="17">
        <f t="shared" si="5"/>
        <v>0</v>
      </c>
      <c r="N30" s="17">
        <f t="shared" si="5"/>
        <v>0</v>
      </c>
      <c r="O30" s="17">
        <f t="shared" si="5"/>
        <v>0</v>
      </c>
      <c r="P30" s="17">
        <f t="shared" si="5"/>
        <v>0</v>
      </c>
      <c r="Q30" s="17">
        <f t="shared" si="5"/>
        <v>0</v>
      </c>
      <c r="R30" s="17">
        <f t="shared" si="4"/>
        <v>238.6709677419355</v>
      </c>
    </row>
    <row r="31" spans="1:18" x14ac:dyDescent="0.25">
      <c r="A31" t="s">
        <v>862</v>
      </c>
      <c r="B31" t="s">
        <v>927</v>
      </c>
      <c r="C31">
        <v>1</v>
      </c>
      <c r="D31" s="14" t="s">
        <v>878</v>
      </c>
      <c r="E31">
        <v>5</v>
      </c>
      <c r="F31">
        <v>50.6</v>
      </c>
      <c r="H31" t="str">
        <f>LEFT(B31,3)&amp;"-T"</f>
        <v xml:space="preserve"> 34-T</v>
      </c>
      <c r="I31">
        <f t="shared" si="3"/>
        <v>50.6</v>
      </c>
      <c r="J31" s="1">
        <f>DATE(MID(D31,5,4),MID(D31,3,2),LEFT(D31,2))</f>
        <v>42461</v>
      </c>
      <c r="K31" s="1">
        <f>J31+E31</f>
        <v>42466</v>
      </c>
      <c r="L31" s="17">
        <f t="shared" si="5"/>
        <v>7.2285714285714286</v>
      </c>
      <c r="M31" s="17">
        <f t="shared" si="5"/>
        <v>36.142857142857146</v>
      </c>
      <c r="N31" s="17">
        <f t="shared" si="5"/>
        <v>0</v>
      </c>
      <c r="O31" s="17">
        <f t="shared" si="5"/>
        <v>0</v>
      </c>
      <c r="P31" s="17">
        <f t="shared" si="5"/>
        <v>0</v>
      </c>
      <c r="Q31" s="17">
        <f t="shared" si="5"/>
        <v>0</v>
      </c>
      <c r="R31" s="17">
        <f t="shared" si="4"/>
        <v>0</v>
      </c>
    </row>
    <row r="32" spans="1:18" x14ac:dyDescent="0.25">
      <c r="A32" t="s">
        <v>862</v>
      </c>
      <c r="B32" t="s">
        <v>927</v>
      </c>
      <c r="C32">
        <v>1</v>
      </c>
      <c r="D32" s="14" t="s">
        <v>894</v>
      </c>
      <c r="E32">
        <v>20</v>
      </c>
      <c r="F32">
        <v>50.6</v>
      </c>
      <c r="H32" t="str">
        <f>LEFT(B32,3)&amp;"-T"</f>
        <v xml:space="preserve"> 34-T</v>
      </c>
      <c r="I32">
        <f t="shared" si="3"/>
        <v>50.6</v>
      </c>
      <c r="J32" s="1">
        <f>DATE(MID(D32,5,4),MID(D32,3,2),LEFT(D32,2))</f>
        <v>42547</v>
      </c>
      <c r="K32" s="1">
        <f>J32+E32</f>
        <v>42567</v>
      </c>
      <c r="L32" s="17">
        <f t="shared" si="5"/>
        <v>0</v>
      </c>
      <c r="M32" s="17">
        <f t="shared" si="5"/>
        <v>0</v>
      </c>
      <c r="N32" s="17">
        <f t="shared" si="5"/>
        <v>0</v>
      </c>
      <c r="O32" s="17">
        <f t="shared" si="5"/>
        <v>0</v>
      </c>
      <c r="P32" s="17">
        <f t="shared" si="5"/>
        <v>0</v>
      </c>
      <c r="Q32" s="17">
        <f t="shared" si="5"/>
        <v>0</v>
      </c>
      <c r="R32" s="17">
        <f t="shared" si="4"/>
        <v>0</v>
      </c>
    </row>
    <row r="33" spans="1:18" x14ac:dyDescent="0.25">
      <c r="A33" t="s">
        <v>862</v>
      </c>
      <c r="B33" t="s">
        <v>927</v>
      </c>
      <c r="C33">
        <v>2</v>
      </c>
      <c r="D33" s="14" t="s">
        <v>895</v>
      </c>
      <c r="E33">
        <v>20</v>
      </c>
      <c r="F33">
        <v>49</v>
      </c>
      <c r="H33" t="str">
        <f>LEFT(B33,3)&amp;"-T"</f>
        <v xml:space="preserve"> 34-T</v>
      </c>
      <c r="I33">
        <f t="shared" si="3"/>
        <v>49</v>
      </c>
      <c r="J33" s="1">
        <f>DATE(MID(D33,5,4),MID(D33,3,2),LEFT(D33,2))</f>
        <v>42689</v>
      </c>
      <c r="K33" s="1">
        <f>J33+E33</f>
        <v>42709</v>
      </c>
      <c r="L33" s="17">
        <f t="shared" si="5"/>
        <v>0</v>
      </c>
      <c r="M33" s="17">
        <f t="shared" si="5"/>
        <v>0</v>
      </c>
      <c r="N33" s="17">
        <f t="shared" si="5"/>
        <v>0</v>
      </c>
      <c r="O33" s="17">
        <f t="shared" si="5"/>
        <v>0</v>
      </c>
      <c r="P33" s="17">
        <f t="shared" si="5"/>
        <v>0</v>
      </c>
      <c r="Q33" s="17">
        <f t="shared" si="5"/>
        <v>0</v>
      </c>
      <c r="R33" s="17">
        <f t="shared" si="4"/>
        <v>0</v>
      </c>
    </row>
    <row r="34" spans="1:18" x14ac:dyDescent="0.25">
      <c r="A34" t="s">
        <v>862</v>
      </c>
      <c r="B34" t="s">
        <v>927</v>
      </c>
      <c r="C34">
        <v>4</v>
      </c>
      <c r="D34" s="14" t="s">
        <v>880</v>
      </c>
      <c r="E34">
        <v>23</v>
      </c>
      <c r="F34">
        <v>37</v>
      </c>
      <c r="H34" t="str">
        <f>LEFT(B34,3)&amp;"-T"</f>
        <v xml:space="preserve"> 34-T</v>
      </c>
      <c r="I34">
        <f t="shared" si="3"/>
        <v>37</v>
      </c>
      <c r="J34" s="1">
        <f>DATE(MID(D34,5,4),MID(D34,3,2),LEFT(D34,2))</f>
        <v>42522</v>
      </c>
      <c r="K34" s="1">
        <f>J34+E34</f>
        <v>42545</v>
      </c>
      <c r="L34" s="17">
        <f t="shared" si="5"/>
        <v>0</v>
      </c>
      <c r="M34" s="17">
        <f t="shared" si="5"/>
        <v>0</v>
      </c>
      <c r="N34" s="17">
        <f t="shared" si="5"/>
        <v>0</v>
      </c>
      <c r="O34" s="17">
        <f t="shared" si="5"/>
        <v>0</v>
      </c>
      <c r="P34" s="17">
        <f t="shared" si="5"/>
        <v>0</v>
      </c>
      <c r="Q34" s="17">
        <f t="shared" si="5"/>
        <v>0</v>
      </c>
      <c r="R34" s="17">
        <f t="shared" si="4"/>
        <v>0</v>
      </c>
    </row>
    <row r="35" spans="1:18" x14ac:dyDescent="0.25">
      <c r="A35" t="s">
        <v>863</v>
      </c>
      <c r="B35" s="8" t="s">
        <v>928</v>
      </c>
      <c r="C35">
        <v>1</v>
      </c>
      <c r="D35" s="14" t="s">
        <v>879</v>
      </c>
      <c r="E35">
        <v>31</v>
      </c>
      <c r="F35">
        <v>350</v>
      </c>
      <c r="H35" t="str">
        <f>LEFT(B35,3)&amp;"-T"</f>
        <v>156-T</v>
      </c>
      <c r="I35">
        <f t="shared" si="3"/>
        <v>350</v>
      </c>
      <c r="J35" s="1">
        <f>DATE(MID(D35,5,4),MID(D35,3,2),LEFT(D35,2))</f>
        <v>42644</v>
      </c>
      <c r="K35" s="1">
        <f>J35+E35</f>
        <v>42675</v>
      </c>
      <c r="L35" s="17">
        <f t="shared" si="5"/>
        <v>0</v>
      </c>
      <c r="M35" s="17">
        <f t="shared" si="5"/>
        <v>0</v>
      </c>
      <c r="N35" s="17">
        <f t="shared" si="5"/>
        <v>0</v>
      </c>
      <c r="O35" s="17">
        <f t="shared" si="5"/>
        <v>0</v>
      </c>
      <c r="P35" s="17">
        <f t="shared" si="5"/>
        <v>0</v>
      </c>
      <c r="Q35" s="17">
        <f t="shared" si="5"/>
        <v>0</v>
      </c>
      <c r="R35" s="17">
        <f t="shared" si="4"/>
        <v>0</v>
      </c>
    </row>
    <row r="36" spans="1:18" x14ac:dyDescent="0.25">
      <c r="A36" t="s">
        <v>858</v>
      </c>
      <c r="B36" s="8" t="s">
        <v>929</v>
      </c>
      <c r="C36">
        <v>1</v>
      </c>
      <c r="D36" s="14" t="s">
        <v>879</v>
      </c>
      <c r="E36">
        <v>3</v>
      </c>
      <c r="F36">
        <v>160.57</v>
      </c>
      <c r="H36" t="str">
        <f>LEFT(B36,3)&amp;"-T"</f>
        <v xml:space="preserve"> 64-T</v>
      </c>
      <c r="I36">
        <f t="shared" si="3"/>
        <v>160.57</v>
      </c>
      <c r="J36" s="1">
        <f>DATE(MID(D36,5,4),MID(D36,3,2),LEFT(D36,2))</f>
        <v>42644</v>
      </c>
      <c r="K36" s="1">
        <f>J36+E36</f>
        <v>42647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4"/>
        <v>0</v>
      </c>
    </row>
    <row r="37" spans="1:18" x14ac:dyDescent="0.25">
      <c r="A37" t="s">
        <v>862</v>
      </c>
      <c r="B37" t="s">
        <v>930</v>
      </c>
      <c r="C37">
        <v>1</v>
      </c>
      <c r="D37" s="14" t="s">
        <v>893</v>
      </c>
      <c r="E37">
        <v>53</v>
      </c>
      <c r="F37">
        <v>18</v>
      </c>
      <c r="H37" t="str">
        <f>LEFT(B37,3)&amp;"-T"</f>
        <v xml:space="preserve"> 29-T</v>
      </c>
      <c r="I37">
        <f t="shared" si="3"/>
        <v>18</v>
      </c>
      <c r="J37" s="1">
        <f>DATE(MID(D37,5,4),MID(D37,3,2),LEFT(D37,2))</f>
        <v>42492</v>
      </c>
      <c r="K37" s="1">
        <f>J37+E37</f>
        <v>42545</v>
      </c>
      <c r="L37" s="17">
        <f t="shared" ref="L37:Q52" si="6">-1*IF($K37&lt;L$3,0,IF($J37&gt;L$4,0,-1+MAX($J37,L$3)-MIN($K37,L$4)))*$I37/(L$4-L$3+1)</f>
        <v>0</v>
      </c>
      <c r="M37" s="17">
        <f t="shared" si="6"/>
        <v>0</v>
      </c>
      <c r="N37" s="17">
        <f t="shared" si="6"/>
        <v>0</v>
      </c>
      <c r="O37" s="17">
        <f t="shared" si="6"/>
        <v>0</v>
      </c>
      <c r="P37" s="17">
        <f t="shared" si="6"/>
        <v>0</v>
      </c>
      <c r="Q37" s="17">
        <f t="shared" si="6"/>
        <v>0</v>
      </c>
      <c r="R37" s="17">
        <f t="shared" si="4"/>
        <v>17.419354838709676</v>
      </c>
    </row>
    <row r="38" spans="1:18" x14ac:dyDescent="0.25">
      <c r="A38" t="s">
        <v>862</v>
      </c>
      <c r="B38" t="s">
        <v>930</v>
      </c>
      <c r="C38">
        <v>2</v>
      </c>
      <c r="D38" s="14" t="s">
        <v>880</v>
      </c>
      <c r="E38">
        <v>51</v>
      </c>
      <c r="F38">
        <v>18</v>
      </c>
      <c r="H38" t="str">
        <f>LEFT(B38,3)&amp;"-T"</f>
        <v xml:space="preserve"> 29-T</v>
      </c>
      <c r="I38">
        <f t="shared" si="3"/>
        <v>18</v>
      </c>
      <c r="J38" s="1">
        <f>DATE(MID(D38,5,4),MID(D38,3,2),LEFT(D38,2))</f>
        <v>42522</v>
      </c>
      <c r="K38" s="1">
        <f>J38+E38</f>
        <v>42573</v>
      </c>
      <c r="L38" s="17">
        <f t="shared" si="6"/>
        <v>0</v>
      </c>
      <c r="M38" s="17">
        <f t="shared" si="6"/>
        <v>0</v>
      </c>
      <c r="N38" s="17">
        <f t="shared" si="6"/>
        <v>0</v>
      </c>
      <c r="O38" s="17">
        <f t="shared" si="6"/>
        <v>0</v>
      </c>
      <c r="P38" s="17">
        <f t="shared" si="6"/>
        <v>0</v>
      </c>
      <c r="Q38" s="17">
        <f t="shared" si="6"/>
        <v>0</v>
      </c>
      <c r="R38" s="17">
        <f t="shared" si="4"/>
        <v>0</v>
      </c>
    </row>
    <row r="39" spans="1:18" x14ac:dyDescent="0.25">
      <c r="A39" t="s">
        <v>864</v>
      </c>
      <c r="B39" t="s">
        <v>931</v>
      </c>
      <c r="C39">
        <v>1</v>
      </c>
      <c r="D39" s="14" t="s">
        <v>896</v>
      </c>
      <c r="E39">
        <v>92</v>
      </c>
      <c r="F39">
        <v>10</v>
      </c>
      <c r="H39" t="str">
        <f>LEFT(B39,3)&amp;"-T"</f>
        <v xml:space="preserve"> 28-T</v>
      </c>
      <c r="I39">
        <f t="shared" si="3"/>
        <v>10</v>
      </c>
      <c r="J39" s="1">
        <f>DATE(MID(D39,5,4),MID(D39,3,2),LEFT(D39,2))</f>
        <v>42552</v>
      </c>
      <c r="K39" s="1">
        <f>J39+E39</f>
        <v>42644</v>
      </c>
      <c r="L39" s="17">
        <f t="shared" si="6"/>
        <v>0</v>
      </c>
      <c r="M39" s="17">
        <f t="shared" si="6"/>
        <v>0</v>
      </c>
      <c r="N39" s="17">
        <f t="shared" si="6"/>
        <v>0</v>
      </c>
      <c r="O39" s="17">
        <f t="shared" si="6"/>
        <v>0</v>
      </c>
      <c r="P39" s="17">
        <f t="shared" si="6"/>
        <v>0</v>
      </c>
      <c r="Q39" s="17">
        <f t="shared" si="6"/>
        <v>0</v>
      </c>
      <c r="R39" s="17">
        <f t="shared" si="4"/>
        <v>0</v>
      </c>
    </row>
    <row r="40" spans="1:18" x14ac:dyDescent="0.25">
      <c r="A40" t="s">
        <v>864</v>
      </c>
      <c r="B40" t="s">
        <v>931</v>
      </c>
      <c r="C40">
        <v>2</v>
      </c>
      <c r="D40" s="14" t="s">
        <v>896</v>
      </c>
      <c r="E40">
        <v>92</v>
      </c>
      <c r="F40">
        <v>10</v>
      </c>
      <c r="H40" t="str">
        <f>LEFT(B40,3)&amp;"-T"</f>
        <v xml:space="preserve"> 28-T</v>
      </c>
      <c r="I40">
        <f t="shared" si="3"/>
        <v>10</v>
      </c>
      <c r="J40" s="1">
        <f>DATE(MID(D40,5,4),MID(D40,3,2),LEFT(D40,2))</f>
        <v>42552</v>
      </c>
      <c r="K40" s="1">
        <f>J40+E40</f>
        <v>42644</v>
      </c>
      <c r="L40" s="17">
        <f t="shared" si="6"/>
        <v>0</v>
      </c>
      <c r="M40" s="17">
        <f t="shared" si="6"/>
        <v>0</v>
      </c>
      <c r="N40" s="17">
        <f t="shared" si="6"/>
        <v>0</v>
      </c>
      <c r="O40" s="17">
        <f t="shared" si="6"/>
        <v>0</v>
      </c>
      <c r="P40" s="17">
        <f t="shared" si="6"/>
        <v>0</v>
      </c>
      <c r="Q40" s="17">
        <f t="shared" si="6"/>
        <v>0</v>
      </c>
      <c r="R40" s="17">
        <f t="shared" si="4"/>
        <v>0</v>
      </c>
    </row>
    <row r="41" spans="1:18" x14ac:dyDescent="0.25">
      <c r="A41" t="s">
        <v>862</v>
      </c>
      <c r="B41" t="s">
        <v>932</v>
      </c>
      <c r="C41">
        <v>1</v>
      </c>
      <c r="D41" s="14" t="s">
        <v>897</v>
      </c>
      <c r="E41">
        <v>6</v>
      </c>
      <c r="F41">
        <v>50</v>
      </c>
      <c r="H41" t="str">
        <f>LEFT(B41,3)&amp;"-T"</f>
        <v xml:space="preserve"> 26-T</v>
      </c>
      <c r="I41">
        <f t="shared" si="3"/>
        <v>50</v>
      </c>
      <c r="J41" s="1">
        <f>DATE(MID(D41,5,4),MID(D41,3,2),LEFT(D41,2))</f>
        <v>42463</v>
      </c>
      <c r="K41" s="1">
        <f>J41+E41</f>
        <v>42469</v>
      </c>
      <c r="L41" s="17">
        <f t="shared" si="6"/>
        <v>0</v>
      </c>
      <c r="M41" s="17">
        <f t="shared" si="6"/>
        <v>42.857142857142854</v>
      </c>
      <c r="N41" s="17">
        <f t="shared" si="6"/>
        <v>7.1428571428571432</v>
      </c>
      <c r="O41" s="17">
        <f t="shared" si="6"/>
        <v>0</v>
      </c>
      <c r="P41" s="17">
        <f t="shared" si="6"/>
        <v>0</v>
      </c>
      <c r="Q41" s="17">
        <f t="shared" si="6"/>
        <v>0</v>
      </c>
      <c r="R41" s="17">
        <f t="shared" si="4"/>
        <v>0</v>
      </c>
    </row>
    <row r="42" spans="1:18" x14ac:dyDescent="0.25">
      <c r="A42" t="s">
        <v>862</v>
      </c>
      <c r="B42" t="s">
        <v>932</v>
      </c>
      <c r="C42">
        <v>1</v>
      </c>
      <c r="D42" s="14" t="s">
        <v>874</v>
      </c>
      <c r="E42">
        <v>52</v>
      </c>
      <c r="F42">
        <v>50</v>
      </c>
      <c r="H42" t="str">
        <f>LEFT(B42,3)&amp;"-T"</f>
        <v xml:space="preserve"> 26-T</v>
      </c>
      <c r="I42">
        <f t="shared" si="3"/>
        <v>50</v>
      </c>
      <c r="J42" s="1">
        <f>DATE(MID(D42,5,4),MID(D42,3,2),LEFT(D42,2))</f>
        <v>42675</v>
      </c>
      <c r="K42" s="1">
        <f>J42+E42</f>
        <v>42727</v>
      </c>
      <c r="L42" s="17">
        <f t="shared" si="6"/>
        <v>0</v>
      </c>
      <c r="M42" s="17">
        <f t="shared" si="6"/>
        <v>0</v>
      </c>
      <c r="N42" s="17">
        <f t="shared" si="6"/>
        <v>0</v>
      </c>
      <c r="O42" s="17">
        <f t="shared" si="6"/>
        <v>0</v>
      </c>
      <c r="P42" s="17">
        <f t="shared" si="6"/>
        <v>0</v>
      </c>
      <c r="Q42" s="17">
        <f t="shared" si="6"/>
        <v>0</v>
      </c>
      <c r="R42" s="17">
        <f t="shared" si="4"/>
        <v>0</v>
      </c>
    </row>
    <row r="43" spans="1:18" x14ac:dyDescent="0.25">
      <c r="A43" t="s">
        <v>862</v>
      </c>
      <c r="B43" t="s">
        <v>932</v>
      </c>
      <c r="C43">
        <v>2</v>
      </c>
      <c r="D43" s="14" t="s">
        <v>878</v>
      </c>
      <c r="E43">
        <v>100</v>
      </c>
      <c r="F43">
        <v>50</v>
      </c>
      <c r="H43" t="str">
        <f>LEFT(B43,3)&amp;"-T"</f>
        <v xml:space="preserve"> 26-T</v>
      </c>
      <c r="I43">
        <f t="shared" si="3"/>
        <v>50</v>
      </c>
      <c r="J43" s="1">
        <f>DATE(MID(D43,5,4),MID(D43,3,2),LEFT(D43,2))</f>
        <v>42461</v>
      </c>
      <c r="K43" s="1">
        <f>J43+E43</f>
        <v>42561</v>
      </c>
      <c r="L43" s="17">
        <f t="shared" si="6"/>
        <v>7.1428571428571432</v>
      </c>
      <c r="M43" s="17">
        <f t="shared" si="6"/>
        <v>50</v>
      </c>
      <c r="N43" s="17">
        <f t="shared" si="6"/>
        <v>50</v>
      </c>
      <c r="O43" s="17">
        <f t="shared" si="6"/>
        <v>50</v>
      </c>
      <c r="P43" s="17">
        <f t="shared" si="6"/>
        <v>50</v>
      </c>
      <c r="Q43" s="17">
        <f t="shared" si="6"/>
        <v>50</v>
      </c>
      <c r="R43" s="17">
        <f t="shared" si="4"/>
        <v>50</v>
      </c>
    </row>
    <row r="44" spans="1:18" x14ac:dyDescent="0.25">
      <c r="A44" t="s">
        <v>862</v>
      </c>
      <c r="B44" t="s">
        <v>933</v>
      </c>
      <c r="C44">
        <v>1</v>
      </c>
      <c r="D44" s="14" t="s">
        <v>897</v>
      </c>
      <c r="E44">
        <v>6</v>
      </c>
      <c r="F44">
        <v>66</v>
      </c>
      <c r="H44" t="str">
        <f>LEFT(B44,3)&amp;"-T"</f>
        <v xml:space="preserve"> 27-T</v>
      </c>
      <c r="I44">
        <f t="shared" si="3"/>
        <v>66</v>
      </c>
      <c r="J44" s="1">
        <f>DATE(MID(D44,5,4),MID(D44,3,2),LEFT(D44,2))</f>
        <v>42463</v>
      </c>
      <c r="K44" s="1">
        <f>J44+E44</f>
        <v>42469</v>
      </c>
      <c r="L44" s="17">
        <f t="shared" si="6"/>
        <v>0</v>
      </c>
      <c r="M44" s="17">
        <f t="shared" si="6"/>
        <v>56.571428571428569</v>
      </c>
      <c r="N44" s="17">
        <f t="shared" si="6"/>
        <v>9.4285714285714288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4"/>
        <v>0</v>
      </c>
    </row>
    <row r="45" spans="1:18" x14ac:dyDescent="0.25">
      <c r="A45" t="s">
        <v>862</v>
      </c>
      <c r="B45" t="s">
        <v>933</v>
      </c>
      <c r="C45">
        <v>1</v>
      </c>
      <c r="D45" s="14" t="s">
        <v>898</v>
      </c>
      <c r="E45">
        <v>101</v>
      </c>
      <c r="F45">
        <v>66</v>
      </c>
      <c r="H45" t="str">
        <f>LEFT(B45,3)&amp;"-T"</f>
        <v xml:space="preserve"> 27-T</v>
      </c>
      <c r="I45">
        <f t="shared" si="3"/>
        <v>66</v>
      </c>
      <c r="J45" s="1">
        <f>DATE(MID(D45,5,4),MID(D45,3,2),LEFT(D45,2))</f>
        <v>42628</v>
      </c>
      <c r="K45" s="1">
        <f>J45+E45</f>
        <v>42729</v>
      </c>
      <c r="L45" s="17">
        <f t="shared" si="6"/>
        <v>0</v>
      </c>
      <c r="M45" s="17">
        <f t="shared" si="6"/>
        <v>0</v>
      </c>
      <c r="N45" s="17">
        <f t="shared" si="6"/>
        <v>0</v>
      </c>
      <c r="O45" s="17">
        <f t="shared" si="6"/>
        <v>0</v>
      </c>
      <c r="P45" s="17">
        <f t="shared" si="6"/>
        <v>0</v>
      </c>
      <c r="Q45" s="17">
        <f t="shared" si="6"/>
        <v>0</v>
      </c>
      <c r="R45" s="17">
        <f t="shared" si="4"/>
        <v>0</v>
      </c>
    </row>
    <row r="46" spans="1:18" x14ac:dyDescent="0.25">
      <c r="A46" t="s">
        <v>862</v>
      </c>
      <c r="B46" t="s">
        <v>933</v>
      </c>
      <c r="C46">
        <v>2</v>
      </c>
      <c r="D46" s="14" t="s">
        <v>897</v>
      </c>
      <c r="E46">
        <v>6</v>
      </c>
      <c r="F46">
        <v>66</v>
      </c>
      <c r="H46" t="str">
        <f>LEFT(B46,3)&amp;"-T"</f>
        <v xml:space="preserve"> 27-T</v>
      </c>
      <c r="I46">
        <f t="shared" si="3"/>
        <v>66</v>
      </c>
      <c r="J46" s="1">
        <f>DATE(MID(D46,5,4),MID(D46,3,2),LEFT(D46,2))</f>
        <v>42463</v>
      </c>
      <c r="K46" s="1">
        <f>J46+E46</f>
        <v>42469</v>
      </c>
      <c r="L46" s="17">
        <f t="shared" si="6"/>
        <v>0</v>
      </c>
      <c r="M46" s="17">
        <f t="shared" si="6"/>
        <v>56.571428571428569</v>
      </c>
      <c r="N46" s="17">
        <f t="shared" si="6"/>
        <v>9.4285714285714288</v>
      </c>
      <c r="O46" s="17">
        <f t="shared" si="6"/>
        <v>0</v>
      </c>
      <c r="P46" s="17">
        <f t="shared" si="6"/>
        <v>0</v>
      </c>
      <c r="Q46" s="17">
        <f t="shared" si="6"/>
        <v>0</v>
      </c>
      <c r="R46" s="17">
        <f t="shared" si="4"/>
        <v>0</v>
      </c>
    </row>
    <row r="47" spans="1:18" x14ac:dyDescent="0.25">
      <c r="A47" t="s">
        <v>862</v>
      </c>
      <c r="B47" t="s">
        <v>933</v>
      </c>
      <c r="C47">
        <v>2</v>
      </c>
      <c r="D47" s="14" t="s">
        <v>899</v>
      </c>
      <c r="E47">
        <v>101</v>
      </c>
      <c r="F47">
        <v>66</v>
      </c>
      <c r="H47" t="str">
        <f>LEFT(B47,3)&amp;"-T"</f>
        <v xml:space="preserve"> 27-T</v>
      </c>
      <c r="I47">
        <f t="shared" si="3"/>
        <v>66</v>
      </c>
      <c r="J47" s="1">
        <f>DATE(MID(D47,5,4),MID(D47,3,2),LEFT(D47,2))</f>
        <v>42526</v>
      </c>
      <c r="K47" s="1">
        <f>J47+E47</f>
        <v>42627</v>
      </c>
      <c r="L47" s="17">
        <f t="shared" si="6"/>
        <v>0</v>
      </c>
      <c r="M47" s="17">
        <f t="shared" si="6"/>
        <v>0</v>
      </c>
      <c r="N47" s="17">
        <f t="shared" si="6"/>
        <v>0</v>
      </c>
      <c r="O47" s="17">
        <f t="shared" si="6"/>
        <v>0</v>
      </c>
      <c r="P47" s="17">
        <f t="shared" si="6"/>
        <v>0</v>
      </c>
      <c r="Q47" s="17">
        <f t="shared" si="6"/>
        <v>0</v>
      </c>
      <c r="R47" s="17">
        <f t="shared" si="4"/>
        <v>0</v>
      </c>
    </row>
    <row r="48" spans="1:18" x14ac:dyDescent="0.25">
      <c r="A48" t="s">
        <v>862</v>
      </c>
      <c r="B48" s="8" t="s">
        <v>934</v>
      </c>
      <c r="C48">
        <v>1</v>
      </c>
      <c r="D48" s="14" t="s">
        <v>878</v>
      </c>
      <c r="E48">
        <v>10</v>
      </c>
      <c r="F48">
        <v>131</v>
      </c>
      <c r="H48" t="str">
        <f>LEFT(B48,3)&amp;"-T"</f>
        <v xml:space="preserve"> 25-T</v>
      </c>
      <c r="I48">
        <f t="shared" si="3"/>
        <v>131</v>
      </c>
      <c r="J48" s="1">
        <f>DATE(MID(D48,5,4),MID(D48,3,2),LEFT(D48,2))</f>
        <v>42461</v>
      </c>
      <c r="K48" s="1">
        <f>J48+E48</f>
        <v>42471</v>
      </c>
      <c r="L48" s="17">
        <f t="shared" si="6"/>
        <v>18.714285714285715</v>
      </c>
      <c r="M48" s="17">
        <f t="shared" si="6"/>
        <v>131</v>
      </c>
      <c r="N48" s="17">
        <f t="shared" si="6"/>
        <v>56.142857142857146</v>
      </c>
      <c r="O48" s="17">
        <f t="shared" si="6"/>
        <v>0</v>
      </c>
      <c r="P48" s="17">
        <f t="shared" si="6"/>
        <v>0</v>
      </c>
      <c r="Q48" s="17">
        <f t="shared" si="6"/>
        <v>0</v>
      </c>
      <c r="R48" s="17">
        <f t="shared" si="4"/>
        <v>0</v>
      </c>
    </row>
    <row r="49" spans="1:18" x14ac:dyDescent="0.25">
      <c r="A49" t="s">
        <v>862</v>
      </c>
      <c r="B49" s="8" t="s">
        <v>934</v>
      </c>
      <c r="C49">
        <v>1</v>
      </c>
      <c r="D49" s="14" t="s">
        <v>900</v>
      </c>
      <c r="E49">
        <v>72</v>
      </c>
      <c r="F49">
        <v>131</v>
      </c>
      <c r="H49" t="str">
        <f>LEFT(B49,3)&amp;"-T"</f>
        <v xml:space="preserve"> 25-T</v>
      </c>
      <c r="I49">
        <f t="shared" si="3"/>
        <v>131</v>
      </c>
      <c r="J49" s="1">
        <f>DATE(MID(D49,5,4),MID(D49,3,2),LEFT(D49,2))</f>
        <v>42653</v>
      </c>
      <c r="K49" s="1">
        <f>J49+E49</f>
        <v>42725</v>
      </c>
      <c r="L49" s="17">
        <f t="shared" si="6"/>
        <v>0</v>
      </c>
      <c r="M49" s="17">
        <f t="shared" si="6"/>
        <v>0</v>
      </c>
      <c r="N49" s="17">
        <f t="shared" si="6"/>
        <v>0</v>
      </c>
      <c r="O49" s="17">
        <f t="shared" si="6"/>
        <v>0</v>
      </c>
      <c r="P49" s="17">
        <f t="shared" si="6"/>
        <v>0</v>
      </c>
      <c r="Q49" s="17">
        <f t="shared" si="6"/>
        <v>0</v>
      </c>
      <c r="R49" s="17">
        <f t="shared" si="4"/>
        <v>0</v>
      </c>
    </row>
    <row r="50" spans="1:18" x14ac:dyDescent="0.25">
      <c r="A50" t="s">
        <v>862</v>
      </c>
      <c r="B50" s="8" t="s">
        <v>934</v>
      </c>
      <c r="C50">
        <v>2</v>
      </c>
      <c r="D50" s="14" t="s">
        <v>882</v>
      </c>
      <c r="E50">
        <v>21</v>
      </c>
      <c r="F50">
        <v>131</v>
      </c>
      <c r="H50" t="str">
        <f>LEFT(B50,3)&amp;"-T"</f>
        <v xml:space="preserve"> 25-T</v>
      </c>
      <c r="I50">
        <f t="shared" si="3"/>
        <v>131</v>
      </c>
      <c r="J50" s="1">
        <f>DATE(MID(D50,5,4),MID(D50,3,2),LEFT(D50,2))</f>
        <v>42491</v>
      </c>
      <c r="K50" s="1">
        <f>J50+E50</f>
        <v>42512</v>
      </c>
      <c r="L50" s="17">
        <f t="shared" si="6"/>
        <v>0</v>
      </c>
      <c r="M50" s="17">
        <f t="shared" si="6"/>
        <v>0</v>
      </c>
      <c r="N50" s="17">
        <f t="shared" si="6"/>
        <v>0</v>
      </c>
      <c r="O50" s="17">
        <f t="shared" si="6"/>
        <v>0</v>
      </c>
      <c r="P50" s="17">
        <f t="shared" si="6"/>
        <v>0</v>
      </c>
      <c r="Q50" s="17">
        <f t="shared" si="6"/>
        <v>0</v>
      </c>
      <c r="R50" s="17">
        <f t="shared" si="4"/>
        <v>92.967741935483872</v>
      </c>
    </row>
    <row r="51" spans="1:18" x14ac:dyDescent="0.25">
      <c r="A51" t="s">
        <v>862</v>
      </c>
      <c r="B51" s="8" t="s">
        <v>935</v>
      </c>
      <c r="C51">
        <v>1</v>
      </c>
      <c r="D51" s="14" t="s">
        <v>901</v>
      </c>
      <c r="E51">
        <v>79</v>
      </c>
      <c r="F51">
        <v>363</v>
      </c>
      <c r="H51" t="str">
        <f>LEFT(B51,3)&amp;"-T"</f>
        <v xml:space="preserve"> 24-T</v>
      </c>
      <c r="I51">
        <f t="shared" si="3"/>
        <v>363</v>
      </c>
      <c r="J51" s="1">
        <f>DATE(MID(D51,5,4),MID(D51,3,2),LEFT(D51,2))</f>
        <v>42596</v>
      </c>
      <c r="K51" s="1">
        <f>J51+E51</f>
        <v>42675</v>
      </c>
      <c r="L51" s="17">
        <f t="shared" si="6"/>
        <v>0</v>
      </c>
      <c r="M51" s="17">
        <f t="shared" si="6"/>
        <v>0</v>
      </c>
      <c r="N51" s="17">
        <f t="shared" si="6"/>
        <v>0</v>
      </c>
      <c r="O51" s="17">
        <f t="shared" si="6"/>
        <v>0</v>
      </c>
      <c r="P51" s="17">
        <f t="shared" si="6"/>
        <v>0</v>
      </c>
      <c r="Q51" s="17">
        <f t="shared" si="6"/>
        <v>0</v>
      </c>
      <c r="R51" s="17">
        <f t="shared" si="4"/>
        <v>0</v>
      </c>
    </row>
    <row r="52" spans="1:18" x14ac:dyDescent="0.25">
      <c r="A52" t="s">
        <v>865</v>
      </c>
      <c r="B52" t="s">
        <v>936</v>
      </c>
      <c r="C52">
        <v>1</v>
      </c>
      <c r="D52" s="14" t="s">
        <v>878</v>
      </c>
      <c r="E52">
        <v>61</v>
      </c>
      <c r="F52">
        <v>1.64</v>
      </c>
      <c r="H52" t="str">
        <f>LEFT(B52,3)&amp;"-T"</f>
        <v>109-T</v>
      </c>
      <c r="I52">
        <f t="shared" si="3"/>
        <v>1.64</v>
      </c>
      <c r="J52" s="1">
        <f>DATE(MID(D52,5,4),MID(D52,3,2),LEFT(D52,2))</f>
        <v>42461</v>
      </c>
      <c r="K52" s="1">
        <f>J52+E52</f>
        <v>42522</v>
      </c>
      <c r="L52" s="17">
        <f t="shared" si="6"/>
        <v>0.23428571428571426</v>
      </c>
      <c r="M52" s="17">
        <f t="shared" si="6"/>
        <v>1.64</v>
      </c>
      <c r="N52" s="17">
        <f t="shared" si="6"/>
        <v>1.64</v>
      </c>
      <c r="O52" s="17">
        <f t="shared" si="6"/>
        <v>1.64</v>
      </c>
      <c r="P52" s="17">
        <f t="shared" si="6"/>
        <v>1.64</v>
      </c>
      <c r="Q52" s="17">
        <f t="shared" si="6"/>
        <v>1.64</v>
      </c>
      <c r="R52" s="17">
        <f t="shared" si="4"/>
        <v>1.64</v>
      </c>
    </row>
    <row r="53" spans="1:18" x14ac:dyDescent="0.25">
      <c r="A53" t="s">
        <v>865</v>
      </c>
      <c r="B53" t="s">
        <v>936</v>
      </c>
      <c r="C53">
        <v>2</v>
      </c>
      <c r="D53" s="14" t="s">
        <v>878</v>
      </c>
      <c r="E53">
        <v>61</v>
      </c>
      <c r="F53">
        <v>1.64</v>
      </c>
      <c r="H53" t="str">
        <f>LEFT(B53,3)&amp;"-T"</f>
        <v>109-T</v>
      </c>
      <c r="I53">
        <f t="shared" si="3"/>
        <v>1.64</v>
      </c>
      <c r="J53" s="1">
        <f>DATE(MID(D53,5,4),MID(D53,3,2),LEFT(D53,2))</f>
        <v>42461</v>
      </c>
      <c r="K53" s="1">
        <f>J53+E53</f>
        <v>42522</v>
      </c>
      <c r="L53" s="17">
        <f t="shared" ref="L53:Q68" si="7">-1*IF($K53&lt;L$3,0,IF($J53&gt;L$4,0,-1+MAX($J53,L$3)-MIN($K53,L$4)))*$I53/(L$4-L$3+1)</f>
        <v>0.23428571428571426</v>
      </c>
      <c r="M53" s="17">
        <f t="shared" si="7"/>
        <v>1.64</v>
      </c>
      <c r="N53" s="17">
        <f t="shared" si="7"/>
        <v>1.64</v>
      </c>
      <c r="O53" s="17">
        <f t="shared" si="7"/>
        <v>1.64</v>
      </c>
      <c r="P53" s="17">
        <f t="shared" si="7"/>
        <v>1.64</v>
      </c>
      <c r="Q53" s="17">
        <f t="shared" si="7"/>
        <v>1.64</v>
      </c>
      <c r="R53" s="17">
        <f t="shared" si="4"/>
        <v>1.64</v>
      </c>
    </row>
    <row r="54" spans="1:18" x14ac:dyDescent="0.25">
      <c r="A54" t="s">
        <v>865</v>
      </c>
      <c r="B54" t="s">
        <v>936</v>
      </c>
      <c r="C54">
        <v>3</v>
      </c>
      <c r="D54" s="14" t="s">
        <v>878</v>
      </c>
      <c r="E54">
        <v>61</v>
      </c>
      <c r="F54">
        <v>1.64</v>
      </c>
      <c r="H54" t="str">
        <f>LEFT(B54,3)&amp;"-T"</f>
        <v>109-T</v>
      </c>
      <c r="I54">
        <f t="shared" si="3"/>
        <v>1.64</v>
      </c>
      <c r="J54" s="1">
        <f>DATE(MID(D54,5,4),MID(D54,3,2),LEFT(D54,2))</f>
        <v>42461</v>
      </c>
      <c r="K54" s="1">
        <f>J54+E54</f>
        <v>42522</v>
      </c>
      <c r="L54" s="17">
        <f t="shared" si="7"/>
        <v>0.23428571428571426</v>
      </c>
      <c r="M54" s="17">
        <f t="shared" si="7"/>
        <v>1.64</v>
      </c>
      <c r="N54" s="17">
        <f t="shared" si="7"/>
        <v>1.64</v>
      </c>
      <c r="O54" s="17">
        <f t="shared" si="7"/>
        <v>1.64</v>
      </c>
      <c r="P54" s="17">
        <f t="shared" si="7"/>
        <v>1.64</v>
      </c>
      <c r="Q54" s="17">
        <f t="shared" si="7"/>
        <v>1.64</v>
      </c>
      <c r="R54" s="17">
        <f t="shared" si="4"/>
        <v>1.64</v>
      </c>
    </row>
    <row r="55" spans="1:18" x14ac:dyDescent="0.25">
      <c r="A55" t="s">
        <v>865</v>
      </c>
      <c r="B55" t="s">
        <v>936</v>
      </c>
      <c r="C55">
        <v>4</v>
      </c>
      <c r="D55" s="14" t="s">
        <v>878</v>
      </c>
      <c r="E55">
        <v>61</v>
      </c>
      <c r="F55">
        <v>1.64</v>
      </c>
      <c r="H55" t="str">
        <f>LEFT(B55,3)&amp;"-T"</f>
        <v>109-T</v>
      </c>
      <c r="I55">
        <f t="shared" si="3"/>
        <v>1.64</v>
      </c>
      <c r="J55" s="1">
        <f>DATE(MID(D55,5,4),MID(D55,3,2),LEFT(D55,2))</f>
        <v>42461</v>
      </c>
      <c r="K55" s="1">
        <f>J55+E55</f>
        <v>42522</v>
      </c>
      <c r="L55" s="17">
        <f t="shared" si="7"/>
        <v>0.23428571428571426</v>
      </c>
      <c r="M55" s="17">
        <f t="shared" si="7"/>
        <v>1.64</v>
      </c>
      <c r="N55" s="17">
        <f t="shared" si="7"/>
        <v>1.64</v>
      </c>
      <c r="O55" s="17">
        <f t="shared" si="7"/>
        <v>1.64</v>
      </c>
      <c r="P55" s="17">
        <f t="shared" si="7"/>
        <v>1.64</v>
      </c>
      <c r="Q55" s="17">
        <f t="shared" si="7"/>
        <v>1.64</v>
      </c>
      <c r="R55" s="17">
        <f t="shared" si="4"/>
        <v>1.64</v>
      </c>
    </row>
    <row r="56" spans="1:18" x14ac:dyDescent="0.25">
      <c r="A56" t="s">
        <v>865</v>
      </c>
      <c r="B56" t="s">
        <v>936</v>
      </c>
      <c r="C56">
        <v>5</v>
      </c>
      <c r="D56" s="14" t="s">
        <v>878</v>
      </c>
      <c r="E56">
        <v>61</v>
      </c>
      <c r="F56">
        <v>1.64</v>
      </c>
      <c r="H56" t="str">
        <f>LEFT(B56,3)&amp;"-T"</f>
        <v>109-T</v>
      </c>
      <c r="I56">
        <f t="shared" si="3"/>
        <v>1.64</v>
      </c>
      <c r="J56" s="1">
        <f>DATE(MID(D56,5,4),MID(D56,3,2),LEFT(D56,2))</f>
        <v>42461</v>
      </c>
      <c r="K56" s="1">
        <f>J56+E56</f>
        <v>42522</v>
      </c>
      <c r="L56" s="17">
        <f t="shared" si="7"/>
        <v>0.23428571428571426</v>
      </c>
      <c r="M56" s="17">
        <f t="shared" si="7"/>
        <v>1.64</v>
      </c>
      <c r="N56" s="17">
        <f t="shared" si="7"/>
        <v>1.64</v>
      </c>
      <c r="O56" s="17">
        <f t="shared" si="7"/>
        <v>1.64</v>
      </c>
      <c r="P56" s="17">
        <f t="shared" si="7"/>
        <v>1.64</v>
      </c>
      <c r="Q56" s="17">
        <f t="shared" si="7"/>
        <v>1.64</v>
      </c>
      <c r="R56" s="17">
        <f t="shared" si="4"/>
        <v>1.64</v>
      </c>
    </row>
    <row r="57" spans="1:18" x14ac:dyDescent="0.25">
      <c r="A57" t="s">
        <v>865</v>
      </c>
      <c r="B57" t="s">
        <v>936</v>
      </c>
      <c r="C57">
        <v>6</v>
      </c>
      <c r="D57" s="14" t="s">
        <v>878</v>
      </c>
      <c r="E57">
        <v>61</v>
      </c>
      <c r="F57">
        <v>1.64</v>
      </c>
      <c r="H57" t="str">
        <f>LEFT(B57,3)&amp;"-T"</f>
        <v>109-T</v>
      </c>
      <c r="I57">
        <f t="shared" si="3"/>
        <v>1.64</v>
      </c>
      <c r="J57" s="1">
        <f>DATE(MID(D57,5,4),MID(D57,3,2),LEFT(D57,2))</f>
        <v>42461</v>
      </c>
      <c r="K57" s="1">
        <f>J57+E57</f>
        <v>42522</v>
      </c>
      <c r="L57" s="17">
        <f t="shared" si="7"/>
        <v>0.23428571428571426</v>
      </c>
      <c r="M57" s="17">
        <f t="shared" si="7"/>
        <v>1.64</v>
      </c>
      <c r="N57" s="17">
        <f t="shared" si="7"/>
        <v>1.64</v>
      </c>
      <c r="O57" s="17">
        <f t="shared" si="7"/>
        <v>1.64</v>
      </c>
      <c r="P57" s="17">
        <f t="shared" si="7"/>
        <v>1.64</v>
      </c>
      <c r="Q57" s="17">
        <f t="shared" si="7"/>
        <v>1.64</v>
      </c>
      <c r="R57" s="17">
        <f t="shared" si="4"/>
        <v>1.64</v>
      </c>
    </row>
    <row r="58" spans="1:18" x14ac:dyDescent="0.25">
      <c r="A58" t="s">
        <v>865</v>
      </c>
      <c r="B58" t="s">
        <v>936</v>
      </c>
      <c r="C58">
        <v>7</v>
      </c>
      <c r="D58" s="14" t="s">
        <v>878</v>
      </c>
      <c r="E58">
        <v>61</v>
      </c>
      <c r="F58">
        <v>1.64</v>
      </c>
      <c r="H58" t="str">
        <f>LEFT(B58,3)&amp;"-T"</f>
        <v>109-T</v>
      </c>
      <c r="I58">
        <f t="shared" si="3"/>
        <v>1.64</v>
      </c>
      <c r="J58" s="1">
        <f>DATE(MID(D58,5,4),MID(D58,3,2),LEFT(D58,2))</f>
        <v>42461</v>
      </c>
      <c r="K58" s="1">
        <f>J58+E58</f>
        <v>42522</v>
      </c>
      <c r="L58" s="17">
        <f t="shared" si="7"/>
        <v>0.23428571428571426</v>
      </c>
      <c r="M58" s="17">
        <f t="shared" si="7"/>
        <v>1.64</v>
      </c>
      <c r="N58" s="17">
        <f t="shared" si="7"/>
        <v>1.64</v>
      </c>
      <c r="O58" s="17">
        <f t="shared" si="7"/>
        <v>1.64</v>
      </c>
      <c r="P58" s="17">
        <f t="shared" si="7"/>
        <v>1.64</v>
      </c>
      <c r="Q58" s="17">
        <f t="shared" si="7"/>
        <v>1.64</v>
      </c>
      <c r="R58" s="17">
        <f t="shared" si="4"/>
        <v>1.64</v>
      </c>
    </row>
    <row r="59" spans="1:18" x14ac:dyDescent="0.25">
      <c r="A59" t="s">
        <v>865</v>
      </c>
      <c r="B59" t="s">
        <v>936</v>
      </c>
      <c r="C59">
        <v>8</v>
      </c>
      <c r="D59" s="14" t="s">
        <v>878</v>
      </c>
      <c r="E59">
        <v>61</v>
      </c>
      <c r="F59">
        <v>1.64</v>
      </c>
      <c r="H59" t="str">
        <f>LEFT(B59,3)&amp;"-T"</f>
        <v>109-T</v>
      </c>
      <c r="I59">
        <f t="shared" si="3"/>
        <v>1.64</v>
      </c>
      <c r="J59" s="1">
        <f>DATE(MID(D59,5,4),MID(D59,3,2),LEFT(D59,2))</f>
        <v>42461</v>
      </c>
      <c r="K59" s="1">
        <f>J59+E59</f>
        <v>42522</v>
      </c>
      <c r="L59" s="17">
        <f t="shared" si="7"/>
        <v>0.23428571428571426</v>
      </c>
      <c r="M59" s="17">
        <f t="shared" si="7"/>
        <v>1.64</v>
      </c>
      <c r="N59" s="17">
        <f t="shared" si="7"/>
        <v>1.64</v>
      </c>
      <c r="O59" s="17">
        <f t="shared" si="7"/>
        <v>1.64</v>
      </c>
      <c r="P59" s="17">
        <f t="shared" si="7"/>
        <v>1.64</v>
      </c>
      <c r="Q59" s="17">
        <f t="shared" si="7"/>
        <v>1.64</v>
      </c>
      <c r="R59" s="17">
        <f t="shared" si="4"/>
        <v>1.64</v>
      </c>
    </row>
    <row r="60" spans="1:18" x14ac:dyDescent="0.25">
      <c r="A60" t="s">
        <v>866</v>
      </c>
      <c r="B60" t="s">
        <v>937</v>
      </c>
      <c r="C60">
        <v>1</v>
      </c>
      <c r="D60" s="14" t="s">
        <v>878</v>
      </c>
      <c r="E60">
        <v>61</v>
      </c>
      <c r="F60">
        <v>1.64</v>
      </c>
      <c r="H60" t="str">
        <f>LEFT(B60,3)&amp;"-T"</f>
        <v>111-T</v>
      </c>
      <c r="I60">
        <f t="shared" si="3"/>
        <v>1.64</v>
      </c>
      <c r="J60" s="1">
        <f>DATE(MID(D60,5,4),MID(D60,3,2),LEFT(D60,2))</f>
        <v>42461</v>
      </c>
      <c r="K60" s="1">
        <f>J60+E60</f>
        <v>42522</v>
      </c>
      <c r="L60" s="17">
        <f t="shared" si="7"/>
        <v>0.23428571428571426</v>
      </c>
      <c r="M60" s="17">
        <f t="shared" si="7"/>
        <v>1.64</v>
      </c>
      <c r="N60" s="17">
        <f t="shared" si="7"/>
        <v>1.64</v>
      </c>
      <c r="O60" s="17">
        <f t="shared" si="7"/>
        <v>1.64</v>
      </c>
      <c r="P60" s="17">
        <f t="shared" si="7"/>
        <v>1.64</v>
      </c>
      <c r="Q60" s="17">
        <f t="shared" si="7"/>
        <v>1.64</v>
      </c>
      <c r="R60" s="17">
        <f t="shared" si="4"/>
        <v>1.64</v>
      </c>
    </row>
    <row r="61" spans="1:18" x14ac:dyDescent="0.25">
      <c r="A61" t="s">
        <v>866</v>
      </c>
      <c r="B61" t="s">
        <v>937</v>
      </c>
      <c r="C61">
        <v>2</v>
      </c>
      <c r="D61" s="14" t="s">
        <v>878</v>
      </c>
      <c r="E61">
        <v>61</v>
      </c>
      <c r="F61">
        <v>1.64</v>
      </c>
      <c r="H61" t="str">
        <f>LEFT(B61,3)&amp;"-T"</f>
        <v>111-T</v>
      </c>
      <c r="I61">
        <f t="shared" si="3"/>
        <v>1.64</v>
      </c>
      <c r="J61" s="1">
        <f>DATE(MID(D61,5,4),MID(D61,3,2),LEFT(D61,2))</f>
        <v>42461</v>
      </c>
      <c r="K61" s="1">
        <f>J61+E61</f>
        <v>42522</v>
      </c>
      <c r="L61" s="17">
        <f t="shared" si="7"/>
        <v>0.23428571428571426</v>
      </c>
      <c r="M61" s="17">
        <f t="shared" si="7"/>
        <v>1.64</v>
      </c>
      <c r="N61" s="17">
        <f t="shared" si="7"/>
        <v>1.64</v>
      </c>
      <c r="O61" s="17">
        <f t="shared" si="7"/>
        <v>1.64</v>
      </c>
      <c r="P61" s="17">
        <f t="shared" si="7"/>
        <v>1.64</v>
      </c>
      <c r="Q61" s="17">
        <f t="shared" si="7"/>
        <v>1.64</v>
      </c>
      <c r="R61" s="17">
        <f t="shared" si="4"/>
        <v>1.64</v>
      </c>
    </row>
    <row r="62" spans="1:18" x14ac:dyDescent="0.25">
      <c r="A62" t="s">
        <v>866</v>
      </c>
      <c r="B62" t="s">
        <v>937</v>
      </c>
      <c r="C62">
        <v>3</v>
      </c>
      <c r="D62" s="14" t="s">
        <v>878</v>
      </c>
      <c r="E62">
        <v>61</v>
      </c>
      <c r="F62">
        <v>1.64</v>
      </c>
      <c r="H62" t="str">
        <f>LEFT(B62,3)&amp;"-T"</f>
        <v>111-T</v>
      </c>
      <c r="I62">
        <f t="shared" si="3"/>
        <v>1.64</v>
      </c>
      <c r="J62" s="1">
        <f>DATE(MID(D62,5,4),MID(D62,3,2),LEFT(D62,2))</f>
        <v>42461</v>
      </c>
      <c r="K62" s="1">
        <f>J62+E62</f>
        <v>42522</v>
      </c>
      <c r="L62" s="17">
        <f t="shared" si="7"/>
        <v>0.23428571428571426</v>
      </c>
      <c r="M62" s="17">
        <f t="shared" si="7"/>
        <v>1.64</v>
      </c>
      <c r="N62" s="17">
        <f t="shared" si="7"/>
        <v>1.64</v>
      </c>
      <c r="O62" s="17">
        <f t="shared" si="7"/>
        <v>1.64</v>
      </c>
      <c r="P62" s="17">
        <f t="shared" si="7"/>
        <v>1.64</v>
      </c>
      <c r="Q62" s="17">
        <f t="shared" si="7"/>
        <v>1.64</v>
      </c>
      <c r="R62" s="17">
        <f t="shared" si="4"/>
        <v>1.64</v>
      </c>
    </row>
    <row r="63" spans="1:18" x14ac:dyDescent="0.25">
      <c r="A63" t="s">
        <v>866</v>
      </c>
      <c r="B63" t="s">
        <v>937</v>
      </c>
      <c r="C63">
        <v>4</v>
      </c>
      <c r="D63" s="14" t="s">
        <v>878</v>
      </c>
      <c r="E63">
        <v>61</v>
      </c>
      <c r="F63">
        <v>1.64</v>
      </c>
      <c r="H63" t="str">
        <f>LEFT(B63,3)&amp;"-T"</f>
        <v>111-T</v>
      </c>
      <c r="I63">
        <f t="shared" si="3"/>
        <v>1.64</v>
      </c>
      <c r="J63" s="1">
        <f>DATE(MID(D63,5,4),MID(D63,3,2),LEFT(D63,2))</f>
        <v>42461</v>
      </c>
      <c r="K63" s="1">
        <f>J63+E63</f>
        <v>42522</v>
      </c>
      <c r="L63" s="17">
        <f t="shared" si="7"/>
        <v>0.23428571428571426</v>
      </c>
      <c r="M63" s="17">
        <f t="shared" si="7"/>
        <v>1.64</v>
      </c>
      <c r="N63" s="17">
        <f t="shared" si="7"/>
        <v>1.64</v>
      </c>
      <c r="O63" s="17">
        <f t="shared" si="7"/>
        <v>1.64</v>
      </c>
      <c r="P63" s="17">
        <f t="shared" si="7"/>
        <v>1.64</v>
      </c>
      <c r="Q63" s="17">
        <f t="shared" si="7"/>
        <v>1.64</v>
      </c>
      <c r="R63" s="17">
        <f t="shared" si="4"/>
        <v>1.64</v>
      </c>
    </row>
    <row r="64" spans="1:18" x14ac:dyDescent="0.25">
      <c r="A64" t="s">
        <v>866</v>
      </c>
      <c r="B64" t="s">
        <v>937</v>
      </c>
      <c r="C64">
        <v>5</v>
      </c>
      <c r="D64" s="14" t="s">
        <v>878</v>
      </c>
      <c r="E64">
        <v>61</v>
      </c>
      <c r="F64">
        <v>1.64</v>
      </c>
      <c r="H64" t="str">
        <f>LEFT(B64,3)&amp;"-T"</f>
        <v>111-T</v>
      </c>
      <c r="I64">
        <f t="shared" si="3"/>
        <v>1.64</v>
      </c>
      <c r="J64" s="1">
        <f>DATE(MID(D64,5,4),MID(D64,3,2),LEFT(D64,2))</f>
        <v>42461</v>
      </c>
      <c r="K64" s="1">
        <f>J64+E64</f>
        <v>42522</v>
      </c>
      <c r="L64" s="17">
        <f t="shared" si="7"/>
        <v>0.23428571428571426</v>
      </c>
      <c r="M64" s="17">
        <f t="shared" si="7"/>
        <v>1.64</v>
      </c>
      <c r="N64" s="17">
        <f t="shared" si="7"/>
        <v>1.64</v>
      </c>
      <c r="O64" s="17">
        <f t="shared" si="7"/>
        <v>1.64</v>
      </c>
      <c r="P64" s="17">
        <f t="shared" si="7"/>
        <v>1.64</v>
      </c>
      <c r="Q64" s="17">
        <f t="shared" si="7"/>
        <v>1.64</v>
      </c>
      <c r="R64" s="17">
        <f t="shared" si="4"/>
        <v>1.64</v>
      </c>
    </row>
    <row r="65" spans="1:18" x14ac:dyDescent="0.25">
      <c r="A65" t="s">
        <v>866</v>
      </c>
      <c r="B65" t="s">
        <v>937</v>
      </c>
      <c r="C65">
        <v>6</v>
      </c>
      <c r="D65" s="14" t="s">
        <v>878</v>
      </c>
      <c r="E65">
        <v>61</v>
      </c>
      <c r="F65">
        <v>1.64</v>
      </c>
      <c r="H65" t="str">
        <f>LEFT(B65,3)&amp;"-T"</f>
        <v>111-T</v>
      </c>
      <c r="I65">
        <f t="shared" si="3"/>
        <v>1.64</v>
      </c>
      <c r="J65" s="1">
        <f>DATE(MID(D65,5,4),MID(D65,3,2),LEFT(D65,2))</f>
        <v>42461</v>
      </c>
      <c r="K65" s="1">
        <f>J65+E65</f>
        <v>42522</v>
      </c>
      <c r="L65" s="17">
        <f t="shared" si="7"/>
        <v>0.23428571428571426</v>
      </c>
      <c r="M65" s="17">
        <f t="shared" si="7"/>
        <v>1.64</v>
      </c>
      <c r="N65" s="17">
        <f t="shared" si="7"/>
        <v>1.64</v>
      </c>
      <c r="O65" s="17">
        <f t="shared" si="7"/>
        <v>1.64</v>
      </c>
      <c r="P65" s="17">
        <f t="shared" si="7"/>
        <v>1.64</v>
      </c>
      <c r="Q65" s="17">
        <f t="shared" si="7"/>
        <v>1.64</v>
      </c>
      <c r="R65" s="17">
        <f t="shared" si="4"/>
        <v>1.64</v>
      </c>
    </row>
    <row r="66" spans="1:18" x14ac:dyDescent="0.25">
      <c r="A66" t="s">
        <v>866</v>
      </c>
      <c r="B66" t="s">
        <v>937</v>
      </c>
      <c r="C66">
        <v>7</v>
      </c>
      <c r="D66" s="14" t="s">
        <v>878</v>
      </c>
      <c r="E66">
        <v>61</v>
      </c>
      <c r="F66">
        <v>1.64</v>
      </c>
      <c r="H66" t="str">
        <f>LEFT(B66,3)&amp;"-T"</f>
        <v>111-T</v>
      </c>
      <c r="I66">
        <f t="shared" si="3"/>
        <v>1.64</v>
      </c>
      <c r="J66" s="1">
        <f>DATE(MID(D66,5,4),MID(D66,3,2),LEFT(D66,2))</f>
        <v>42461</v>
      </c>
      <c r="K66" s="1">
        <f>J66+E66</f>
        <v>42522</v>
      </c>
      <c r="L66" s="17">
        <f t="shared" si="7"/>
        <v>0.23428571428571426</v>
      </c>
      <c r="M66" s="17">
        <f t="shared" si="7"/>
        <v>1.64</v>
      </c>
      <c r="N66" s="17">
        <f t="shared" si="7"/>
        <v>1.64</v>
      </c>
      <c r="O66" s="17">
        <f t="shared" si="7"/>
        <v>1.64</v>
      </c>
      <c r="P66" s="17">
        <f t="shared" si="7"/>
        <v>1.64</v>
      </c>
      <c r="Q66" s="17">
        <f t="shared" si="7"/>
        <v>1.64</v>
      </c>
      <c r="R66" s="17">
        <f t="shared" si="4"/>
        <v>1.64</v>
      </c>
    </row>
    <row r="67" spans="1:18" x14ac:dyDescent="0.25">
      <c r="A67" t="s">
        <v>866</v>
      </c>
      <c r="B67" t="s">
        <v>938</v>
      </c>
      <c r="C67">
        <v>1</v>
      </c>
      <c r="D67" s="14" t="s">
        <v>878</v>
      </c>
      <c r="E67">
        <v>61</v>
      </c>
      <c r="F67">
        <v>1.64</v>
      </c>
      <c r="H67" t="str">
        <f>LEFT(B67,3)&amp;"-T"</f>
        <v>113-T</v>
      </c>
      <c r="I67">
        <f t="shared" si="3"/>
        <v>1.64</v>
      </c>
      <c r="J67" s="1">
        <f>DATE(MID(D67,5,4),MID(D67,3,2),LEFT(D67,2))</f>
        <v>42461</v>
      </c>
      <c r="K67" s="1">
        <f>J67+E67</f>
        <v>42522</v>
      </c>
      <c r="L67" s="17">
        <f t="shared" si="7"/>
        <v>0.23428571428571426</v>
      </c>
      <c r="M67" s="17">
        <f t="shared" si="7"/>
        <v>1.64</v>
      </c>
      <c r="N67" s="17">
        <f t="shared" si="7"/>
        <v>1.64</v>
      </c>
      <c r="O67" s="17">
        <f t="shared" si="7"/>
        <v>1.64</v>
      </c>
      <c r="P67" s="17">
        <f t="shared" si="7"/>
        <v>1.64</v>
      </c>
      <c r="Q67" s="17">
        <f t="shared" si="7"/>
        <v>1.64</v>
      </c>
      <c r="R67" s="17">
        <f t="shared" si="4"/>
        <v>1.64</v>
      </c>
    </row>
    <row r="68" spans="1:18" x14ac:dyDescent="0.25">
      <c r="A68" t="s">
        <v>866</v>
      </c>
      <c r="B68" t="s">
        <v>938</v>
      </c>
      <c r="C68">
        <v>2</v>
      </c>
      <c r="D68" s="14" t="s">
        <v>878</v>
      </c>
      <c r="E68">
        <v>61</v>
      </c>
      <c r="F68">
        <v>1.64</v>
      </c>
      <c r="H68" t="str">
        <f>LEFT(B68,3)&amp;"-T"</f>
        <v>113-T</v>
      </c>
      <c r="I68">
        <f t="shared" si="3"/>
        <v>1.64</v>
      </c>
      <c r="J68" s="1">
        <f>DATE(MID(D68,5,4),MID(D68,3,2),LEFT(D68,2))</f>
        <v>42461</v>
      </c>
      <c r="K68" s="1">
        <f>J68+E68</f>
        <v>42522</v>
      </c>
      <c r="L68" s="17">
        <f t="shared" si="7"/>
        <v>0.23428571428571426</v>
      </c>
      <c r="M68" s="17">
        <f t="shared" si="7"/>
        <v>1.64</v>
      </c>
      <c r="N68" s="17">
        <f t="shared" si="7"/>
        <v>1.64</v>
      </c>
      <c r="O68" s="17">
        <f t="shared" si="7"/>
        <v>1.64</v>
      </c>
      <c r="P68" s="17">
        <f t="shared" si="7"/>
        <v>1.64</v>
      </c>
      <c r="Q68" s="17">
        <f t="shared" si="7"/>
        <v>1.64</v>
      </c>
      <c r="R68" s="17">
        <f t="shared" si="4"/>
        <v>1.64</v>
      </c>
    </row>
    <row r="69" spans="1:18" x14ac:dyDescent="0.25">
      <c r="A69" t="s">
        <v>866</v>
      </c>
      <c r="B69" t="s">
        <v>938</v>
      </c>
      <c r="C69">
        <v>3</v>
      </c>
      <c r="D69" s="14" t="s">
        <v>878</v>
      </c>
      <c r="E69">
        <v>61</v>
      </c>
      <c r="F69">
        <v>1.64</v>
      </c>
      <c r="H69" t="str">
        <f>LEFT(B69,3)&amp;"-T"</f>
        <v>113-T</v>
      </c>
      <c r="I69">
        <f t="shared" si="3"/>
        <v>1.64</v>
      </c>
      <c r="J69" s="1">
        <f>DATE(MID(D69,5,4),MID(D69,3,2),LEFT(D69,2))</f>
        <v>42461</v>
      </c>
      <c r="K69" s="1">
        <f>J69+E69</f>
        <v>42522</v>
      </c>
      <c r="L69" s="17">
        <f t="shared" ref="L69:Q84" si="8">-1*IF($K69&lt;L$3,0,IF($J69&gt;L$4,0,-1+MAX($J69,L$3)-MIN($K69,L$4)))*$I69/(L$4-L$3+1)</f>
        <v>0.23428571428571426</v>
      </c>
      <c r="M69" s="17">
        <f t="shared" si="8"/>
        <v>1.64</v>
      </c>
      <c r="N69" s="17">
        <f t="shared" si="8"/>
        <v>1.64</v>
      </c>
      <c r="O69" s="17">
        <f t="shared" si="8"/>
        <v>1.64</v>
      </c>
      <c r="P69" s="17">
        <f t="shared" si="8"/>
        <v>1.64</v>
      </c>
      <c r="Q69" s="17">
        <f t="shared" si="8"/>
        <v>1.64</v>
      </c>
      <c r="R69" s="17">
        <f t="shared" si="4"/>
        <v>1.64</v>
      </c>
    </row>
    <row r="70" spans="1:18" x14ac:dyDescent="0.25">
      <c r="A70" t="s">
        <v>866</v>
      </c>
      <c r="B70" t="s">
        <v>938</v>
      </c>
      <c r="C70">
        <v>4</v>
      </c>
      <c r="D70" s="14" t="s">
        <v>878</v>
      </c>
      <c r="E70">
        <v>61</v>
      </c>
      <c r="F70">
        <v>1.64</v>
      </c>
      <c r="H70" t="str">
        <f>LEFT(B70,3)&amp;"-T"</f>
        <v>113-T</v>
      </c>
      <c r="I70">
        <f t="shared" ref="I70:I133" si="9">+F70</f>
        <v>1.64</v>
      </c>
      <c r="J70" s="1">
        <f>DATE(MID(D70,5,4),MID(D70,3,2),LEFT(D70,2))</f>
        <v>42461</v>
      </c>
      <c r="K70" s="1">
        <f>J70+E70</f>
        <v>42522</v>
      </c>
      <c r="L70" s="17">
        <f t="shared" si="8"/>
        <v>0.23428571428571426</v>
      </c>
      <c r="M70" s="17">
        <f t="shared" si="8"/>
        <v>1.64</v>
      </c>
      <c r="N70" s="17">
        <f t="shared" si="8"/>
        <v>1.64</v>
      </c>
      <c r="O70" s="17">
        <f t="shared" si="8"/>
        <v>1.64</v>
      </c>
      <c r="P70" s="17">
        <f t="shared" si="8"/>
        <v>1.64</v>
      </c>
      <c r="Q70" s="17">
        <f t="shared" si="8"/>
        <v>1.64</v>
      </c>
      <c r="R70" s="17">
        <f t="shared" ref="R70:R133" si="10">-1*IF($K70&lt;R$3,0,IF($J70&gt;R$4,0,-1+MAX($J70,R$3)-MIN($K70,R$4)))*I70/(R$4-R$3+1)</f>
        <v>1.64</v>
      </c>
    </row>
    <row r="71" spans="1:18" x14ac:dyDescent="0.25">
      <c r="A71" t="s">
        <v>866</v>
      </c>
      <c r="B71" t="s">
        <v>938</v>
      </c>
      <c r="C71">
        <v>5</v>
      </c>
      <c r="D71" s="14" t="s">
        <v>878</v>
      </c>
      <c r="E71">
        <v>61</v>
      </c>
      <c r="F71">
        <v>1.64</v>
      </c>
      <c r="H71" t="str">
        <f>LEFT(B71,3)&amp;"-T"</f>
        <v>113-T</v>
      </c>
      <c r="I71">
        <f t="shared" si="9"/>
        <v>1.64</v>
      </c>
      <c r="J71" s="1">
        <f>DATE(MID(D71,5,4),MID(D71,3,2),LEFT(D71,2))</f>
        <v>42461</v>
      </c>
      <c r="K71" s="1">
        <f>J71+E71</f>
        <v>42522</v>
      </c>
      <c r="L71" s="17">
        <f t="shared" si="8"/>
        <v>0.23428571428571426</v>
      </c>
      <c r="M71" s="17">
        <f t="shared" si="8"/>
        <v>1.64</v>
      </c>
      <c r="N71" s="17">
        <f t="shared" si="8"/>
        <v>1.64</v>
      </c>
      <c r="O71" s="17">
        <f t="shared" si="8"/>
        <v>1.64</v>
      </c>
      <c r="P71" s="17">
        <f t="shared" si="8"/>
        <v>1.64</v>
      </c>
      <c r="Q71" s="17">
        <f t="shared" si="8"/>
        <v>1.64</v>
      </c>
      <c r="R71" s="17">
        <f t="shared" si="10"/>
        <v>1.64</v>
      </c>
    </row>
    <row r="72" spans="1:18" x14ac:dyDescent="0.25">
      <c r="A72" t="s">
        <v>866</v>
      </c>
      <c r="B72" t="s">
        <v>938</v>
      </c>
      <c r="C72">
        <v>6</v>
      </c>
      <c r="D72" s="14" t="s">
        <v>878</v>
      </c>
      <c r="E72">
        <v>61</v>
      </c>
      <c r="F72">
        <v>1.64</v>
      </c>
      <c r="H72" t="str">
        <f>LEFT(B72,3)&amp;"-T"</f>
        <v>113-T</v>
      </c>
      <c r="I72">
        <f t="shared" si="9"/>
        <v>1.64</v>
      </c>
      <c r="J72" s="1">
        <f>DATE(MID(D72,5,4),MID(D72,3,2),LEFT(D72,2))</f>
        <v>42461</v>
      </c>
      <c r="K72" s="1">
        <f>J72+E72</f>
        <v>42522</v>
      </c>
      <c r="L72" s="17">
        <f t="shared" si="8"/>
        <v>0.23428571428571426</v>
      </c>
      <c r="M72" s="17">
        <f t="shared" si="8"/>
        <v>1.64</v>
      </c>
      <c r="N72" s="17">
        <f t="shared" si="8"/>
        <v>1.64</v>
      </c>
      <c r="O72" s="17">
        <f t="shared" si="8"/>
        <v>1.64</v>
      </c>
      <c r="P72" s="17">
        <f t="shared" si="8"/>
        <v>1.64</v>
      </c>
      <c r="Q72" s="17">
        <f t="shared" si="8"/>
        <v>1.64</v>
      </c>
      <c r="R72" s="17">
        <f t="shared" si="10"/>
        <v>1.64</v>
      </c>
    </row>
    <row r="73" spans="1:18" x14ac:dyDescent="0.25">
      <c r="A73" t="s">
        <v>866</v>
      </c>
      <c r="B73" t="s">
        <v>938</v>
      </c>
      <c r="C73">
        <v>7</v>
      </c>
      <c r="D73" s="14" t="s">
        <v>878</v>
      </c>
      <c r="E73">
        <v>61</v>
      </c>
      <c r="F73">
        <v>1.64</v>
      </c>
      <c r="H73" t="str">
        <f>LEFT(B73,3)&amp;"-T"</f>
        <v>113-T</v>
      </c>
      <c r="I73">
        <f t="shared" si="9"/>
        <v>1.64</v>
      </c>
      <c r="J73" s="1">
        <f>DATE(MID(D73,5,4),MID(D73,3,2),LEFT(D73,2))</f>
        <v>42461</v>
      </c>
      <c r="K73" s="1">
        <f>J73+E73</f>
        <v>42522</v>
      </c>
      <c r="L73" s="17">
        <f t="shared" si="8"/>
        <v>0.23428571428571426</v>
      </c>
      <c r="M73" s="17">
        <f t="shared" si="8"/>
        <v>1.64</v>
      </c>
      <c r="N73" s="17">
        <f t="shared" si="8"/>
        <v>1.64</v>
      </c>
      <c r="O73" s="17">
        <f t="shared" si="8"/>
        <v>1.64</v>
      </c>
      <c r="P73" s="17">
        <f t="shared" si="8"/>
        <v>1.64</v>
      </c>
      <c r="Q73" s="17">
        <f t="shared" si="8"/>
        <v>1.64</v>
      </c>
      <c r="R73" s="17">
        <f t="shared" si="10"/>
        <v>1.64</v>
      </c>
    </row>
    <row r="74" spans="1:18" x14ac:dyDescent="0.25">
      <c r="A74" t="s">
        <v>865</v>
      </c>
      <c r="B74" t="s">
        <v>939</v>
      </c>
      <c r="C74">
        <v>1</v>
      </c>
      <c r="D74" s="14" t="s">
        <v>878</v>
      </c>
      <c r="E74">
        <v>61</v>
      </c>
      <c r="F74">
        <v>1.64</v>
      </c>
      <c r="H74" t="str">
        <f>LEFT(B74,3)&amp;"-T"</f>
        <v>117-T</v>
      </c>
      <c r="I74">
        <f t="shared" si="9"/>
        <v>1.64</v>
      </c>
      <c r="J74" s="1">
        <f>DATE(MID(D74,5,4),MID(D74,3,2),LEFT(D74,2))</f>
        <v>42461</v>
      </c>
      <c r="K74" s="1">
        <f>J74+E74</f>
        <v>42522</v>
      </c>
      <c r="L74" s="17">
        <f t="shared" si="8"/>
        <v>0.23428571428571426</v>
      </c>
      <c r="M74" s="17">
        <f t="shared" si="8"/>
        <v>1.64</v>
      </c>
      <c r="N74" s="17">
        <f t="shared" si="8"/>
        <v>1.64</v>
      </c>
      <c r="O74" s="17">
        <f t="shared" si="8"/>
        <v>1.64</v>
      </c>
      <c r="P74" s="17">
        <f t="shared" si="8"/>
        <v>1.64</v>
      </c>
      <c r="Q74" s="17">
        <f t="shared" si="8"/>
        <v>1.64</v>
      </c>
      <c r="R74" s="17">
        <f t="shared" si="10"/>
        <v>1.64</v>
      </c>
    </row>
    <row r="75" spans="1:18" x14ac:dyDescent="0.25">
      <c r="A75" t="s">
        <v>865</v>
      </c>
      <c r="B75" t="s">
        <v>939</v>
      </c>
      <c r="C75">
        <v>2</v>
      </c>
      <c r="D75" s="14" t="s">
        <v>878</v>
      </c>
      <c r="E75">
        <v>61</v>
      </c>
      <c r="F75">
        <v>1.64</v>
      </c>
      <c r="H75" t="str">
        <f>LEFT(B75,3)&amp;"-T"</f>
        <v>117-T</v>
      </c>
      <c r="I75">
        <f t="shared" si="9"/>
        <v>1.64</v>
      </c>
      <c r="J75" s="1">
        <f>DATE(MID(D75,5,4),MID(D75,3,2),LEFT(D75,2))</f>
        <v>42461</v>
      </c>
      <c r="K75" s="1">
        <f>J75+E75</f>
        <v>42522</v>
      </c>
      <c r="L75" s="17">
        <f t="shared" si="8"/>
        <v>0.23428571428571426</v>
      </c>
      <c r="M75" s="17">
        <f t="shared" si="8"/>
        <v>1.64</v>
      </c>
      <c r="N75" s="17">
        <f t="shared" si="8"/>
        <v>1.64</v>
      </c>
      <c r="O75" s="17">
        <f t="shared" si="8"/>
        <v>1.64</v>
      </c>
      <c r="P75" s="17">
        <f t="shared" si="8"/>
        <v>1.64</v>
      </c>
      <c r="Q75" s="17">
        <f t="shared" si="8"/>
        <v>1.64</v>
      </c>
      <c r="R75" s="17">
        <f t="shared" si="10"/>
        <v>1.64</v>
      </c>
    </row>
    <row r="76" spans="1:18" x14ac:dyDescent="0.25">
      <c r="A76" t="s">
        <v>865</v>
      </c>
      <c r="B76" t="s">
        <v>939</v>
      </c>
      <c r="C76">
        <v>3</v>
      </c>
      <c r="D76" s="14" t="s">
        <v>878</v>
      </c>
      <c r="E76">
        <v>61</v>
      </c>
      <c r="F76">
        <v>1.64</v>
      </c>
      <c r="H76" t="str">
        <f>LEFT(B76,3)&amp;"-T"</f>
        <v>117-T</v>
      </c>
      <c r="I76">
        <f t="shared" si="9"/>
        <v>1.64</v>
      </c>
      <c r="J76" s="1">
        <f>DATE(MID(D76,5,4),MID(D76,3,2),LEFT(D76,2))</f>
        <v>42461</v>
      </c>
      <c r="K76" s="1">
        <f>J76+E76</f>
        <v>42522</v>
      </c>
      <c r="L76" s="17">
        <f t="shared" si="8"/>
        <v>0.23428571428571426</v>
      </c>
      <c r="M76" s="17">
        <f t="shared" si="8"/>
        <v>1.64</v>
      </c>
      <c r="N76" s="17">
        <f t="shared" si="8"/>
        <v>1.64</v>
      </c>
      <c r="O76" s="17">
        <f t="shared" si="8"/>
        <v>1.64</v>
      </c>
      <c r="P76" s="17">
        <f t="shared" si="8"/>
        <v>1.64</v>
      </c>
      <c r="Q76" s="17">
        <f t="shared" si="8"/>
        <v>1.64</v>
      </c>
      <c r="R76" s="17">
        <f t="shared" si="10"/>
        <v>1.64</v>
      </c>
    </row>
    <row r="77" spans="1:18" x14ac:dyDescent="0.25">
      <c r="A77" t="s">
        <v>865</v>
      </c>
      <c r="B77" t="s">
        <v>939</v>
      </c>
      <c r="C77">
        <v>4</v>
      </c>
      <c r="D77" s="14" t="s">
        <v>878</v>
      </c>
      <c r="E77">
        <v>61</v>
      </c>
      <c r="F77">
        <v>1.64</v>
      </c>
      <c r="H77" t="str">
        <f>LEFT(B77,3)&amp;"-T"</f>
        <v>117-T</v>
      </c>
      <c r="I77">
        <f t="shared" si="9"/>
        <v>1.64</v>
      </c>
      <c r="J77" s="1">
        <f>DATE(MID(D77,5,4),MID(D77,3,2),LEFT(D77,2))</f>
        <v>42461</v>
      </c>
      <c r="K77" s="1">
        <f>J77+E77</f>
        <v>42522</v>
      </c>
      <c r="L77" s="17">
        <f t="shared" si="8"/>
        <v>0.23428571428571426</v>
      </c>
      <c r="M77" s="17">
        <f t="shared" si="8"/>
        <v>1.64</v>
      </c>
      <c r="N77" s="17">
        <f t="shared" si="8"/>
        <v>1.64</v>
      </c>
      <c r="O77" s="17">
        <f t="shared" si="8"/>
        <v>1.64</v>
      </c>
      <c r="P77" s="17">
        <f t="shared" si="8"/>
        <v>1.64</v>
      </c>
      <c r="Q77" s="17">
        <f t="shared" si="8"/>
        <v>1.64</v>
      </c>
      <c r="R77" s="17">
        <f t="shared" si="10"/>
        <v>1.64</v>
      </c>
    </row>
    <row r="78" spans="1:18" x14ac:dyDescent="0.25">
      <c r="A78" t="s">
        <v>865</v>
      </c>
      <c r="B78" t="s">
        <v>939</v>
      </c>
      <c r="C78">
        <v>5</v>
      </c>
      <c r="D78" s="14" t="s">
        <v>878</v>
      </c>
      <c r="E78">
        <v>61</v>
      </c>
      <c r="F78">
        <v>1.64</v>
      </c>
      <c r="H78" t="str">
        <f>LEFT(B78,3)&amp;"-T"</f>
        <v>117-T</v>
      </c>
      <c r="I78">
        <f t="shared" si="9"/>
        <v>1.64</v>
      </c>
      <c r="J78" s="1">
        <f>DATE(MID(D78,5,4),MID(D78,3,2),LEFT(D78,2))</f>
        <v>42461</v>
      </c>
      <c r="K78" s="1">
        <f>J78+E78</f>
        <v>42522</v>
      </c>
      <c r="L78" s="17">
        <f t="shared" si="8"/>
        <v>0.23428571428571426</v>
      </c>
      <c r="M78" s="17">
        <f t="shared" si="8"/>
        <v>1.64</v>
      </c>
      <c r="N78" s="17">
        <f t="shared" si="8"/>
        <v>1.64</v>
      </c>
      <c r="O78" s="17">
        <f t="shared" si="8"/>
        <v>1.64</v>
      </c>
      <c r="P78" s="17">
        <f t="shared" si="8"/>
        <v>1.64</v>
      </c>
      <c r="Q78" s="17">
        <f t="shared" si="8"/>
        <v>1.64</v>
      </c>
      <c r="R78" s="17">
        <f t="shared" si="10"/>
        <v>1.64</v>
      </c>
    </row>
    <row r="79" spans="1:18" x14ac:dyDescent="0.25">
      <c r="A79" t="s">
        <v>865</v>
      </c>
      <c r="B79" t="s">
        <v>939</v>
      </c>
      <c r="C79">
        <v>6</v>
      </c>
      <c r="D79" s="14" t="s">
        <v>878</v>
      </c>
      <c r="E79">
        <v>61</v>
      </c>
      <c r="F79">
        <v>1.64</v>
      </c>
      <c r="H79" t="str">
        <f>LEFT(B79,3)&amp;"-T"</f>
        <v>117-T</v>
      </c>
      <c r="I79">
        <f t="shared" si="9"/>
        <v>1.64</v>
      </c>
      <c r="J79" s="1">
        <f>DATE(MID(D79,5,4),MID(D79,3,2),LEFT(D79,2))</f>
        <v>42461</v>
      </c>
      <c r="K79" s="1">
        <f>J79+E79</f>
        <v>42522</v>
      </c>
      <c r="L79" s="17">
        <f t="shared" si="8"/>
        <v>0.23428571428571426</v>
      </c>
      <c r="M79" s="17">
        <f t="shared" si="8"/>
        <v>1.64</v>
      </c>
      <c r="N79" s="17">
        <f t="shared" si="8"/>
        <v>1.64</v>
      </c>
      <c r="O79" s="17">
        <f t="shared" si="8"/>
        <v>1.64</v>
      </c>
      <c r="P79" s="17">
        <f t="shared" si="8"/>
        <v>1.64</v>
      </c>
      <c r="Q79" s="17">
        <f t="shared" si="8"/>
        <v>1.64</v>
      </c>
      <c r="R79" s="17">
        <f t="shared" si="10"/>
        <v>1.64</v>
      </c>
    </row>
    <row r="80" spans="1:18" x14ac:dyDescent="0.25">
      <c r="A80" t="s">
        <v>865</v>
      </c>
      <c r="B80" t="s">
        <v>939</v>
      </c>
      <c r="C80">
        <v>7</v>
      </c>
      <c r="D80" s="14" t="s">
        <v>878</v>
      </c>
      <c r="E80">
        <v>61</v>
      </c>
      <c r="F80">
        <v>1.64</v>
      </c>
      <c r="H80" t="str">
        <f>LEFT(B80,3)&amp;"-T"</f>
        <v>117-T</v>
      </c>
      <c r="I80">
        <f t="shared" si="9"/>
        <v>1.64</v>
      </c>
      <c r="J80" s="1">
        <f>DATE(MID(D80,5,4),MID(D80,3,2),LEFT(D80,2))</f>
        <v>42461</v>
      </c>
      <c r="K80" s="1">
        <f>J80+E80</f>
        <v>42522</v>
      </c>
      <c r="L80" s="17">
        <f t="shared" si="8"/>
        <v>0.23428571428571426</v>
      </c>
      <c r="M80" s="17">
        <f t="shared" si="8"/>
        <v>1.64</v>
      </c>
      <c r="N80" s="17">
        <f t="shared" si="8"/>
        <v>1.64</v>
      </c>
      <c r="O80" s="17">
        <f t="shared" si="8"/>
        <v>1.64</v>
      </c>
      <c r="P80" s="17">
        <f t="shared" si="8"/>
        <v>1.64</v>
      </c>
      <c r="Q80" s="17">
        <f t="shared" si="8"/>
        <v>1.64</v>
      </c>
      <c r="R80" s="17">
        <f t="shared" si="10"/>
        <v>1.64</v>
      </c>
    </row>
    <row r="81" spans="1:18" x14ac:dyDescent="0.25">
      <c r="A81" t="s">
        <v>865</v>
      </c>
      <c r="B81" t="s">
        <v>939</v>
      </c>
      <c r="C81">
        <v>8</v>
      </c>
      <c r="D81" s="14" t="s">
        <v>878</v>
      </c>
      <c r="E81">
        <v>61</v>
      </c>
      <c r="F81">
        <v>1.64</v>
      </c>
      <c r="H81" t="str">
        <f>LEFT(B81,3)&amp;"-T"</f>
        <v>117-T</v>
      </c>
      <c r="I81">
        <f t="shared" si="9"/>
        <v>1.64</v>
      </c>
      <c r="J81" s="1">
        <f>DATE(MID(D81,5,4),MID(D81,3,2),LEFT(D81,2))</f>
        <v>42461</v>
      </c>
      <c r="K81" s="1">
        <f>J81+E81</f>
        <v>42522</v>
      </c>
      <c r="L81" s="17">
        <f t="shared" si="8"/>
        <v>0.23428571428571426</v>
      </c>
      <c r="M81" s="17">
        <f t="shared" si="8"/>
        <v>1.64</v>
      </c>
      <c r="N81" s="17">
        <f t="shared" si="8"/>
        <v>1.64</v>
      </c>
      <c r="O81" s="17">
        <f t="shared" si="8"/>
        <v>1.64</v>
      </c>
      <c r="P81" s="17">
        <f t="shared" si="8"/>
        <v>1.64</v>
      </c>
      <c r="Q81" s="17">
        <f t="shared" si="8"/>
        <v>1.64</v>
      </c>
      <c r="R81" s="17">
        <f t="shared" si="10"/>
        <v>1.64</v>
      </c>
    </row>
    <row r="82" spans="1:18" x14ac:dyDescent="0.25">
      <c r="A82" t="s">
        <v>866</v>
      </c>
      <c r="B82" t="s">
        <v>940</v>
      </c>
      <c r="C82">
        <v>1</v>
      </c>
      <c r="D82" s="14" t="s">
        <v>878</v>
      </c>
      <c r="E82">
        <v>61</v>
      </c>
      <c r="F82">
        <v>1.64</v>
      </c>
      <c r="H82" t="str">
        <f>LEFT(B82,3)&amp;"-T"</f>
        <v>119-T</v>
      </c>
      <c r="I82">
        <f t="shared" si="9"/>
        <v>1.64</v>
      </c>
      <c r="J82" s="1">
        <f>DATE(MID(D82,5,4),MID(D82,3,2),LEFT(D82,2))</f>
        <v>42461</v>
      </c>
      <c r="K82" s="1">
        <f>J82+E82</f>
        <v>42522</v>
      </c>
      <c r="L82" s="17">
        <f t="shared" si="8"/>
        <v>0.23428571428571426</v>
      </c>
      <c r="M82" s="17">
        <f t="shared" si="8"/>
        <v>1.64</v>
      </c>
      <c r="N82" s="17">
        <f t="shared" si="8"/>
        <v>1.64</v>
      </c>
      <c r="O82" s="17">
        <f t="shared" si="8"/>
        <v>1.64</v>
      </c>
      <c r="P82" s="17">
        <f t="shared" si="8"/>
        <v>1.64</v>
      </c>
      <c r="Q82" s="17">
        <f t="shared" si="8"/>
        <v>1.64</v>
      </c>
      <c r="R82" s="17">
        <f t="shared" si="10"/>
        <v>1.64</v>
      </c>
    </row>
    <row r="83" spans="1:18" x14ac:dyDescent="0.25">
      <c r="A83" t="s">
        <v>866</v>
      </c>
      <c r="B83" t="s">
        <v>940</v>
      </c>
      <c r="C83">
        <v>2</v>
      </c>
      <c r="D83" s="14" t="s">
        <v>878</v>
      </c>
      <c r="E83">
        <v>61</v>
      </c>
      <c r="F83">
        <v>1.64</v>
      </c>
      <c r="H83" t="str">
        <f>LEFT(B83,3)&amp;"-T"</f>
        <v>119-T</v>
      </c>
      <c r="I83">
        <f t="shared" si="9"/>
        <v>1.64</v>
      </c>
      <c r="J83" s="1">
        <f>DATE(MID(D83,5,4),MID(D83,3,2),LEFT(D83,2))</f>
        <v>42461</v>
      </c>
      <c r="K83" s="1">
        <f>J83+E83</f>
        <v>42522</v>
      </c>
      <c r="L83" s="17">
        <f t="shared" si="8"/>
        <v>0.23428571428571426</v>
      </c>
      <c r="M83" s="17">
        <f t="shared" si="8"/>
        <v>1.64</v>
      </c>
      <c r="N83" s="17">
        <f t="shared" si="8"/>
        <v>1.64</v>
      </c>
      <c r="O83" s="17">
        <f t="shared" si="8"/>
        <v>1.64</v>
      </c>
      <c r="P83" s="17">
        <f t="shared" si="8"/>
        <v>1.64</v>
      </c>
      <c r="Q83" s="17">
        <f t="shared" si="8"/>
        <v>1.64</v>
      </c>
      <c r="R83" s="17">
        <f t="shared" si="10"/>
        <v>1.64</v>
      </c>
    </row>
    <row r="84" spans="1:18" x14ac:dyDescent="0.25">
      <c r="A84" t="s">
        <v>866</v>
      </c>
      <c r="B84" t="s">
        <v>940</v>
      </c>
      <c r="C84">
        <v>3</v>
      </c>
      <c r="D84" s="14" t="s">
        <v>878</v>
      </c>
      <c r="E84">
        <v>61</v>
      </c>
      <c r="F84">
        <v>1.64</v>
      </c>
      <c r="H84" t="str">
        <f>LEFT(B84,3)&amp;"-T"</f>
        <v>119-T</v>
      </c>
      <c r="I84">
        <f t="shared" si="9"/>
        <v>1.64</v>
      </c>
      <c r="J84" s="1">
        <f>DATE(MID(D84,5,4),MID(D84,3,2),LEFT(D84,2))</f>
        <v>42461</v>
      </c>
      <c r="K84" s="1">
        <f>J84+E84</f>
        <v>42522</v>
      </c>
      <c r="L84" s="17">
        <f t="shared" si="8"/>
        <v>0.23428571428571426</v>
      </c>
      <c r="M84" s="17">
        <f t="shared" si="8"/>
        <v>1.64</v>
      </c>
      <c r="N84" s="17">
        <f t="shared" si="8"/>
        <v>1.64</v>
      </c>
      <c r="O84" s="17">
        <f t="shared" si="8"/>
        <v>1.64</v>
      </c>
      <c r="P84" s="17">
        <f t="shared" si="8"/>
        <v>1.64</v>
      </c>
      <c r="Q84" s="17">
        <f t="shared" si="8"/>
        <v>1.64</v>
      </c>
      <c r="R84" s="17">
        <f t="shared" si="10"/>
        <v>1.64</v>
      </c>
    </row>
    <row r="85" spans="1:18" x14ac:dyDescent="0.25">
      <c r="A85" t="s">
        <v>866</v>
      </c>
      <c r="B85" t="s">
        <v>940</v>
      </c>
      <c r="C85">
        <v>4</v>
      </c>
      <c r="D85" s="14" t="s">
        <v>878</v>
      </c>
      <c r="E85">
        <v>61</v>
      </c>
      <c r="F85">
        <v>1.64</v>
      </c>
      <c r="H85" t="str">
        <f>LEFT(B85,3)&amp;"-T"</f>
        <v>119-T</v>
      </c>
      <c r="I85">
        <f t="shared" si="9"/>
        <v>1.64</v>
      </c>
      <c r="J85" s="1">
        <f>DATE(MID(D85,5,4),MID(D85,3,2),LEFT(D85,2))</f>
        <v>42461</v>
      </c>
      <c r="K85" s="1">
        <f>J85+E85</f>
        <v>42522</v>
      </c>
      <c r="L85" s="17">
        <f t="shared" ref="L85:Q100" si="11">-1*IF($K85&lt;L$3,0,IF($J85&gt;L$4,0,-1+MAX($J85,L$3)-MIN($K85,L$4)))*$I85/(L$4-L$3+1)</f>
        <v>0.23428571428571426</v>
      </c>
      <c r="M85" s="17">
        <f t="shared" si="11"/>
        <v>1.64</v>
      </c>
      <c r="N85" s="17">
        <f t="shared" si="11"/>
        <v>1.64</v>
      </c>
      <c r="O85" s="17">
        <f t="shared" si="11"/>
        <v>1.64</v>
      </c>
      <c r="P85" s="17">
        <f t="shared" si="11"/>
        <v>1.64</v>
      </c>
      <c r="Q85" s="17">
        <f t="shared" si="11"/>
        <v>1.64</v>
      </c>
      <c r="R85" s="17">
        <f t="shared" si="10"/>
        <v>1.64</v>
      </c>
    </row>
    <row r="86" spans="1:18" x14ac:dyDescent="0.25">
      <c r="A86" t="s">
        <v>866</v>
      </c>
      <c r="B86" t="s">
        <v>940</v>
      </c>
      <c r="C86">
        <v>5</v>
      </c>
      <c r="D86" s="14" t="s">
        <v>878</v>
      </c>
      <c r="E86">
        <v>61</v>
      </c>
      <c r="F86">
        <v>1.64</v>
      </c>
      <c r="H86" t="str">
        <f>LEFT(B86,3)&amp;"-T"</f>
        <v>119-T</v>
      </c>
      <c r="I86">
        <f t="shared" si="9"/>
        <v>1.64</v>
      </c>
      <c r="J86" s="1">
        <f>DATE(MID(D86,5,4),MID(D86,3,2),LEFT(D86,2))</f>
        <v>42461</v>
      </c>
      <c r="K86" s="1">
        <f>J86+E86</f>
        <v>42522</v>
      </c>
      <c r="L86" s="17">
        <f t="shared" si="11"/>
        <v>0.23428571428571426</v>
      </c>
      <c r="M86" s="17">
        <f t="shared" si="11"/>
        <v>1.64</v>
      </c>
      <c r="N86" s="17">
        <f t="shared" si="11"/>
        <v>1.64</v>
      </c>
      <c r="O86" s="17">
        <f t="shared" si="11"/>
        <v>1.64</v>
      </c>
      <c r="P86" s="17">
        <f t="shared" si="11"/>
        <v>1.64</v>
      </c>
      <c r="Q86" s="17">
        <f t="shared" si="11"/>
        <v>1.64</v>
      </c>
      <c r="R86" s="17">
        <f t="shared" si="10"/>
        <v>1.64</v>
      </c>
    </row>
    <row r="87" spans="1:18" x14ac:dyDescent="0.25">
      <c r="A87" t="s">
        <v>866</v>
      </c>
      <c r="B87" t="s">
        <v>940</v>
      </c>
      <c r="C87">
        <v>6</v>
      </c>
      <c r="D87" s="14" t="s">
        <v>878</v>
      </c>
      <c r="E87">
        <v>61</v>
      </c>
      <c r="F87">
        <v>1.64</v>
      </c>
      <c r="H87" t="str">
        <f>LEFT(B87,3)&amp;"-T"</f>
        <v>119-T</v>
      </c>
      <c r="I87">
        <f t="shared" si="9"/>
        <v>1.64</v>
      </c>
      <c r="J87" s="1">
        <f>DATE(MID(D87,5,4),MID(D87,3,2),LEFT(D87,2))</f>
        <v>42461</v>
      </c>
      <c r="K87" s="1">
        <f>J87+E87</f>
        <v>42522</v>
      </c>
      <c r="L87" s="17">
        <f t="shared" si="11"/>
        <v>0.23428571428571426</v>
      </c>
      <c r="M87" s="17">
        <f t="shared" si="11"/>
        <v>1.64</v>
      </c>
      <c r="N87" s="17">
        <f t="shared" si="11"/>
        <v>1.64</v>
      </c>
      <c r="O87" s="17">
        <f t="shared" si="11"/>
        <v>1.64</v>
      </c>
      <c r="P87" s="17">
        <f t="shared" si="11"/>
        <v>1.64</v>
      </c>
      <c r="Q87" s="17">
        <f t="shared" si="11"/>
        <v>1.64</v>
      </c>
      <c r="R87" s="17">
        <f t="shared" si="10"/>
        <v>1.64</v>
      </c>
    </row>
    <row r="88" spans="1:18" x14ac:dyDescent="0.25">
      <c r="A88" t="s">
        <v>866</v>
      </c>
      <c r="B88" t="s">
        <v>940</v>
      </c>
      <c r="C88">
        <v>7</v>
      </c>
      <c r="D88" s="14" t="s">
        <v>878</v>
      </c>
      <c r="E88">
        <v>61</v>
      </c>
      <c r="F88">
        <v>1.64</v>
      </c>
      <c r="H88" t="str">
        <f>LEFT(B88,3)&amp;"-T"</f>
        <v>119-T</v>
      </c>
      <c r="I88">
        <f t="shared" si="9"/>
        <v>1.64</v>
      </c>
      <c r="J88" s="1">
        <f>DATE(MID(D88,5,4),MID(D88,3,2),LEFT(D88,2))</f>
        <v>42461</v>
      </c>
      <c r="K88" s="1">
        <f>J88+E88</f>
        <v>42522</v>
      </c>
      <c r="L88" s="17">
        <f t="shared" si="11"/>
        <v>0.23428571428571426</v>
      </c>
      <c r="M88" s="17">
        <f t="shared" si="11"/>
        <v>1.64</v>
      </c>
      <c r="N88" s="17">
        <f t="shared" si="11"/>
        <v>1.64</v>
      </c>
      <c r="O88" s="17">
        <f t="shared" si="11"/>
        <v>1.64</v>
      </c>
      <c r="P88" s="17">
        <f t="shared" si="11"/>
        <v>1.64</v>
      </c>
      <c r="Q88" s="17">
        <f t="shared" si="11"/>
        <v>1.64</v>
      </c>
      <c r="R88" s="17">
        <f t="shared" si="10"/>
        <v>1.64</v>
      </c>
    </row>
    <row r="89" spans="1:18" x14ac:dyDescent="0.25">
      <c r="A89" t="s">
        <v>866</v>
      </c>
      <c r="B89" t="s">
        <v>940</v>
      </c>
      <c r="C89">
        <v>8</v>
      </c>
      <c r="D89" s="14" t="s">
        <v>878</v>
      </c>
      <c r="E89">
        <v>61</v>
      </c>
      <c r="F89">
        <v>1.64</v>
      </c>
      <c r="H89" t="str">
        <f>LEFT(B89,3)&amp;"-T"</f>
        <v>119-T</v>
      </c>
      <c r="I89">
        <f t="shared" si="9"/>
        <v>1.64</v>
      </c>
      <c r="J89" s="1">
        <f>DATE(MID(D89,5,4),MID(D89,3,2),LEFT(D89,2))</f>
        <v>42461</v>
      </c>
      <c r="K89" s="1">
        <f>J89+E89</f>
        <v>42522</v>
      </c>
      <c r="L89" s="17">
        <f t="shared" si="11"/>
        <v>0.23428571428571426</v>
      </c>
      <c r="M89" s="17">
        <f t="shared" si="11"/>
        <v>1.64</v>
      </c>
      <c r="N89" s="17">
        <f t="shared" si="11"/>
        <v>1.64</v>
      </c>
      <c r="O89" s="17">
        <f t="shared" si="11"/>
        <v>1.64</v>
      </c>
      <c r="P89" s="17">
        <f t="shared" si="11"/>
        <v>1.64</v>
      </c>
      <c r="Q89" s="17">
        <f t="shared" si="11"/>
        <v>1.64</v>
      </c>
      <c r="R89" s="17">
        <f t="shared" si="10"/>
        <v>1.64</v>
      </c>
    </row>
    <row r="90" spans="1:18" x14ac:dyDescent="0.25">
      <c r="A90" t="s">
        <v>866</v>
      </c>
      <c r="B90" t="s">
        <v>940</v>
      </c>
      <c r="C90">
        <v>9</v>
      </c>
      <c r="D90" s="14" t="s">
        <v>878</v>
      </c>
      <c r="E90">
        <v>61</v>
      </c>
      <c r="F90">
        <v>1.64</v>
      </c>
      <c r="H90" t="str">
        <f>LEFT(B90,3)&amp;"-T"</f>
        <v>119-T</v>
      </c>
      <c r="I90">
        <f t="shared" si="9"/>
        <v>1.64</v>
      </c>
      <c r="J90" s="1">
        <f>DATE(MID(D90,5,4),MID(D90,3,2),LEFT(D90,2))</f>
        <v>42461</v>
      </c>
      <c r="K90" s="1">
        <f>J90+E90</f>
        <v>42522</v>
      </c>
      <c r="L90" s="17">
        <f t="shared" si="11"/>
        <v>0.23428571428571426</v>
      </c>
      <c r="M90" s="17">
        <f t="shared" si="11"/>
        <v>1.64</v>
      </c>
      <c r="N90" s="17">
        <f t="shared" si="11"/>
        <v>1.64</v>
      </c>
      <c r="O90" s="17">
        <f t="shared" si="11"/>
        <v>1.64</v>
      </c>
      <c r="P90" s="17">
        <f t="shared" si="11"/>
        <v>1.64</v>
      </c>
      <c r="Q90" s="17">
        <f t="shared" si="11"/>
        <v>1.64</v>
      </c>
      <c r="R90" s="17">
        <f t="shared" si="10"/>
        <v>1.64</v>
      </c>
    </row>
    <row r="91" spans="1:18" x14ac:dyDescent="0.25">
      <c r="A91" t="s">
        <v>866</v>
      </c>
      <c r="B91" t="s">
        <v>941</v>
      </c>
      <c r="C91">
        <v>1</v>
      </c>
      <c r="D91" s="14" t="s">
        <v>878</v>
      </c>
      <c r="E91">
        <v>61</v>
      </c>
      <c r="F91">
        <v>1.64</v>
      </c>
      <c r="H91" t="str">
        <f>LEFT(B91,3)&amp;"-T"</f>
        <v>121-T</v>
      </c>
      <c r="I91">
        <f t="shared" si="9"/>
        <v>1.64</v>
      </c>
      <c r="J91" s="1">
        <f>DATE(MID(D91,5,4),MID(D91,3,2),LEFT(D91,2))</f>
        <v>42461</v>
      </c>
      <c r="K91" s="1">
        <f>J91+E91</f>
        <v>42522</v>
      </c>
      <c r="L91" s="17">
        <f t="shared" si="11"/>
        <v>0.23428571428571426</v>
      </c>
      <c r="M91" s="17">
        <f t="shared" si="11"/>
        <v>1.64</v>
      </c>
      <c r="N91" s="17">
        <f t="shared" si="11"/>
        <v>1.64</v>
      </c>
      <c r="O91" s="17">
        <f t="shared" si="11"/>
        <v>1.64</v>
      </c>
      <c r="P91" s="17">
        <f t="shared" si="11"/>
        <v>1.64</v>
      </c>
      <c r="Q91" s="17">
        <f t="shared" si="11"/>
        <v>1.64</v>
      </c>
      <c r="R91" s="17">
        <f t="shared" si="10"/>
        <v>1.64</v>
      </c>
    </row>
    <row r="92" spans="1:18" x14ac:dyDescent="0.25">
      <c r="A92" t="s">
        <v>866</v>
      </c>
      <c r="B92" t="s">
        <v>941</v>
      </c>
      <c r="C92">
        <v>2</v>
      </c>
      <c r="D92" s="14" t="s">
        <v>878</v>
      </c>
      <c r="E92">
        <v>61</v>
      </c>
      <c r="F92">
        <v>1.64</v>
      </c>
      <c r="H92" t="str">
        <f>LEFT(B92,3)&amp;"-T"</f>
        <v>121-T</v>
      </c>
      <c r="I92">
        <f t="shared" si="9"/>
        <v>1.64</v>
      </c>
      <c r="J92" s="1">
        <f>DATE(MID(D92,5,4),MID(D92,3,2),LEFT(D92,2))</f>
        <v>42461</v>
      </c>
      <c r="K92" s="1">
        <f>J92+E92</f>
        <v>42522</v>
      </c>
      <c r="L92" s="17">
        <f t="shared" si="11"/>
        <v>0.23428571428571426</v>
      </c>
      <c r="M92" s="17">
        <f t="shared" si="11"/>
        <v>1.64</v>
      </c>
      <c r="N92" s="17">
        <f t="shared" si="11"/>
        <v>1.64</v>
      </c>
      <c r="O92" s="17">
        <f t="shared" si="11"/>
        <v>1.64</v>
      </c>
      <c r="P92" s="17">
        <f t="shared" si="11"/>
        <v>1.64</v>
      </c>
      <c r="Q92" s="17">
        <f t="shared" si="11"/>
        <v>1.64</v>
      </c>
      <c r="R92" s="17">
        <f t="shared" si="10"/>
        <v>1.64</v>
      </c>
    </row>
    <row r="93" spans="1:18" x14ac:dyDescent="0.25">
      <c r="A93" t="s">
        <v>866</v>
      </c>
      <c r="B93" t="s">
        <v>941</v>
      </c>
      <c r="C93">
        <v>3</v>
      </c>
      <c r="D93" s="14" t="s">
        <v>878</v>
      </c>
      <c r="E93">
        <v>61</v>
      </c>
      <c r="F93">
        <v>1.64</v>
      </c>
      <c r="H93" t="str">
        <f>LEFT(B93,3)&amp;"-T"</f>
        <v>121-T</v>
      </c>
      <c r="I93">
        <f t="shared" si="9"/>
        <v>1.64</v>
      </c>
      <c r="J93" s="1">
        <f>DATE(MID(D93,5,4),MID(D93,3,2),LEFT(D93,2))</f>
        <v>42461</v>
      </c>
      <c r="K93" s="1">
        <f>J93+E93</f>
        <v>42522</v>
      </c>
      <c r="L93" s="17">
        <f t="shared" si="11"/>
        <v>0.23428571428571426</v>
      </c>
      <c r="M93" s="17">
        <f t="shared" si="11"/>
        <v>1.64</v>
      </c>
      <c r="N93" s="17">
        <f t="shared" si="11"/>
        <v>1.64</v>
      </c>
      <c r="O93" s="17">
        <f t="shared" si="11"/>
        <v>1.64</v>
      </c>
      <c r="P93" s="17">
        <f t="shared" si="11"/>
        <v>1.64</v>
      </c>
      <c r="Q93" s="17">
        <f t="shared" si="11"/>
        <v>1.64</v>
      </c>
      <c r="R93" s="17">
        <f t="shared" si="10"/>
        <v>1.64</v>
      </c>
    </row>
    <row r="94" spans="1:18" x14ac:dyDescent="0.25">
      <c r="A94" t="s">
        <v>866</v>
      </c>
      <c r="B94" t="s">
        <v>941</v>
      </c>
      <c r="C94">
        <v>4</v>
      </c>
      <c r="D94" s="14" t="s">
        <v>878</v>
      </c>
      <c r="E94">
        <v>61</v>
      </c>
      <c r="F94">
        <v>1.64</v>
      </c>
      <c r="H94" t="str">
        <f>LEFT(B94,3)&amp;"-T"</f>
        <v>121-T</v>
      </c>
      <c r="I94">
        <f t="shared" si="9"/>
        <v>1.64</v>
      </c>
      <c r="J94" s="1">
        <f>DATE(MID(D94,5,4),MID(D94,3,2),LEFT(D94,2))</f>
        <v>42461</v>
      </c>
      <c r="K94" s="1">
        <f>J94+E94</f>
        <v>42522</v>
      </c>
      <c r="L94" s="17">
        <f t="shared" si="11"/>
        <v>0.23428571428571426</v>
      </c>
      <c r="M94" s="17">
        <f t="shared" si="11"/>
        <v>1.64</v>
      </c>
      <c r="N94" s="17">
        <f t="shared" si="11"/>
        <v>1.64</v>
      </c>
      <c r="O94" s="17">
        <f t="shared" si="11"/>
        <v>1.64</v>
      </c>
      <c r="P94" s="17">
        <f t="shared" si="11"/>
        <v>1.64</v>
      </c>
      <c r="Q94" s="17">
        <f t="shared" si="11"/>
        <v>1.64</v>
      </c>
      <c r="R94" s="17">
        <f t="shared" si="10"/>
        <v>1.64</v>
      </c>
    </row>
    <row r="95" spans="1:18" x14ac:dyDescent="0.25">
      <c r="A95" t="s">
        <v>866</v>
      </c>
      <c r="B95" t="s">
        <v>941</v>
      </c>
      <c r="C95">
        <v>5</v>
      </c>
      <c r="D95" s="14" t="s">
        <v>878</v>
      </c>
      <c r="E95">
        <v>61</v>
      </c>
      <c r="F95">
        <v>1.64</v>
      </c>
      <c r="H95" t="str">
        <f>LEFT(B95,3)&amp;"-T"</f>
        <v>121-T</v>
      </c>
      <c r="I95">
        <f t="shared" si="9"/>
        <v>1.64</v>
      </c>
      <c r="J95" s="1">
        <f>DATE(MID(D95,5,4),MID(D95,3,2),LEFT(D95,2))</f>
        <v>42461</v>
      </c>
      <c r="K95" s="1">
        <f>J95+E95</f>
        <v>42522</v>
      </c>
      <c r="L95" s="17">
        <f t="shared" si="11"/>
        <v>0.23428571428571426</v>
      </c>
      <c r="M95" s="17">
        <f t="shared" si="11"/>
        <v>1.64</v>
      </c>
      <c r="N95" s="17">
        <f t="shared" si="11"/>
        <v>1.64</v>
      </c>
      <c r="O95" s="17">
        <f t="shared" si="11"/>
        <v>1.64</v>
      </c>
      <c r="P95" s="17">
        <f t="shared" si="11"/>
        <v>1.64</v>
      </c>
      <c r="Q95" s="17">
        <f t="shared" si="11"/>
        <v>1.64</v>
      </c>
      <c r="R95" s="17">
        <f t="shared" si="10"/>
        <v>1.64</v>
      </c>
    </row>
    <row r="96" spans="1:18" x14ac:dyDescent="0.25">
      <c r="A96" t="s">
        <v>866</v>
      </c>
      <c r="B96" t="s">
        <v>941</v>
      </c>
      <c r="C96">
        <v>6</v>
      </c>
      <c r="D96" s="14" t="s">
        <v>878</v>
      </c>
      <c r="E96">
        <v>61</v>
      </c>
      <c r="F96">
        <v>1.64</v>
      </c>
      <c r="H96" t="str">
        <f>LEFT(B96,3)&amp;"-T"</f>
        <v>121-T</v>
      </c>
      <c r="I96">
        <f t="shared" si="9"/>
        <v>1.64</v>
      </c>
      <c r="J96" s="1">
        <f>DATE(MID(D96,5,4),MID(D96,3,2),LEFT(D96,2))</f>
        <v>42461</v>
      </c>
      <c r="K96" s="1">
        <f>J96+E96</f>
        <v>42522</v>
      </c>
      <c r="L96" s="17">
        <f t="shared" si="11"/>
        <v>0.23428571428571426</v>
      </c>
      <c r="M96" s="17">
        <f t="shared" si="11"/>
        <v>1.64</v>
      </c>
      <c r="N96" s="17">
        <f t="shared" si="11"/>
        <v>1.64</v>
      </c>
      <c r="O96" s="17">
        <f t="shared" si="11"/>
        <v>1.64</v>
      </c>
      <c r="P96" s="17">
        <f t="shared" si="11"/>
        <v>1.64</v>
      </c>
      <c r="Q96" s="17">
        <f t="shared" si="11"/>
        <v>1.64</v>
      </c>
      <c r="R96" s="17">
        <f t="shared" si="10"/>
        <v>1.64</v>
      </c>
    </row>
    <row r="97" spans="1:18" x14ac:dyDescent="0.25">
      <c r="A97" t="s">
        <v>866</v>
      </c>
      <c r="B97" t="s">
        <v>941</v>
      </c>
      <c r="C97">
        <v>7</v>
      </c>
      <c r="D97" s="14" t="s">
        <v>878</v>
      </c>
      <c r="E97">
        <v>61</v>
      </c>
      <c r="F97">
        <v>1.64</v>
      </c>
      <c r="H97" t="str">
        <f>LEFT(B97,3)&amp;"-T"</f>
        <v>121-T</v>
      </c>
      <c r="I97">
        <f t="shared" si="9"/>
        <v>1.64</v>
      </c>
      <c r="J97" s="1">
        <f>DATE(MID(D97,5,4),MID(D97,3,2),LEFT(D97,2))</f>
        <v>42461</v>
      </c>
      <c r="K97" s="1">
        <f>J97+E97</f>
        <v>42522</v>
      </c>
      <c r="L97" s="17">
        <f t="shared" si="11"/>
        <v>0.23428571428571426</v>
      </c>
      <c r="M97" s="17">
        <f t="shared" si="11"/>
        <v>1.64</v>
      </c>
      <c r="N97" s="17">
        <f t="shared" si="11"/>
        <v>1.64</v>
      </c>
      <c r="O97" s="17">
        <f t="shared" si="11"/>
        <v>1.64</v>
      </c>
      <c r="P97" s="17">
        <f t="shared" si="11"/>
        <v>1.64</v>
      </c>
      <c r="Q97" s="17">
        <f t="shared" si="11"/>
        <v>1.64</v>
      </c>
      <c r="R97" s="17">
        <f t="shared" si="10"/>
        <v>1.64</v>
      </c>
    </row>
    <row r="98" spans="1:18" x14ac:dyDescent="0.25">
      <c r="A98" t="s">
        <v>866</v>
      </c>
      <c r="B98" t="s">
        <v>941</v>
      </c>
      <c r="C98">
        <v>8</v>
      </c>
      <c r="D98" s="14" t="s">
        <v>878</v>
      </c>
      <c r="E98">
        <v>61</v>
      </c>
      <c r="F98">
        <v>1.64</v>
      </c>
      <c r="H98" t="str">
        <f>LEFT(B98,3)&amp;"-T"</f>
        <v>121-T</v>
      </c>
      <c r="I98">
        <f t="shared" si="9"/>
        <v>1.64</v>
      </c>
      <c r="J98" s="1">
        <f>DATE(MID(D98,5,4),MID(D98,3,2),LEFT(D98,2))</f>
        <v>42461</v>
      </c>
      <c r="K98" s="1">
        <f>J98+E98</f>
        <v>42522</v>
      </c>
      <c r="L98" s="17">
        <f t="shared" si="11"/>
        <v>0.23428571428571426</v>
      </c>
      <c r="M98" s="17">
        <f t="shared" si="11"/>
        <v>1.64</v>
      </c>
      <c r="N98" s="17">
        <f t="shared" si="11"/>
        <v>1.64</v>
      </c>
      <c r="O98" s="17">
        <f t="shared" si="11"/>
        <v>1.64</v>
      </c>
      <c r="P98" s="17">
        <f t="shared" si="11"/>
        <v>1.64</v>
      </c>
      <c r="Q98" s="17">
        <f t="shared" si="11"/>
        <v>1.64</v>
      </c>
      <c r="R98" s="17">
        <f t="shared" si="10"/>
        <v>1.64</v>
      </c>
    </row>
    <row r="99" spans="1:18" x14ac:dyDescent="0.25">
      <c r="A99" t="s">
        <v>866</v>
      </c>
      <c r="B99" t="s">
        <v>942</v>
      </c>
      <c r="C99">
        <v>1</v>
      </c>
      <c r="D99" s="14" t="s">
        <v>878</v>
      </c>
      <c r="E99">
        <v>61</v>
      </c>
      <c r="F99">
        <v>1.64</v>
      </c>
      <c r="H99" t="str">
        <f>LEFT(B99,3)&amp;"-T"</f>
        <v>125-T</v>
      </c>
      <c r="I99">
        <f t="shared" si="9"/>
        <v>1.64</v>
      </c>
      <c r="J99" s="1">
        <f>DATE(MID(D99,5,4),MID(D99,3,2),LEFT(D99,2))</f>
        <v>42461</v>
      </c>
      <c r="K99" s="1">
        <f>J99+E99</f>
        <v>42522</v>
      </c>
      <c r="L99" s="17">
        <f t="shared" si="11"/>
        <v>0.23428571428571426</v>
      </c>
      <c r="M99" s="17">
        <f t="shared" si="11"/>
        <v>1.64</v>
      </c>
      <c r="N99" s="17">
        <f t="shared" si="11"/>
        <v>1.64</v>
      </c>
      <c r="O99" s="17">
        <f t="shared" si="11"/>
        <v>1.64</v>
      </c>
      <c r="P99" s="17">
        <f t="shared" si="11"/>
        <v>1.64</v>
      </c>
      <c r="Q99" s="17">
        <f t="shared" si="11"/>
        <v>1.64</v>
      </c>
      <c r="R99" s="17">
        <f t="shared" si="10"/>
        <v>1.64</v>
      </c>
    </row>
    <row r="100" spans="1:18" x14ac:dyDescent="0.25">
      <c r="A100" t="s">
        <v>866</v>
      </c>
      <c r="B100" t="s">
        <v>942</v>
      </c>
      <c r="C100">
        <v>2</v>
      </c>
      <c r="D100" s="14" t="s">
        <v>878</v>
      </c>
      <c r="E100">
        <v>61</v>
      </c>
      <c r="F100">
        <v>1.64</v>
      </c>
      <c r="H100" t="str">
        <f>LEFT(B100,3)&amp;"-T"</f>
        <v>125-T</v>
      </c>
      <c r="I100">
        <f t="shared" si="9"/>
        <v>1.64</v>
      </c>
      <c r="J100" s="1">
        <f>DATE(MID(D100,5,4),MID(D100,3,2),LEFT(D100,2))</f>
        <v>42461</v>
      </c>
      <c r="K100" s="1">
        <f>J100+E100</f>
        <v>42522</v>
      </c>
      <c r="L100" s="17">
        <f t="shared" si="11"/>
        <v>0.23428571428571426</v>
      </c>
      <c r="M100" s="17">
        <f t="shared" si="11"/>
        <v>1.64</v>
      </c>
      <c r="N100" s="17">
        <f t="shared" si="11"/>
        <v>1.64</v>
      </c>
      <c r="O100" s="17">
        <f t="shared" si="11"/>
        <v>1.64</v>
      </c>
      <c r="P100" s="17">
        <f t="shared" si="11"/>
        <v>1.64</v>
      </c>
      <c r="Q100" s="17">
        <f t="shared" si="11"/>
        <v>1.64</v>
      </c>
      <c r="R100" s="17">
        <f t="shared" si="10"/>
        <v>1.64</v>
      </c>
    </row>
    <row r="101" spans="1:18" x14ac:dyDescent="0.25">
      <c r="A101" t="s">
        <v>866</v>
      </c>
      <c r="B101" t="s">
        <v>942</v>
      </c>
      <c r="C101">
        <v>3</v>
      </c>
      <c r="D101" s="14" t="s">
        <v>878</v>
      </c>
      <c r="E101">
        <v>61</v>
      </c>
      <c r="F101">
        <v>1.64</v>
      </c>
      <c r="H101" t="str">
        <f>LEFT(B101,3)&amp;"-T"</f>
        <v>125-T</v>
      </c>
      <c r="I101">
        <f t="shared" si="9"/>
        <v>1.64</v>
      </c>
      <c r="J101" s="1">
        <f>DATE(MID(D101,5,4),MID(D101,3,2),LEFT(D101,2))</f>
        <v>42461</v>
      </c>
      <c r="K101" s="1">
        <f>J101+E101</f>
        <v>42522</v>
      </c>
      <c r="L101" s="17">
        <f t="shared" ref="L101:Q116" si="12">-1*IF($K101&lt;L$3,0,IF($J101&gt;L$4,0,-1+MAX($J101,L$3)-MIN($K101,L$4)))*$I101/(L$4-L$3+1)</f>
        <v>0.23428571428571426</v>
      </c>
      <c r="M101" s="17">
        <f t="shared" si="12"/>
        <v>1.64</v>
      </c>
      <c r="N101" s="17">
        <f t="shared" si="12"/>
        <v>1.64</v>
      </c>
      <c r="O101" s="17">
        <f t="shared" si="12"/>
        <v>1.64</v>
      </c>
      <c r="P101" s="17">
        <f t="shared" si="12"/>
        <v>1.64</v>
      </c>
      <c r="Q101" s="17">
        <f t="shared" si="12"/>
        <v>1.64</v>
      </c>
      <c r="R101" s="17">
        <f t="shared" si="10"/>
        <v>1.64</v>
      </c>
    </row>
    <row r="102" spans="1:18" x14ac:dyDescent="0.25">
      <c r="A102" t="s">
        <v>866</v>
      </c>
      <c r="B102" t="s">
        <v>942</v>
      </c>
      <c r="C102">
        <v>4</v>
      </c>
      <c r="D102" s="14" t="s">
        <v>878</v>
      </c>
      <c r="E102">
        <v>61</v>
      </c>
      <c r="F102">
        <v>1.64</v>
      </c>
      <c r="H102" t="str">
        <f>LEFT(B102,3)&amp;"-T"</f>
        <v>125-T</v>
      </c>
      <c r="I102">
        <f t="shared" si="9"/>
        <v>1.64</v>
      </c>
      <c r="J102" s="1">
        <f>DATE(MID(D102,5,4),MID(D102,3,2),LEFT(D102,2))</f>
        <v>42461</v>
      </c>
      <c r="K102" s="1">
        <f>J102+E102</f>
        <v>42522</v>
      </c>
      <c r="L102" s="17">
        <f t="shared" si="12"/>
        <v>0.23428571428571426</v>
      </c>
      <c r="M102" s="17">
        <f t="shared" si="12"/>
        <v>1.64</v>
      </c>
      <c r="N102" s="17">
        <f t="shared" si="12"/>
        <v>1.64</v>
      </c>
      <c r="O102" s="17">
        <f t="shared" si="12"/>
        <v>1.64</v>
      </c>
      <c r="P102" s="17">
        <f t="shared" si="12"/>
        <v>1.64</v>
      </c>
      <c r="Q102" s="17">
        <f t="shared" si="12"/>
        <v>1.64</v>
      </c>
      <c r="R102" s="17">
        <f t="shared" si="10"/>
        <v>1.64</v>
      </c>
    </row>
    <row r="103" spans="1:18" x14ac:dyDescent="0.25">
      <c r="A103" t="s">
        <v>866</v>
      </c>
      <c r="B103" t="s">
        <v>942</v>
      </c>
      <c r="C103">
        <v>5</v>
      </c>
      <c r="D103" s="14" t="s">
        <v>878</v>
      </c>
      <c r="E103">
        <v>61</v>
      </c>
      <c r="F103">
        <v>1.64</v>
      </c>
      <c r="H103" t="str">
        <f>LEFT(B103,3)&amp;"-T"</f>
        <v>125-T</v>
      </c>
      <c r="I103">
        <f t="shared" si="9"/>
        <v>1.64</v>
      </c>
      <c r="J103" s="1">
        <f>DATE(MID(D103,5,4),MID(D103,3,2),LEFT(D103,2))</f>
        <v>42461</v>
      </c>
      <c r="K103" s="1">
        <f>J103+E103</f>
        <v>42522</v>
      </c>
      <c r="L103" s="17">
        <f t="shared" si="12"/>
        <v>0.23428571428571426</v>
      </c>
      <c r="M103" s="17">
        <f t="shared" si="12"/>
        <v>1.64</v>
      </c>
      <c r="N103" s="17">
        <f t="shared" si="12"/>
        <v>1.64</v>
      </c>
      <c r="O103" s="17">
        <f t="shared" si="12"/>
        <v>1.64</v>
      </c>
      <c r="P103" s="17">
        <f t="shared" si="12"/>
        <v>1.64</v>
      </c>
      <c r="Q103" s="17">
        <f t="shared" si="12"/>
        <v>1.64</v>
      </c>
      <c r="R103" s="17">
        <f t="shared" si="10"/>
        <v>1.64</v>
      </c>
    </row>
    <row r="104" spans="1:18" x14ac:dyDescent="0.25">
      <c r="A104" t="s">
        <v>866</v>
      </c>
      <c r="B104" t="s">
        <v>942</v>
      </c>
      <c r="C104">
        <v>6</v>
      </c>
      <c r="D104" s="14" t="s">
        <v>878</v>
      </c>
      <c r="E104">
        <v>61</v>
      </c>
      <c r="F104">
        <v>1.64</v>
      </c>
      <c r="H104" t="str">
        <f>LEFT(B104,3)&amp;"-T"</f>
        <v>125-T</v>
      </c>
      <c r="I104">
        <f t="shared" si="9"/>
        <v>1.64</v>
      </c>
      <c r="J104" s="1">
        <f>DATE(MID(D104,5,4),MID(D104,3,2),LEFT(D104,2))</f>
        <v>42461</v>
      </c>
      <c r="K104" s="1">
        <f>J104+E104</f>
        <v>42522</v>
      </c>
      <c r="L104" s="17">
        <f t="shared" si="12"/>
        <v>0.23428571428571426</v>
      </c>
      <c r="M104" s="17">
        <f t="shared" si="12"/>
        <v>1.64</v>
      </c>
      <c r="N104" s="17">
        <f t="shared" si="12"/>
        <v>1.64</v>
      </c>
      <c r="O104" s="17">
        <f t="shared" si="12"/>
        <v>1.64</v>
      </c>
      <c r="P104" s="17">
        <f t="shared" si="12"/>
        <v>1.64</v>
      </c>
      <c r="Q104" s="17">
        <f t="shared" si="12"/>
        <v>1.64</v>
      </c>
      <c r="R104" s="17">
        <f t="shared" si="10"/>
        <v>1.64</v>
      </c>
    </row>
    <row r="105" spans="1:18" x14ac:dyDescent="0.25">
      <c r="A105" t="s">
        <v>866</v>
      </c>
      <c r="B105" t="s">
        <v>942</v>
      </c>
      <c r="C105">
        <v>7</v>
      </c>
      <c r="D105" s="14" t="s">
        <v>878</v>
      </c>
      <c r="E105">
        <v>61</v>
      </c>
      <c r="F105">
        <v>1.64</v>
      </c>
      <c r="H105" t="str">
        <f>LEFT(B105,3)&amp;"-T"</f>
        <v>125-T</v>
      </c>
      <c r="I105">
        <f t="shared" si="9"/>
        <v>1.64</v>
      </c>
      <c r="J105" s="1">
        <f>DATE(MID(D105,5,4),MID(D105,3,2),LEFT(D105,2))</f>
        <v>42461</v>
      </c>
      <c r="K105" s="1">
        <f>J105+E105</f>
        <v>42522</v>
      </c>
      <c r="L105" s="17">
        <f t="shared" si="12"/>
        <v>0.23428571428571426</v>
      </c>
      <c r="M105" s="17">
        <f t="shared" si="12"/>
        <v>1.64</v>
      </c>
      <c r="N105" s="17">
        <f t="shared" si="12"/>
        <v>1.64</v>
      </c>
      <c r="O105" s="17">
        <f t="shared" si="12"/>
        <v>1.64</v>
      </c>
      <c r="P105" s="17">
        <f t="shared" si="12"/>
        <v>1.64</v>
      </c>
      <c r="Q105" s="17">
        <f t="shared" si="12"/>
        <v>1.64</v>
      </c>
      <c r="R105" s="17">
        <f t="shared" si="10"/>
        <v>1.64</v>
      </c>
    </row>
    <row r="106" spans="1:18" x14ac:dyDescent="0.25">
      <c r="A106" t="s">
        <v>866</v>
      </c>
      <c r="B106" t="s">
        <v>942</v>
      </c>
      <c r="C106">
        <v>8</v>
      </c>
      <c r="D106" s="14" t="s">
        <v>878</v>
      </c>
      <c r="E106">
        <v>61</v>
      </c>
      <c r="F106">
        <v>1.64</v>
      </c>
      <c r="H106" t="str">
        <f>LEFT(B106,3)&amp;"-T"</f>
        <v>125-T</v>
      </c>
      <c r="I106">
        <f t="shared" si="9"/>
        <v>1.64</v>
      </c>
      <c r="J106" s="1">
        <f>DATE(MID(D106,5,4),MID(D106,3,2),LEFT(D106,2))</f>
        <v>42461</v>
      </c>
      <c r="K106" s="1">
        <f>J106+E106</f>
        <v>42522</v>
      </c>
      <c r="L106" s="17">
        <f t="shared" si="12"/>
        <v>0.23428571428571426</v>
      </c>
      <c r="M106" s="17">
        <f t="shared" si="12"/>
        <v>1.64</v>
      </c>
      <c r="N106" s="17">
        <f t="shared" si="12"/>
        <v>1.64</v>
      </c>
      <c r="O106" s="17">
        <f t="shared" si="12"/>
        <v>1.64</v>
      </c>
      <c r="P106" s="17">
        <f t="shared" si="12"/>
        <v>1.64</v>
      </c>
      <c r="Q106" s="17">
        <f t="shared" si="12"/>
        <v>1.64</v>
      </c>
      <c r="R106" s="17">
        <f t="shared" si="10"/>
        <v>1.64</v>
      </c>
    </row>
    <row r="107" spans="1:18" x14ac:dyDescent="0.25">
      <c r="A107" t="s">
        <v>866</v>
      </c>
      <c r="B107" t="s">
        <v>942</v>
      </c>
      <c r="C107">
        <v>9</v>
      </c>
      <c r="D107" s="14" t="s">
        <v>878</v>
      </c>
      <c r="E107">
        <v>61</v>
      </c>
      <c r="F107">
        <v>1.64</v>
      </c>
      <c r="H107" t="str">
        <f>LEFT(B107,3)&amp;"-T"</f>
        <v>125-T</v>
      </c>
      <c r="I107">
        <f t="shared" si="9"/>
        <v>1.64</v>
      </c>
      <c r="J107" s="1">
        <f>DATE(MID(D107,5,4),MID(D107,3,2),LEFT(D107,2))</f>
        <v>42461</v>
      </c>
      <c r="K107" s="1">
        <f>J107+E107</f>
        <v>42522</v>
      </c>
      <c r="L107" s="17">
        <f t="shared" si="12"/>
        <v>0.23428571428571426</v>
      </c>
      <c r="M107" s="17">
        <f t="shared" si="12"/>
        <v>1.64</v>
      </c>
      <c r="N107" s="17">
        <f t="shared" si="12"/>
        <v>1.64</v>
      </c>
      <c r="O107" s="17">
        <f t="shared" si="12"/>
        <v>1.64</v>
      </c>
      <c r="P107" s="17">
        <f t="shared" si="12"/>
        <v>1.64</v>
      </c>
      <c r="Q107" s="17">
        <f t="shared" si="12"/>
        <v>1.64</v>
      </c>
      <c r="R107" s="17">
        <f t="shared" si="10"/>
        <v>1.64</v>
      </c>
    </row>
    <row r="108" spans="1:18" x14ac:dyDescent="0.25">
      <c r="A108" t="s">
        <v>858</v>
      </c>
      <c r="B108" t="s">
        <v>943</v>
      </c>
      <c r="C108">
        <v>2</v>
      </c>
      <c r="D108" s="14" t="s">
        <v>878</v>
      </c>
      <c r="E108">
        <v>28</v>
      </c>
      <c r="F108">
        <v>29.81</v>
      </c>
      <c r="H108" t="str">
        <f>LEFT(B108,3)&amp;"-T"</f>
        <v xml:space="preserve"> 74-T</v>
      </c>
      <c r="I108">
        <f t="shared" si="9"/>
        <v>29.81</v>
      </c>
      <c r="J108" s="1">
        <f>DATE(MID(D108,5,4),MID(D108,3,2),LEFT(D108,2))</f>
        <v>42461</v>
      </c>
      <c r="K108" s="1">
        <f>J108+E108</f>
        <v>42489</v>
      </c>
      <c r="L108" s="17">
        <f t="shared" si="12"/>
        <v>4.258571428571428</v>
      </c>
      <c r="M108" s="17">
        <f t="shared" si="12"/>
        <v>29.81</v>
      </c>
      <c r="N108" s="17">
        <f t="shared" si="12"/>
        <v>29.81</v>
      </c>
      <c r="O108" s="17">
        <f t="shared" si="12"/>
        <v>29.81</v>
      </c>
      <c r="P108" s="17">
        <f t="shared" si="12"/>
        <v>29.81</v>
      </c>
      <c r="Q108" s="17">
        <f t="shared" si="12"/>
        <v>0</v>
      </c>
      <c r="R108" s="17">
        <f t="shared" si="10"/>
        <v>0</v>
      </c>
    </row>
    <row r="109" spans="1:18" x14ac:dyDescent="0.25">
      <c r="A109" t="s">
        <v>867</v>
      </c>
      <c r="B109" s="8" t="s">
        <v>944</v>
      </c>
      <c r="C109">
        <v>1</v>
      </c>
      <c r="D109" s="14" t="s">
        <v>902</v>
      </c>
      <c r="E109">
        <v>5</v>
      </c>
      <c r="F109">
        <v>107.92</v>
      </c>
      <c r="H109" t="str">
        <f>LEFT(B109,3)&amp;"-T"</f>
        <v xml:space="preserve"> 42-T</v>
      </c>
      <c r="I109">
        <f t="shared" si="9"/>
        <v>107.92</v>
      </c>
      <c r="J109" s="1">
        <f>DATE(MID(D109,5,4),MID(D109,3,2),LEFT(D109,2))</f>
        <v>42583</v>
      </c>
      <c r="K109" s="1">
        <f>J109+E109</f>
        <v>42588</v>
      </c>
      <c r="L109" s="17">
        <f t="shared" si="12"/>
        <v>0</v>
      </c>
      <c r="M109" s="17">
        <f t="shared" si="12"/>
        <v>0</v>
      </c>
      <c r="N109" s="17">
        <f t="shared" si="12"/>
        <v>0</v>
      </c>
      <c r="O109" s="17">
        <f t="shared" si="12"/>
        <v>0</v>
      </c>
      <c r="P109" s="17">
        <f t="shared" si="12"/>
        <v>0</v>
      </c>
      <c r="Q109" s="17">
        <f t="shared" si="12"/>
        <v>0</v>
      </c>
      <c r="R109" s="17">
        <f t="shared" si="10"/>
        <v>0</v>
      </c>
    </row>
    <row r="110" spans="1:18" x14ac:dyDescent="0.25">
      <c r="A110" t="s">
        <v>867</v>
      </c>
      <c r="B110" s="8" t="s">
        <v>944</v>
      </c>
      <c r="C110">
        <v>2</v>
      </c>
      <c r="D110" s="14" t="s">
        <v>902</v>
      </c>
      <c r="E110">
        <v>5</v>
      </c>
      <c r="F110">
        <v>108</v>
      </c>
      <c r="H110" t="str">
        <f>LEFT(B110,3)&amp;"-T"</f>
        <v xml:space="preserve"> 42-T</v>
      </c>
      <c r="I110">
        <f t="shared" si="9"/>
        <v>108</v>
      </c>
      <c r="J110" s="1">
        <f>DATE(MID(D110,5,4),MID(D110,3,2),LEFT(D110,2))</f>
        <v>42583</v>
      </c>
      <c r="K110" s="1">
        <f>J110+E110</f>
        <v>42588</v>
      </c>
      <c r="L110" s="17">
        <f t="shared" si="12"/>
        <v>0</v>
      </c>
      <c r="M110" s="17">
        <f t="shared" si="12"/>
        <v>0</v>
      </c>
      <c r="N110" s="17">
        <f t="shared" si="12"/>
        <v>0</v>
      </c>
      <c r="O110" s="17">
        <f t="shared" si="12"/>
        <v>0</v>
      </c>
      <c r="P110" s="17">
        <f t="shared" si="12"/>
        <v>0</v>
      </c>
      <c r="Q110" s="17">
        <f t="shared" si="12"/>
        <v>0</v>
      </c>
      <c r="R110" s="17">
        <f t="shared" si="10"/>
        <v>0</v>
      </c>
    </row>
    <row r="111" spans="1:18" x14ac:dyDescent="0.25">
      <c r="A111" t="s">
        <v>867</v>
      </c>
      <c r="B111" s="8" t="s">
        <v>944</v>
      </c>
      <c r="C111">
        <v>3</v>
      </c>
      <c r="D111" s="14" t="s">
        <v>903</v>
      </c>
      <c r="E111">
        <v>35</v>
      </c>
      <c r="F111">
        <v>110.69</v>
      </c>
      <c r="H111" t="str">
        <f>LEFT(B111,3)&amp;"-T"</f>
        <v xml:space="preserve"> 42-T</v>
      </c>
      <c r="I111">
        <f t="shared" si="9"/>
        <v>110.69</v>
      </c>
      <c r="J111" s="1">
        <f>DATE(MID(D111,5,4),MID(D111,3,2),LEFT(D111,2))</f>
        <v>42553</v>
      </c>
      <c r="K111" s="1">
        <f>J111+E111</f>
        <v>42588</v>
      </c>
      <c r="L111" s="17">
        <f t="shared" si="12"/>
        <v>0</v>
      </c>
      <c r="M111" s="17">
        <f t="shared" si="12"/>
        <v>0</v>
      </c>
      <c r="N111" s="17">
        <f t="shared" si="12"/>
        <v>0</v>
      </c>
      <c r="O111" s="17">
        <f t="shared" si="12"/>
        <v>0</v>
      </c>
      <c r="P111" s="17">
        <f t="shared" si="12"/>
        <v>0</v>
      </c>
      <c r="Q111" s="17">
        <f t="shared" si="12"/>
        <v>0</v>
      </c>
      <c r="R111" s="17">
        <f t="shared" si="10"/>
        <v>0</v>
      </c>
    </row>
    <row r="112" spans="1:18" x14ac:dyDescent="0.25">
      <c r="A112" t="s">
        <v>868</v>
      </c>
      <c r="B112" t="s">
        <v>945</v>
      </c>
      <c r="C112">
        <v>1</v>
      </c>
      <c r="D112" s="14" t="s">
        <v>880</v>
      </c>
      <c r="E112">
        <v>7</v>
      </c>
      <c r="F112">
        <v>34.72</v>
      </c>
      <c r="H112" t="str">
        <f>LEFT(B112,3)&amp;"-T"</f>
        <v xml:space="preserve"> 53-T</v>
      </c>
      <c r="I112">
        <f t="shared" si="9"/>
        <v>34.72</v>
      </c>
      <c r="J112" s="1">
        <f>DATE(MID(D112,5,4),MID(D112,3,2),LEFT(D112,2))</f>
        <v>42522</v>
      </c>
      <c r="K112" s="1">
        <f>J112+E112</f>
        <v>42529</v>
      </c>
      <c r="L112" s="17">
        <f t="shared" si="12"/>
        <v>0</v>
      </c>
      <c r="M112" s="17">
        <f t="shared" si="12"/>
        <v>0</v>
      </c>
      <c r="N112" s="17">
        <f t="shared" si="12"/>
        <v>0</v>
      </c>
      <c r="O112" s="17">
        <f t="shared" si="12"/>
        <v>0</v>
      </c>
      <c r="P112" s="17">
        <f t="shared" si="12"/>
        <v>0</v>
      </c>
      <c r="Q112" s="17">
        <f t="shared" si="12"/>
        <v>0</v>
      </c>
      <c r="R112" s="17">
        <f t="shared" si="10"/>
        <v>0</v>
      </c>
    </row>
    <row r="113" spans="1:18" x14ac:dyDescent="0.25">
      <c r="A113" t="s">
        <v>868</v>
      </c>
      <c r="B113" t="s">
        <v>945</v>
      </c>
      <c r="C113">
        <v>1</v>
      </c>
      <c r="D113" s="14" t="s">
        <v>904</v>
      </c>
      <c r="E113">
        <v>35</v>
      </c>
      <c r="F113">
        <v>34.72</v>
      </c>
      <c r="H113" t="str">
        <f>LEFT(B113,3)&amp;"-T"</f>
        <v xml:space="preserve"> 53-T</v>
      </c>
      <c r="I113">
        <f t="shared" si="9"/>
        <v>34.72</v>
      </c>
      <c r="J113" s="1">
        <f>DATE(MID(D113,5,4),MID(D113,3,2),LEFT(D113,2))</f>
        <v>42538</v>
      </c>
      <c r="K113" s="1">
        <f>J113+E113</f>
        <v>42573</v>
      </c>
      <c r="L113" s="17">
        <f t="shared" si="12"/>
        <v>0</v>
      </c>
      <c r="M113" s="17">
        <f t="shared" si="12"/>
        <v>0</v>
      </c>
      <c r="N113" s="17">
        <f t="shared" si="12"/>
        <v>0</v>
      </c>
      <c r="O113" s="17">
        <f t="shared" si="12"/>
        <v>0</v>
      </c>
      <c r="P113" s="17">
        <f t="shared" si="12"/>
        <v>0</v>
      </c>
      <c r="Q113" s="17">
        <f t="shared" si="12"/>
        <v>0</v>
      </c>
      <c r="R113" s="17">
        <f t="shared" si="10"/>
        <v>0</v>
      </c>
    </row>
    <row r="114" spans="1:18" x14ac:dyDescent="0.25">
      <c r="A114" t="s">
        <v>868</v>
      </c>
      <c r="B114" t="s">
        <v>945</v>
      </c>
      <c r="C114">
        <v>1</v>
      </c>
      <c r="D114" s="14" t="s">
        <v>905</v>
      </c>
      <c r="E114">
        <v>56</v>
      </c>
      <c r="F114">
        <v>34.72</v>
      </c>
      <c r="H114" t="str">
        <f>LEFT(B114,3)&amp;"-T"</f>
        <v xml:space="preserve"> 53-T</v>
      </c>
      <c r="I114">
        <f t="shared" si="9"/>
        <v>34.72</v>
      </c>
      <c r="J114" s="1">
        <f>DATE(MID(D114,5,4),MID(D114,3,2),LEFT(D114,2))</f>
        <v>42677</v>
      </c>
      <c r="K114" s="1">
        <f>J114+E114</f>
        <v>42733</v>
      </c>
      <c r="L114" s="17">
        <f t="shared" si="12"/>
        <v>0</v>
      </c>
      <c r="M114" s="17">
        <f t="shared" si="12"/>
        <v>0</v>
      </c>
      <c r="N114" s="17">
        <f t="shared" si="12"/>
        <v>0</v>
      </c>
      <c r="O114" s="17">
        <f t="shared" si="12"/>
        <v>0</v>
      </c>
      <c r="P114" s="17">
        <f t="shared" si="12"/>
        <v>0</v>
      </c>
      <c r="Q114" s="17">
        <f t="shared" si="12"/>
        <v>0</v>
      </c>
      <c r="R114" s="17">
        <f t="shared" si="10"/>
        <v>0</v>
      </c>
    </row>
    <row r="115" spans="1:18" x14ac:dyDescent="0.25">
      <c r="A115" t="s">
        <v>868</v>
      </c>
      <c r="B115" t="s">
        <v>945</v>
      </c>
      <c r="C115">
        <v>2</v>
      </c>
      <c r="D115" s="14" t="s">
        <v>880</v>
      </c>
      <c r="E115">
        <v>7</v>
      </c>
      <c r="F115">
        <v>34.72</v>
      </c>
      <c r="H115" t="str">
        <f>LEFT(B115,3)&amp;"-T"</f>
        <v xml:space="preserve"> 53-T</v>
      </c>
      <c r="I115">
        <f t="shared" si="9"/>
        <v>34.72</v>
      </c>
      <c r="J115" s="1">
        <f>DATE(MID(D115,5,4),MID(D115,3,2),LEFT(D115,2))</f>
        <v>42522</v>
      </c>
      <c r="K115" s="1">
        <f>J115+E115</f>
        <v>42529</v>
      </c>
      <c r="L115" s="17">
        <f t="shared" si="12"/>
        <v>0</v>
      </c>
      <c r="M115" s="17">
        <f t="shared" si="12"/>
        <v>0</v>
      </c>
      <c r="N115" s="17">
        <f t="shared" si="12"/>
        <v>0</v>
      </c>
      <c r="O115" s="17">
        <f t="shared" si="12"/>
        <v>0</v>
      </c>
      <c r="P115" s="17">
        <f t="shared" si="12"/>
        <v>0</v>
      </c>
      <c r="Q115" s="17">
        <f t="shared" si="12"/>
        <v>0</v>
      </c>
      <c r="R115" s="17">
        <f t="shared" si="10"/>
        <v>0</v>
      </c>
    </row>
    <row r="116" spans="1:18" x14ac:dyDescent="0.25">
      <c r="A116" t="s">
        <v>868</v>
      </c>
      <c r="B116" t="s">
        <v>945</v>
      </c>
      <c r="C116">
        <v>2</v>
      </c>
      <c r="D116" s="14" t="s">
        <v>904</v>
      </c>
      <c r="E116">
        <v>35</v>
      </c>
      <c r="F116">
        <v>34.72</v>
      </c>
      <c r="H116" t="str">
        <f>LEFT(B116,3)&amp;"-T"</f>
        <v xml:space="preserve"> 53-T</v>
      </c>
      <c r="I116">
        <f t="shared" si="9"/>
        <v>34.72</v>
      </c>
      <c r="J116" s="1">
        <f>DATE(MID(D116,5,4),MID(D116,3,2),LEFT(D116,2))</f>
        <v>42538</v>
      </c>
      <c r="K116" s="1">
        <f>J116+E116</f>
        <v>42573</v>
      </c>
      <c r="L116" s="17">
        <f t="shared" si="12"/>
        <v>0</v>
      </c>
      <c r="M116" s="17">
        <f t="shared" si="12"/>
        <v>0</v>
      </c>
      <c r="N116" s="17">
        <f t="shared" si="12"/>
        <v>0</v>
      </c>
      <c r="O116" s="17">
        <f t="shared" si="12"/>
        <v>0</v>
      </c>
      <c r="P116" s="17">
        <f t="shared" si="12"/>
        <v>0</v>
      </c>
      <c r="Q116" s="17">
        <f t="shared" si="12"/>
        <v>0</v>
      </c>
      <c r="R116" s="17">
        <f t="shared" si="10"/>
        <v>0</v>
      </c>
    </row>
    <row r="117" spans="1:18" x14ac:dyDescent="0.25">
      <c r="A117" t="s">
        <v>868</v>
      </c>
      <c r="B117" t="s">
        <v>945</v>
      </c>
      <c r="C117">
        <v>2</v>
      </c>
      <c r="D117" s="14" t="s">
        <v>905</v>
      </c>
      <c r="E117">
        <v>49</v>
      </c>
      <c r="F117">
        <v>34.72</v>
      </c>
      <c r="H117" t="str">
        <f>LEFT(B117,3)&amp;"-T"</f>
        <v xml:space="preserve"> 53-T</v>
      </c>
      <c r="I117">
        <f t="shared" si="9"/>
        <v>34.72</v>
      </c>
      <c r="J117" s="1">
        <f>DATE(MID(D117,5,4),MID(D117,3,2),LEFT(D117,2))</f>
        <v>42677</v>
      </c>
      <c r="K117" s="1">
        <f>J117+E117</f>
        <v>42726</v>
      </c>
      <c r="L117" s="17">
        <f t="shared" ref="L117:Q132" si="13">-1*IF($K117&lt;L$3,0,IF($J117&gt;L$4,0,-1+MAX($J117,L$3)-MIN($K117,L$4)))*$I117/(L$4-L$3+1)</f>
        <v>0</v>
      </c>
      <c r="M117" s="17">
        <f t="shared" si="13"/>
        <v>0</v>
      </c>
      <c r="N117" s="17">
        <f t="shared" si="13"/>
        <v>0</v>
      </c>
      <c r="O117" s="17">
        <f t="shared" si="13"/>
        <v>0</v>
      </c>
      <c r="P117" s="17">
        <f t="shared" si="13"/>
        <v>0</v>
      </c>
      <c r="Q117" s="17">
        <f t="shared" si="13"/>
        <v>0</v>
      </c>
      <c r="R117" s="17">
        <f t="shared" si="10"/>
        <v>0</v>
      </c>
    </row>
    <row r="118" spans="1:18" x14ac:dyDescent="0.25">
      <c r="A118" t="s">
        <v>868</v>
      </c>
      <c r="B118" t="s">
        <v>945</v>
      </c>
      <c r="C118">
        <v>3</v>
      </c>
      <c r="D118" s="14" t="s">
        <v>880</v>
      </c>
      <c r="E118">
        <v>7</v>
      </c>
      <c r="F118">
        <v>34.72</v>
      </c>
      <c r="H118" t="str">
        <f>LEFT(B118,3)&amp;"-T"</f>
        <v xml:space="preserve"> 53-T</v>
      </c>
      <c r="I118">
        <f t="shared" si="9"/>
        <v>34.72</v>
      </c>
      <c r="J118" s="1">
        <f>DATE(MID(D118,5,4),MID(D118,3,2),LEFT(D118,2))</f>
        <v>42522</v>
      </c>
      <c r="K118" s="1">
        <f>J118+E118</f>
        <v>42529</v>
      </c>
      <c r="L118" s="17">
        <f t="shared" si="13"/>
        <v>0</v>
      </c>
      <c r="M118" s="17">
        <f t="shared" si="13"/>
        <v>0</v>
      </c>
      <c r="N118" s="17">
        <f t="shared" si="13"/>
        <v>0</v>
      </c>
      <c r="O118" s="17">
        <f t="shared" si="13"/>
        <v>0</v>
      </c>
      <c r="P118" s="17">
        <f t="shared" si="13"/>
        <v>0</v>
      </c>
      <c r="Q118" s="17">
        <f t="shared" si="13"/>
        <v>0</v>
      </c>
      <c r="R118" s="17">
        <f t="shared" si="10"/>
        <v>0</v>
      </c>
    </row>
    <row r="119" spans="1:18" x14ac:dyDescent="0.25">
      <c r="A119" t="s">
        <v>868</v>
      </c>
      <c r="B119" t="s">
        <v>945</v>
      </c>
      <c r="C119">
        <v>3</v>
      </c>
      <c r="D119" s="14" t="s">
        <v>904</v>
      </c>
      <c r="E119">
        <v>35</v>
      </c>
      <c r="F119">
        <v>34.72</v>
      </c>
      <c r="H119" t="str">
        <f>LEFT(B119,3)&amp;"-T"</f>
        <v xml:space="preserve"> 53-T</v>
      </c>
      <c r="I119">
        <f t="shared" si="9"/>
        <v>34.72</v>
      </c>
      <c r="J119" s="1">
        <f>DATE(MID(D119,5,4),MID(D119,3,2),LEFT(D119,2))</f>
        <v>42538</v>
      </c>
      <c r="K119" s="1">
        <f>J119+E119</f>
        <v>42573</v>
      </c>
      <c r="L119" s="17">
        <f t="shared" si="13"/>
        <v>0</v>
      </c>
      <c r="M119" s="17">
        <f t="shared" si="13"/>
        <v>0</v>
      </c>
      <c r="N119" s="17">
        <f t="shared" si="13"/>
        <v>0</v>
      </c>
      <c r="O119" s="17">
        <f t="shared" si="13"/>
        <v>0</v>
      </c>
      <c r="P119" s="17">
        <f t="shared" si="13"/>
        <v>0</v>
      </c>
      <c r="Q119" s="17">
        <f t="shared" si="13"/>
        <v>0</v>
      </c>
      <c r="R119" s="17">
        <f t="shared" si="10"/>
        <v>0</v>
      </c>
    </row>
    <row r="120" spans="1:18" x14ac:dyDescent="0.25">
      <c r="A120" t="s">
        <v>868</v>
      </c>
      <c r="B120" t="s">
        <v>945</v>
      </c>
      <c r="C120">
        <v>3</v>
      </c>
      <c r="D120" s="14" t="s">
        <v>905</v>
      </c>
      <c r="E120">
        <v>56</v>
      </c>
      <c r="F120">
        <v>34.72</v>
      </c>
      <c r="H120" t="str">
        <f>LEFT(B120,3)&amp;"-T"</f>
        <v xml:space="preserve"> 53-T</v>
      </c>
      <c r="I120">
        <f t="shared" si="9"/>
        <v>34.72</v>
      </c>
      <c r="J120" s="1">
        <f>DATE(MID(D120,5,4),MID(D120,3,2),LEFT(D120,2))</f>
        <v>42677</v>
      </c>
      <c r="K120" s="1">
        <f>J120+E120</f>
        <v>42733</v>
      </c>
      <c r="L120" s="17">
        <f t="shared" si="13"/>
        <v>0</v>
      </c>
      <c r="M120" s="17">
        <f t="shared" si="13"/>
        <v>0</v>
      </c>
      <c r="N120" s="17">
        <f t="shared" si="13"/>
        <v>0</v>
      </c>
      <c r="O120" s="17">
        <f t="shared" si="13"/>
        <v>0</v>
      </c>
      <c r="P120" s="17">
        <f t="shared" si="13"/>
        <v>0</v>
      </c>
      <c r="Q120" s="17">
        <f t="shared" si="13"/>
        <v>0</v>
      </c>
      <c r="R120" s="17">
        <f t="shared" si="10"/>
        <v>0</v>
      </c>
    </row>
    <row r="121" spans="1:18" x14ac:dyDescent="0.25">
      <c r="A121" t="s">
        <v>868</v>
      </c>
      <c r="B121" t="s">
        <v>945</v>
      </c>
      <c r="C121">
        <v>4</v>
      </c>
      <c r="D121" s="14" t="s">
        <v>880</v>
      </c>
      <c r="E121">
        <v>7</v>
      </c>
      <c r="F121">
        <v>44.64</v>
      </c>
      <c r="H121" t="str">
        <f>LEFT(B121,3)&amp;"-T"</f>
        <v xml:space="preserve"> 53-T</v>
      </c>
      <c r="I121">
        <f t="shared" si="9"/>
        <v>44.64</v>
      </c>
      <c r="J121" s="1">
        <f>DATE(MID(D121,5,4),MID(D121,3,2),LEFT(D121,2))</f>
        <v>42522</v>
      </c>
      <c r="K121" s="1">
        <f>J121+E121</f>
        <v>42529</v>
      </c>
      <c r="L121" s="17">
        <f t="shared" si="13"/>
        <v>0</v>
      </c>
      <c r="M121" s="17">
        <f t="shared" si="13"/>
        <v>0</v>
      </c>
      <c r="N121" s="17">
        <f t="shared" si="13"/>
        <v>0</v>
      </c>
      <c r="O121" s="17">
        <f t="shared" si="13"/>
        <v>0</v>
      </c>
      <c r="P121" s="17">
        <f t="shared" si="13"/>
        <v>0</v>
      </c>
      <c r="Q121" s="17">
        <f t="shared" si="13"/>
        <v>0</v>
      </c>
      <c r="R121" s="17">
        <f t="shared" si="10"/>
        <v>0</v>
      </c>
    </row>
    <row r="122" spans="1:18" x14ac:dyDescent="0.25">
      <c r="A122" t="s">
        <v>868</v>
      </c>
      <c r="B122" t="s">
        <v>945</v>
      </c>
      <c r="C122">
        <v>4</v>
      </c>
      <c r="D122" s="14" t="s">
        <v>904</v>
      </c>
      <c r="E122">
        <v>35</v>
      </c>
      <c r="F122">
        <v>44.64</v>
      </c>
      <c r="H122" t="str">
        <f>LEFT(B122,3)&amp;"-T"</f>
        <v xml:space="preserve"> 53-T</v>
      </c>
      <c r="I122">
        <f t="shared" si="9"/>
        <v>44.64</v>
      </c>
      <c r="J122" s="1">
        <f>DATE(MID(D122,5,4),MID(D122,3,2),LEFT(D122,2))</f>
        <v>42538</v>
      </c>
      <c r="K122" s="1">
        <f>J122+E122</f>
        <v>42573</v>
      </c>
      <c r="L122" s="17">
        <f t="shared" si="13"/>
        <v>0</v>
      </c>
      <c r="M122" s="17">
        <f t="shared" si="13"/>
        <v>0</v>
      </c>
      <c r="N122" s="17">
        <f t="shared" si="13"/>
        <v>0</v>
      </c>
      <c r="O122" s="17">
        <f t="shared" si="13"/>
        <v>0</v>
      </c>
      <c r="P122" s="17">
        <f t="shared" si="13"/>
        <v>0</v>
      </c>
      <c r="Q122" s="17">
        <f t="shared" si="13"/>
        <v>0</v>
      </c>
      <c r="R122" s="17">
        <f t="shared" si="10"/>
        <v>0</v>
      </c>
    </row>
    <row r="123" spans="1:18" x14ac:dyDescent="0.25">
      <c r="A123" t="s">
        <v>868</v>
      </c>
      <c r="B123" t="s">
        <v>945</v>
      </c>
      <c r="C123">
        <v>4</v>
      </c>
      <c r="D123" s="14" t="s">
        <v>905</v>
      </c>
      <c r="E123">
        <v>56</v>
      </c>
      <c r="F123">
        <v>44.64</v>
      </c>
      <c r="H123" t="str">
        <f>LEFT(B123,3)&amp;"-T"</f>
        <v xml:space="preserve"> 53-T</v>
      </c>
      <c r="I123">
        <f t="shared" si="9"/>
        <v>44.64</v>
      </c>
      <c r="J123" s="1">
        <f>DATE(MID(D123,5,4),MID(D123,3,2),LEFT(D123,2))</f>
        <v>42677</v>
      </c>
      <c r="K123" s="1">
        <f>J123+E123</f>
        <v>42733</v>
      </c>
      <c r="L123" s="17">
        <f t="shared" si="13"/>
        <v>0</v>
      </c>
      <c r="M123" s="17">
        <f t="shared" si="13"/>
        <v>0</v>
      </c>
      <c r="N123" s="17">
        <f t="shared" si="13"/>
        <v>0</v>
      </c>
      <c r="O123" s="17">
        <f t="shared" si="13"/>
        <v>0</v>
      </c>
      <c r="P123" s="17">
        <f t="shared" si="13"/>
        <v>0</v>
      </c>
      <c r="Q123" s="17">
        <f t="shared" si="13"/>
        <v>0</v>
      </c>
      <c r="R123" s="17">
        <f t="shared" si="10"/>
        <v>0</v>
      </c>
    </row>
    <row r="124" spans="1:18" x14ac:dyDescent="0.25">
      <c r="A124" t="s">
        <v>868</v>
      </c>
      <c r="B124" t="s">
        <v>946</v>
      </c>
      <c r="C124">
        <v>1</v>
      </c>
      <c r="D124" s="14" t="s">
        <v>906</v>
      </c>
      <c r="E124">
        <v>35</v>
      </c>
      <c r="F124">
        <v>34.72</v>
      </c>
      <c r="H124" t="str">
        <f>LEFT(B124,3)&amp;"-T"</f>
        <v xml:space="preserve"> 55-T</v>
      </c>
      <c r="I124">
        <f t="shared" si="9"/>
        <v>34.72</v>
      </c>
      <c r="J124" s="1">
        <f>DATE(MID(D124,5,4),MID(D124,3,2),LEFT(D124,2))</f>
        <v>42586</v>
      </c>
      <c r="K124" s="1">
        <f>J124+E124</f>
        <v>42621</v>
      </c>
      <c r="L124" s="17">
        <f t="shared" si="13"/>
        <v>0</v>
      </c>
      <c r="M124" s="17">
        <f t="shared" si="13"/>
        <v>0</v>
      </c>
      <c r="N124" s="17">
        <f t="shared" si="13"/>
        <v>0</v>
      </c>
      <c r="O124" s="17">
        <f t="shared" si="13"/>
        <v>0</v>
      </c>
      <c r="P124" s="17">
        <f t="shared" si="13"/>
        <v>0</v>
      </c>
      <c r="Q124" s="17">
        <f t="shared" si="13"/>
        <v>0</v>
      </c>
      <c r="R124" s="17">
        <f t="shared" si="10"/>
        <v>0</v>
      </c>
    </row>
    <row r="125" spans="1:18" x14ac:dyDescent="0.25">
      <c r="A125" t="s">
        <v>868</v>
      </c>
      <c r="B125" t="s">
        <v>946</v>
      </c>
      <c r="C125">
        <v>1</v>
      </c>
      <c r="D125" s="14" t="s">
        <v>888</v>
      </c>
      <c r="E125">
        <v>35</v>
      </c>
      <c r="F125">
        <v>34.72</v>
      </c>
      <c r="H125" t="str">
        <f>LEFT(B125,3)&amp;"-T"</f>
        <v xml:space="preserve"> 55-T</v>
      </c>
      <c r="I125">
        <f t="shared" si="9"/>
        <v>34.72</v>
      </c>
      <c r="J125" s="1">
        <f>DATE(MID(D125,5,4),MID(D125,3,2),LEFT(D125,2))</f>
        <v>42623</v>
      </c>
      <c r="K125" s="1">
        <f>J125+E125</f>
        <v>42658</v>
      </c>
      <c r="L125" s="17">
        <f t="shared" si="13"/>
        <v>0</v>
      </c>
      <c r="M125" s="17">
        <f t="shared" si="13"/>
        <v>0</v>
      </c>
      <c r="N125" s="17">
        <f t="shared" si="13"/>
        <v>0</v>
      </c>
      <c r="O125" s="17">
        <f t="shared" si="13"/>
        <v>0</v>
      </c>
      <c r="P125" s="17">
        <f t="shared" si="13"/>
        <v>0</v>
      </c>
      <c r="Q125" s="17">
        <f t="shared" si="13"/>
        <v>0</v>
      </c>
      <c r="R125" s="17">
        <f t="shared" si="10"/>
        <v>0</v>
      </c>
    </row>
    <row r="126" spans="1:18" x14ac:dyDescent="0.25">
      <c r="A126" t="s">
        <v>868</v>
      </c>
      <c r="B126" t="s">
        <v>946</v>
      </c>
      <c r="C126">
        <v>2</v>
      </c>
      <c r="D126" s="14" t="s">
        <v>906</v>
      </c>
      <c r="E126">
        <v>42</v>
      </c>
      <c r="F126">
        <v>34.72</v>
      </c>
      <c r="H126" t="str">
        <f>LEFT(B126,3)&amp;"-T"</f>
        <v xml:space="preserve"> 55-T</v>
      </c>
      <c r="I126">
        <f t="shared" si="9"/>
        <v>34.72</v>
      </c>
      <c r="J126" s="1">
        <f>DATE(MID(D126,5,4),MID(D126,3,2),LEFT(D126,2))</f>
        <v>42586</v>
      </c>
      <c r="K126" s="1">
        <f>J126+E126</f>
        <v>42628</v>
      </c>
      <c r="L126" s="17">
        <f t="shared" si="13"/>
        <v>0</v>
      </c>
      <c r="M126" s="17">
        <f t="shared" si="13"/>
        <v>0</v>
      </c>
      <c r="N126" s="17">
        <f t="shared" si="13"/>
        <v>0</v>
      </c>
      <c r="O126" s="17">
        <f t="shared" si="13"/>
        <v>0</v>
      </c>
      <c r="P126" s="17">
        <f t="shared" si="13"/>
        <v>0</v>
      </c>
      <c r="Q126" s="17">
        <f t="shared" si="13"/>
        <v>0</v>
      </c>
      <c r="R126" s="17">
        <f t="shared" si="10"/>
        <v>0</v>
      </c>
    </row>
    <row r="127" spans="1:18" x14ac:dyDescent="0.25">
      <c r="A127" t="s">
        <v>868</v>
      </c>
      <c r="B127" t="s">
        <v>946</v>
      </c>
      <c r="C127">
        <v>2</v>
      </c>
      <c r="D127" s="14" t="s">
        <v>907</v>
      </c>
      <c r="E127">
        <v>42</v>
      </c>
      <c r="F127">
        <v>34.72</v>
      </c>
      <c r="H127" t="str">
        <f>LEFT(B127,3)&amp;"-T"</f>
        <v xml:space="preserve"> 55-T</v>
      </c>
      <c r="I127">
        <f t="shared" si="9"/>
        <v>34.72</v>
      </c>
      <c r="J127" s="1">
        <f>DATE(MID(D127,5,4),MID(D127,3,2),LEFT(D127,2))</f>
        <v>42630</v>
      </c>
      <c r="K127" s="1">
        <f>J127+E127</f>
        <v>42672</v>
      </c>
      <c r="L127" s="17">
        <f t="shared" si="13"/>
        <v>0</v>
      </c>
      <c r="M127" s="17">
        <f t="shared" si="13"/>
        <v>0</v>
      </c>
      <c r="N127" s="17">
        <f t="shared" si="13"/>
        <v>0</v>
      </c>
      <c r="O127" s="17">
        <f t="shared" si="13"/>
        <v>0</v>
      </c>
      <c r="P127" s="17">
        <f t="shared" si="13"/>
        <v>0</v>
      </c>
      <c r="Q127" s="17">
        <f t="shared" si="13"/>
        <v>0</v>
      </c>
      <c r="R127" s="17">
        <f t="shared" si="10"/>
        <v>0</v>
      </c>
    </row>
    <row r="128" spans="1:18" x14ac:dyDescent="0.25">
      <c r="A128" t="s">
        <v>868</v>
      </c>
      <c r="B128" t="s">
        <v>946</v>
      </c>
      <c r="C128">
        <v>3</v>
      </c>
      <c r="D128" s="14" t="s">
        <v>906</v>
      </c>
      <c r="E128">
        <v>42</v>
      </c>
      <c r="F128">
        <v>34.72</v>
      </c>
      <c r="H128" t="str">
        <f>LEFT(B128,3)&amp;"-T"</f>
        <v xml:space="preserve"> 55-T</v>
      </c>
      <c r="I128">
        <f t="shared" si="9"/>
        <v>34.72</v>
      </c>
      <c r="J128" s="1">
        <f>DATE(MID(D128,5,4),MID(D128,3,2),LEFT(D128,2))</f>
        <v>42586</v>
      </c>
      <c r="K128" s="1">
        <f>J128+E128</f>
        <v>42628</v>
      </c>
      <c r="L128" s="17">
        <f t="shared" si="13"/>
        <v>0</v>
      </c>
      <c r="M128" s="17">
        <f t="shared" si="13"/>
        <v>0</v>
      </c>
      <c r="N128" s="17">
        <f t="shared" si="13"/>
        <v>0</v>
      </c>
      <c r="O128" s="17">
        <f t="shared" si="13"/>
        <v>0</v>
      </c>
      <c r="P128" s="17">
        <f t="shared" si="13"/>
        <v>0</v>
      </c>
      <c r="Q128" s="17">
        <f t="shared" si="13"/>
        <v>0</v>
      </c>
      <c r="R128" s="17">
        <f t="shared" si="10"/>
        <v>0</v>
      </c>
    </row>
    <row r="129" spans="1:18" x14ac:dyDescent="0.25">
      <c r="A129" t="s">
        <v>868</v>
      </c>
      <c r="B129" t="s">
        <v>946</v>
      </c>
      <c r="C129">
        <v>3</v>
      </c>
      <c r="D129" s="14" t="s">
        <v>907</v>
      </c>
      <c r="E129">
        <v>42</v>
      </c>
      <c r="F129">
        <v>34.72</v>
      </c>
      <c r="H129" t="str">
        <f>LEFT(B129,3)&amp;"-T"</f>
        <v xml:space="preserve"> 55-T</v>
      </c>
      <c r="I129">
        <f t="shared" si="9"/>
        <v>34.72</v>
      </c>
      <c r="J129" s="1">
        <f>DATE(MID(D129,5,4),MID(D129,3,2),LEFT(D129,2))</f>
        <v>42630</v>
      </c>
      <c r="K129" s="1">
        <f>J129+E129</f>
        <v>42672</v>
      </c>
      <c r="L129" s="17">
        <f t="shared" si="13"/>
        <v>0</v>
      </c>
      <c r="M129" s="17">
        <f t="shared" si="13"/>
        <v>0</v>
      </c>
      <c r="N129" s="17">
        <f t="shared" si="13"/>
        <v>0</v>
      </c>
      <c r="O129" s="17">
        <f t="shared" si="13"/>
        <v>0</v>
      </c>
      <c r="P129" s="17">
        <f t="shared" si="13"/>
        <v>0</v>
      </c>
      <c r="Q129" s="17">
        <f t="shared" si="13"/>
        <v>0</v>
      </c>
      <c r="R129" s="17">
        <f t="shared" si="10"/>
        <v>0</v>
      </c>
    </row>
    <row r="130" spans="1:18" x14ac:dyDescent="0.25">
      <c r="A130" t="s">
        <v>868</v>
      </c>
      <c r="B130" t="s">
        <v>946</v>
      </c>
      <c r="C130">
        <v>4</v>
      </c>
      <c r="D130" s="14" t="s">
        <v>906</v>
      </c>
      <c r="E130">
        <v>42</v>
      </c>
      <c r="F130">
        <v>44.64</v>
      </c>
      <c r="H130" t="str">
        <f>LEFT(B130,3)&amp;"-T"</f>
        <v xml:space="preserve"> 55-T</v>
      </c>
      <c r="I130">
        <f t="shared" si="9"/>
        <v>44.64</v>
      </c>
      <c r="J130" s="1">
        <f>DATE(MID(D130,5,4),MID(D130,3,2),LEFT(D130,2))</f>
        <v>42586</v>
      </c>
      <c r="K130" s="1">
        <f>J130+E130</f>
        <v>42628</v>
      </c>
      <c r="L130" s="17">
        <f t="shared" si="13"/>
        <v>0</v>
      </c>
      <c r="M130" s="17">
        <f t="shared" si="13"/>
        <v>0</v>
      </c>
      <c r="N130" s="17">
        <f t="shared" si="13"/>
        <v>0</v>
      </c>
      <c r="O130" s="17">
        <f t="shared" si="13"/>
        <v>0</v>
      </c>
      <c r="P130" s="17">
        <f t="shared" si="13"/>
        <v>0</v>
      </c>
      <c r="Q130" s="17">
        <f t="shared" si="13"/>
        <v>0</v>
      </c>
      <c r="R130" s="17">
        <f t="shared" si="10"/>
        <v>0</v>
      </c>
    </row>
    <row r="131" spans="1:18" x14ac:dyDescent="0.25">
      <c r="A131" t="s">
        <v>868</v>
      </c>
      <c r="B131" t="s">
        <v>946</v>
      </c>
      <c r="C131">
        <v>4</v>
      </c>
      <c r="D131" s="14" t="s">
        <v>907</v>
      </c>
      <c r="E131">
        <v>42</v>
      </c>
      <c r="F131">
        <v>44.64</v>
      </c>
      <c r="H131" t="str">
        <f>LEFT(B131,3)&amp;"-T"</f>
        <v xml:space="preserve"> 55-T</v>
      </c>
      <c r="I131">
        <f t="shared" si="9"/>
        <v>44.64</v>
      </c>
      <c r="J131" s="1">
        <f>DATE(MID(D131,5,4),MID(D131,3,2),LEFT(D131,2))</f>
        <v>42630</v>
      </c>
      <c r="K131" s="1">
        <f>J131+E131</f>
        <v>42672</v>
      </c>
      <c r="L131" s="17">
        <f t="shared" si="13"/>
        <v>0</v>
      </c>
      <c r="M131" s="17">
        <f t="shared" si="13"/>
        <v>0</v>
      </c>
      <c r="N131" s="17">
        <f t="shared" si="13"/>
        <v>0</v>
      </c>
      <c r="O131" s="17">
        <f t="shared" si="13"/>
        <v>0</v>
      </c>
      <c r="P131" s="17">
        <f t="shared" si="13"/>
        <v>0</v>
      </c>
      <c r="Q131" s="17">
        <f t="shared" si="13"/>
        <v>0</v>
      </c>
      <c r="R131" s="17">
        <f t="shared" si="10"/>
        <v>0</v>
      </c>
    </row>
    <row r="132" spans="1:18" x14ac:dyDescent="0.25">
      <c r="A132" t="s">
        <v>866</v>
      </c>
      <c r="B132" t="s">
        <v>947</v>
      </c>
      <c r="C132">
        <v>1</v>
      </c>
      <c r="D132" s="14" t="s">
        <v>878</v>
      </c>
      <c r="E132">
        <v>61</v>
      </c>
      <c r="F132">
        <v>1.64</v>
      </c>
      <c r="H132" t="str">
        <f>LEFT(B132,3)&amp;"-T"</f>
        <v>127-T</v>
      </c>
      <c r="I132">
        <f t="shared" si="9"/>
        <v>1.64</v>
      </c>
      <c r="J132" s="1">
        <f>DATE(MID(D132,5,4),MID(D132,3,2),LEFT(D132,2))</f>
        <v>42461</v>
      </c>
      <c r="K132" s="1">
        <f>J132+E132</f>
        <v>42522</v>
      </c>
      <c r="L132" s="17">
        <f t="shared" si="13"/>
        <v>0.23428571428571426</v>
      </c>
      <c r="M132" s="17">
        <f t="shared" si="13"/>
        <v>1.64</v>
      </c>
      <c r="N132" s="17">
        <f t="shared" si="13"/>
        <v>1.64</v>
      </c>
      <c r="O132" s="17">
        <f t="shared" si="13"/>
        <v>1.64</v>
      </c>
      <c r="P132" s="17">
        <f t="shared" si="13"/>
        <v>1.64</v>
      </c>
      <c r="Q132" s="17">
        <f t="shared" si="13"/>
        <v>1.64</v>
      </c>
      <c r="R132" s="17">
        <f t="shared" si="10"/>
        <v>1.64</v>
      </c>
    </row>
    <row r="133" spans="1:18" x14ac:dyDescent="0.25">
      <c r="A133" t="s">
        <v>866</v>
      </c>
      <c r="B133" t="s">
        <v>947</v>
      </c>
      <c r="C133">
        <v>2</v>
      </c>
      <c r="D133" s="14" t="s">
        <v>878</v>
      </c>
      <c r="E133">
        <v>61</v>
      </c>
      <c r="F133">
        <v>1.64</v>
      </c>
      <c r="H133" t="str">
        <f>LEFT(B133,3)&amp;"-T"</f>
        <v>127-T</v>
      </c>
      <c r="I133">
        <f t="shared" si="9"/>
        <v>1.64</v>
      </c>
      <c r="J133" s="1">
        <f>DATE(MID(D133,5,4),MID(D133,3,2),LEFT(D133,2))</f>
        <v>42461</v>
      </c>
      <c r="K133" s="1">
        <f>J133+E133</f>
        <v>42522</v>
      </c>
      <c r="L133" s="17">
        <f t="shared" ref="L133:Q148" si="14">-1*IF($K133&lt;L$3,0,IF($J133&gt;L$4,0,-1+MAX($J133,L$3)-MIN($K133,L$4)))*$I133/(L$4-L$3+1)</f>
        <v>0.23428571428571426</v>
      </c>
      <c r="M133" s="17">
        <f t="shared" si="14"/>
        <v>1.64</v>
      </c>
      <c r="N133" s="17">
        <f t="shared" si="14"/>
        <v>1.64</v>
      </c>
      <c r="O133" s="17">
        <f t="shared" si="14"/>
        <v>1.64</v>
      </c>
      <c r="P133" s="17">
        <f t="shared" si="14"/>
        <v>1.64</v>
      </c>
      <c r="Q133" s="17">
        <f t="shared" si="14"/>
        <v>1.64</v>
      </c>
      <c r="R133" s="17">
        <f t="shared" si="10"/>
        <v>1.64</v>
      </c>
    </row>
    <row r="134" spans="1:18" x14ac:dyDescent="0.25">
      <c r="A134" t="s">
        <v>866</v>
      </c>
      <c r="B134" t="s">
        <v>947</v>
      </c>
      <c r="C134">
        <v>3</v>
      </c>
      <c r="D134" s="14" t="s">
        <v>878</v>
      </c>
      <c r="E134">
        <v>61</v>
      </c>
      <c r="F134">
        <v>1.64</v>
      </c>
      <c r="H134" t="str">
        <f>LEFT(B134,3)&amp;"-T"</f>
        <v>127-T</v>
      </c>
      <c r="I134">
        <f t="shared" ref="I134:I181" si="15">+F134</f>
        <v>1.64</v>
      </c>
      <c r="J134" s="1">
        <f>DATE(MID(D134,5,4),MID(D134,3,2),LEFT(D134,2))</f>
        <v>42461</v>
      </c>
      <c r="K134" s="1">
        <f>J134+E134</f>
        <v>42522</v>
      </c>
      <c r="L134" s="17">
        <f t="shared" si="14"/>
        <v>0.23428571428571426</v>
      </c>
      <c r="M134" s="17">
        <f t="shared" si="14"/>
        <v>1.64</v>
      </c>
      <c r="N134" s="17">
        <f t="shared" si="14"/>
        <v>1.64</v>
      </c>
      <c r="O134" s="17">
        <f t="shared" si="14"/>
        <v>1.64</v>
      </c>
      <c r="P134" s="17">
        <f t="shared" si="14"/>
        <v>1.64</v>
      </c>
      <c r="Q134" s="17">
        <f t="shared" si="14"/>
        <v>1.64</v>
      </c>
      <c r="R134" s="17">
        <f t="shared" ref="R134:R181" si="16">-1*IF($K134&lt;R$3,0,IF($J134&gt;R$4,0,-1+MAX($J134,R$3)-MIN($K134,R$4)))*I134/(R$4-R$3+1)</f>
        <v>1.64</v>
      </c>
    </row>
    <row r="135" spans="1:18" x14ac:dyDescent="0.25">
      <c r="A135" t="s">
        <v>866</v>
      </c>
      <c r="B135" t="s">
        <v>947</v>
      </c>
      <c r="C135">
        <v>4</v>
      </c>
      <c r="D135" s="14" t="s">
        <v>878</v>
      </c>
      <c r="E135">
        <v>61</v>
      </c>
      <c r="F135">
        <v>1.64</v>
      </c>
      <c r="H135" t="str">
        <f>LEFT(B135,3)&amp;"-T"</f>
        <v>127-T</v>
      </c>
      <c r="I135">
        <f t="shared" si="15"/>
        <v>1.64</v>
      </c>
      <c r="J135" s="1">
        <f>DATE(MID(D135,5,4),MID(D135,3,2),LEFT(D135,2))</f>
        <v>42461</v>
      </c>
      <c r="K135" s="1">
        <f>J135+E135</f>
        <v>42522</v>
      </c>
      <c r="L135" s="17">
        <f t="shared" si="14"/>
        <v>0.23428571428571426</v>
      </c>
      <c r="M135" s="17">
        <f t="shared" si="14"/>
        <v>1.64</v>
      </c>
      <c r="N135" s="17">
        <f t="shared" si="14"/>
        <v>1.64</v>
      </c>
      <c r="O135" s="17">
        <f t="shared" si="14"/>
        <v>1.64</v>
      </c>
      <c r="P135" s="17">
        <f t="shared" si="14"/>
        <v>1.64</v>
      </c>
      <c r="Q135" s="17">
        <f t="shared" si="14"/>
        <v>1.64</v>
      </c>
      <c r="R135" s="17">
        <f t="shared" si="16"/>
        <v>1.64</v>
      </c>
    </row>
    <row r="136" spans="1:18" x14ac:dyDescent="0.25">
      <c r="A136" t="s">
        <v>866</v>
      </c>
      <c r="B136" t="s">
        <v>947</v>
      </c>
      <c r="C136">
        <v>5</v>
      </c>
      <c r="D136" s="14" t="s">
        <v>878</v>
      </c>
      <c r="E136">
        <v>61</v>
      </c>
      <c r="F136">
        <v>1.64</v>
      </c>
      <c r="H136" t="str">
        <f>LEFT(B136,3)&amp;"-T"</f>
        <v>127-T</v>
      </c>
      <c r="I136">
        <f t="shared" si="15"/>
        <v>1.64</v>
      </c>
      <c r="J136" s="1">
        <f>DATE(MID(D136,5,4),MID(D136,3,2),LEFT(D136,2))</f>
        <v>42461</v>
      </c>
      <c r="K136" s="1">
        <f>J136+E136</f>
        <v>42522</v>
      </c>
      <c r="L136" s="17">
        <f t="shared" si="14"/>
        <v>0.23428571428571426</v>
      </c>
      <c r="M136" s="17">
        <f t="shared" si="14"/>
        <v>1.64</v>
      </c>
      <c r="N136" s="17">
        <f t="shared" si="14"/>
        <v>1.64</v>
      </c>
      <c r="O136" s="17">
        <f t="shared" si="14"/>
        <v>1.64</v>
      </c>
      <c r="P136" s="17">
        <f t="shared" si="14"/>
        <v>1.64</v>
      </c>
      <c r="Q136" s="17">
        <f t="shared" si="14"/>
        <v>1.64</v>
      </c>
      <c r="R136" s="17">
        <f t="shared" si="16"/>
        <v>1.64</v>
      </c>
    </row>
    <row r="137" spans="1:18" x14ac:dyDescent="0.25">
      <c r="A137" t="s">
        <v>866</v>
      </c>
      <c r="B137" t="s">
        <v>947</v>
      </c>
      <c r="C137">
        <v>6</v>
      </c>
      <c r="D137" s="14" t="s">
        <v>878</v>
      </c>
      <c r="E137">
        <v>61</v>
      </c>
      <c r="F137">
        <v>1.64</v>
      </c>
      <c r="H137" t="str">
        <f>LEFT(B137,3)&amp;"-T"</f>
        <v>127-T</v>
      </c>
      <c r="I137">
        <f t="shared" si="15"/>
        <v>1.64</v>
      </c>
      <c r="J137" s="1">
        <f>DATE(MID(D137,5,4),MID(D137,3,2),LEFT(D137,2))</f>
        <v>42461</v>
      </c>
      <c r="K137" s="1">
        <f>J137+E137</f>
        <v>42522</v>
      </c>
      <c r="L137" s="17">
        <f t="shared" si="14"/>
        <v>0.23428571428571426</v>
      </c>
      <c r="M137" s="17">
        <f t="shared" si="14"/>
        <v>1.64</v>
      </c>
      <c r="N137" s="17">
        <f t="shared" si="14"/>
        <v>1.64</v>
      </c>
      <c r="O137" s="17">
        <f t="shared" si="14"/>
        <v>1.64</v>
      </c>
      <c r="P137" s="17">
        <f t="shared" si="14"/>
        <v>1.64</v>
      </c>
      <c r="Q137" s="17">
        <f t="shared" si="14"/>
        <v>1.64</v>
      </c>
      <c r="R137" s="17">
        <f t="shared" si="16"/>
        <v>1.64</v>
      </c>
    </row>
    <row r="138" spans="1:18" x14ac:dyDescent="0.25">
      <c r="A138" t="s">
        <v>866</v>
      </c>
      <c r="B138" t="s">
        <v>947</v>
      </c>
      <c r="C138">
        <v>7</v>
      </c>
      <c r="D138" s="14" t="s">
        <v>878</v>
      </c>
      <c r="E138">
        <v>61</v>
      </c>
      <c r="F138">
        <v>1.64</v>
      </c>
      <c r="H138" t="str">
        <f>LEFT(B138,3)&amp;"-T"</f>
        <v>127-T</v>
      </c>
      <c r="I138">
        <f t="shared" si="15"/>
        <v>1.64</v>
      </c>
      <c r="J138" s="1">
        <f>DATE(MID(D138,5,4),MID(D138,3,2),LEFT(D138,2))</f>
        <v>42461</v>
      </c>
      <c r="K138" s="1">
        <f>J138+E138</f>
        <v>42522</v>
      </c>
      <c r="L138" s="17">
        <f t="shared" si="14"/>
        <v>0.23428571428571426</v>
      </c>
      <c r="M138" s="17">
        <f t="shared" si="14"/>
        <v>1.64</v>
      </c>
      <c r="N138" s="17">
        <f t="shared" si="14"/>
        <v>1.64</v>
      </c>
      <c r="O138" s="17">
        <f t="shared" si="14"/>
        <v>1.64</v>
      </c>
      <c r="P138" s="17">
        <f t="shared" si="14"/>
        <v>1.64</v>
      </c>
      <c r="Q138" s="17">
        <f t="shared" si="14"/>
        <v>1.64</v>
      </c>
      <c r="R138" s="17">
        <f t="shared" si="16"/>
        <v>1.64</v>
      </c>
    </row>
    <row r="139" spans="1:18" x14ac:dyDescent="0.25">
      <c r="A139" t="s">
        <v>866</v>
      </c>
      <c r="B139" t="s">
        <v>947</v>
      </c>
      <c r="C139">
        <v>8</v>
      </c>
      <c r="D139" s="14" t="s">
        <v>878</v>
      </c>
      <c r="E139">
        <v>61</v>
      </c>
      <c r="F139">
        <v>1.64</v>
      </c>
      <c r="H139" t="str">
        <f>LEFT(B139,3)&amp;"-T"</f>
        <v>127-T</v>
      </c>
      <c r="I139">
        <f t="shared" si="15"/>
        <v>1.64</v>
      </c>
      <c r="J139" s="1">
        <f>DATE(MID(D139,5,4),MID(D139,3,2),LEFT(D139,2))</f>
        <v>42461</v>
      </c>
      <c r="K139" s="1">
        <f>J139+E139</f>
        <v>42522</v>
      </c>
      <c r="L139" s="17">
        <f t="shared" si="14"/>
        <v>0.23428571428571426</v>
      </c>
      <c r="M139" s="17">
        <f t="shared" si="14"/>
        <v>1.64</v>
      </c>
      <c r="N139" s="17">
        <f t="shared" si="14"/>
        <v>1.64</v>
      </c>
      <c r="O139" s="17">
        <f t="shared" si="14"/>
        <v>1.64</v>
      </c>
      <c r="P139" s="17">
        <f t="shared" si="14"/>
        <v>1.64</v>
      </c>
      <c r="Q139" s="17">
        <f t="shared" si="14"/>
        <v>1.64</v>
      </c>
      <c r="R139" s="17">
        <f t="shared" si="16"/>
        <v>1.64</v>
      </c>
    </row>
    <row r="140" spans="1:18" x14ac:dyDescent="0.25">
      <c r="A140" t="s">
        <v>866</v>
      </c>
      <c r="B140" t="s">
        <v>947</v>
      </c>
      <c r="C140">
        <v>9</v>
      </c>
      <c r="D140" s="14" t="s">
        <v>878</v>
      </c>
      <c r="E140">
        <v>61</v>
      </c>
      <c r="F140">
        <v>1.64</v>
      </c>
      <c r="H140" t="str">
        <f>LEFT(B140,3)&amp;"-T"</f>
        <v>127-T</v>
      </c>
      <c r="I140">
        <f t="shared" si="15"/>
        <v>1.64</v>
      </c>
      <c r="J140" s="1">
        <f>DATE(MID(D140,5,4),MID(D140,3,2),LEFT(D140,2))</f>
        <v>42461</v>
      </c>
      <c r="K140" s="1">
        <f>J140+E140</f>
        <v>42522</v>
      </c>
      <c r="L140" s="17">
        <f t="shared" si="14"/>
        <v>0.23428571428571426</v>
      </c>
      <c r="M140" s="17">
        <f t="shared" si="14"/>
        <v>1.64</v>
      </c>
      <c r="N140" s="17">
        <f t="shared" si="14"/>
        <v>1.64</v>
      </c>
      <c r="O140" s="17">
        <f t="shared" si="14"/>
        <v>1.64</v>
      </c>
      <c r="P140" s="17">
        <f t="shared" si="14"/>
        <v>1.64</v>
      </c>
      <c r="Q140" s="17">
        <f t="shared" si="14"/>
        <v>1.64</v>
      </c>
      <c r="R140" s="17">
        <f t="shared" si="16"/>
        <v>1.64</v>
      </c>
    </row>
    <row r="141" spans="1:18" x14ac:dyDescent="0.25">
      <c r="A141" t="s">
        <v>866</v>
      </c>
      <c r="B141" t="s">
        <v>948</v>
      </c>
      <c r="C141">
        <v>1</v>
      </c>
      <c r="D141" s="14" t="s">
        <v>878</v>
      </c>
      <c r="E141">
        <v>61</v>
      </c>
      <c r="F141">
        <v>1.64</v>
      </c>
      <c r="H141" t="str">
        <f>LEFT(B141,3)&amp;"-T"</f>
        <v>133-T</v>
      </c>
      <c r="I141">
        <f t="shared" si="15"/>
        <v>1.64</v>
      </c>
      <c r="J141" s="1">
        <f>DATE(MID(D141,5,4),MID(D141,3,2),LEFT(D141,2))</f>
        <v>42461</v>
      </c>
      <c r="K141" s="1">
        <f>J141+E141</f>
        <v>42522</v>
      </c>
      <c r="L141" s="17">
        <f t="shared" si="14"/>
        <v>0.23428571428571426</v>
      </c>
      <c r="M141" s="17">
        <f t="shared" si="14"/>
        <v>1.64</v>
      </c>
      <c r="N141" s="17">
        <f t="shared" si="14"/>
        <v>1.64</v>
      </c>
      <c r="O141" s="17">
        <f t="shared" si="14"/>
        <v>1.64</v>
      </c>
      <c r="P141" s="17">
        <f t="shared" si="14"/>
        <v>1.64</v>
      </c>
      <c r="Q141" s="17">
        <f t="shared" si="14"/>
        <v>1.64</v>
      </c>
      <c r="R141" s="17">
        <f t="shared" si="16"/>
        <v>1.64</v>
      </c>
    </row>
    <row r="142" spans="1:18" x14ac:dyDescent="0.25">
      <c r="A142" t="s">
        <v>866</v>
      </c>
      <c r="B142" t="s">
        <v>948</v>
      </c>
      <c r="C142">
        <v>2</v>
      </c>
      <c r="D142" s="14" t="s">
        <v>878</v>
      </c>
      <c r="E142">
        <v>61</v>
      </c>
      <c r="F142">
        <v>1.64</v>
      </c>
      <c r="H142" t="str">
        <f>LEFT(B142,3)&amp;"-T"</f>
        <v>133-T</v>
      </c>
      <c r="I142">
        <f t="shared" si="15"/>
        <v>1.64</v>
      </c>
      <c r="J142" s="1">
        <f>DATE(MID(D142,5,4),MID(D142,3,2),LEFT(D142,2))</f>
        <v>42461</v>
      </c>
      <c r="K142" s="1">
        <f>J142+E142</f>
        <v>42522</v>
      </c>
      <c r="L142" s="17">
        <f t="shared" si="14"/>
        <v>0.23428571428571426</v>
      </c>
      <c r="M142" s="17">
        <f t="shared" si="14"/>
        <v>1.64</v>
      </c>
      <c r="N142" s="17">
        <f t="shared" si="14"/>
        <v>1.64</v>
      </c>
      <c r="O142" s="17">
        <f t="shared" si="14"/>
        <v>1.64</v>
      </c>
      <c r="P142" s="17">
        <f t="shared" si="14"/>
        <v>1.64</v>
      </c>
      <c r="Q142" s="17">
        <f t="shared" si="14"/>
        <v>1.64</v>
      </c>
      <c r="R142" s="17">
        <f t="shared" si="16"/>
        <v>1.64</v>
      </c>
    </row>
    <row r="143" spans="1:18" x14ac:dyDescent="0.25">
      <c r="A143" t="s">
        <v>866</v>
      </c>
      <c r="B143" t="s">
        <v>948</v>
      </c>
      <c r="C143">
        <v>3</v>
      </c>
      <c r="D143" s="14" t="s">
        <v>878</v>
      </c>
      <c r="E143">
        <v>61</v>
      </c>
      <c r="F143">
        <v>1.64</v>
      </c>
      <c r="H143" t="str">
        <f>LEFT(B143,3)&amp;"-T"</f>
        <v>133-T</v>
      </c>
      <c r="I143">
        <f t="shared" si="15"/>
        <v>1.64</v>
      </c>
      <c r="J143" s="1">
        <f>DATE(MID(D143,5,4),MID(D143,3,2),LEFT(D143,2))</f>
        <v>42461</v>
      </c>
      <c r="K143" s="1">
        <f>J143+E143</f>
        <v>42522</v>
      </c>
      <c r="L143" s="17">
        <f t="shared" si="14"/>
        <v>0.23428571428571426</v>
      </c>
      <c r="M143" s="17">
        <f t="shared" si="14"/>
        <v>1.64</v>
      </c>
      <c r="N143" s="17">
        <f t="shared" si="14"/>
        <v>1.64</v>
      </c>
      <c r="O143" s="17">
        <f t="shared" si="14"/>
        <v>1.64</v>
      </c>
      <c r="P143" s="17">
        <f t="shared" si="14"/>
        <v>1.64</v>
      </c>
      <c r="Q143" s="17">
        <f t="shared" si="14"/>
        <v>1.64</v>
      </c>
      <c r="R143" s="17">
        <f t="shared" si="16"/>
        <v>1.64</v>
      </c>
    </row>
    <row r="144" spans="1:18" x14ac:dyDescent="0.25">
      <c r="A144" t="s">
        <v>866</v>
      </c>
      <c r="B144" t="s">
        <v>948</v>
      </c>
      <c r="C144">
        <v>4</v>
      </c>
      <c r="D144" s="14" t="s">
        <v>878</v>
      </c>
      <c r="E144">
        <v>61</v>
      </c>
      <c r="F144">
        <v>1.64</v>
      </c>
      <c r="H144" t="str">
        <f>LEFT(B144,3)&amp;"-T"</f>
        <v>133-T</v>
      </c>
      <c r="I144">
        <f t="shared" si="15"/>
        <v>1.64</v>
      </c>
      <c r="J144" s="1">
        <f>DATE(MID(D144,5,4),MID(D144,3,2),LEFT(D144,2))</f>
        <v>42461</v>
      </c>
      <c r="K144" s="1">
        <f>J144+E144</f>
        <v>42522</v>
      </c>
      <c r="L144" s="17">
        <f t="shared" si="14"/>
        <v>0.23428571428571426</v>
      </c>
      <c r="M144" s="17">
        <f t="shared" si="14"/>
        <v>1.64</v>
      </c>
      <c r="N144" s="17">
        <f t="shared" si="14"/>
        <v>1.64</v>
      </c>
      <c r="O144" s="17">
        <f t="shared" si="14"/>
        <v>1.64</v>
      </c>
      <c r="P144" s="17">
        <f t="shared" si="14"/>
        <v>1.64</v>
      </c>
      <c r="Q144" s="17">
        <f t="shared" si="14"/>
        <v>1.64</v>
      </c>
      <c r="R144" s="17">
        <f t="shared" si="16"/>
        <v>1.64</v>
      </c>
    </row>
    <row r="145" spans="1:18" x14ac:dyDescent="0.25">
      <c r="A145" t="s">
        <v>866</v>
      </c>
      <c r="B145" t="s">
        <v>948</v>
      </c>
      <c r="C145">
        <v>5</v>
      </c>
      <c r="D145" s="14" t="s">
        <v>878</v>
      </c>
      <c r="E145">
        <v>61</v>
      </c>
      <c r="F145">
        <v>1.64</v>
      </c>
      <c r="H145" t="str">
        <f>LEFT(B145,3)&amp;"-T"</f>
        <v>133-T</v>
      </c>
      <c r="I145">
        <f t="shared" si="15"/>
        <v>1.64</v>
      </c>
      <c r="J145" s="1">
        <f>DATE(MID(D145,5,4),MID(D145,3,2),LEFT(D145,2))</f>
        <v>42461</v>
      </c>
      <c r="K145" s="1">
        <f>J145+E145</f>
        <v>42522</v>
      </c>
      <c r="L145" s="17">
        <f t="shared" si="14"/>
        <v>0.23428571428571426</v>
      </c>
      <c r="M145" s="17">
        <f t="shared" si="14"/>
        <v>1.64</v>
      </c>
      <c r="N145" s="17">
        <f t="shared" si="14"/>
        <v>1.64</v>
      </c>
      <c r="O145" s="17">
        <f t="shared" si="14"/>
        <v>1.64</v>
      </c>
      <c r="P145" s="17">
        <f t="shared" si="14"/>
        <v>1.64</v>
      </c>
      <c r="Q145" s="17">
        <f t="shared" si="14"/>
        <v>1.64</v>
      </c>
      <c r="R145" s="17">
        <f t="shared" si="16"/>
        <v>1.64</v>
      </c>
    </row>
    <row r="146" spans="1:18" x14ac:dyDescent="0.25">
      <c r="A146" t="s">
        <v>866</v>
      </c>
      <c r="B146" t="s">
        <v>948</v>
      </c>
      <c r="C146">
        <v>6</v>
      </c>
      <c r="D146" s="14" t="s">
        <v>878</v>
      </c>
      <c r="E146">
        <v>61</v>
      </c>
      <c r="F146">
        <v>1.64</v>
      </c>
      <c r="H146" t="str">
        <f>LEFT(B146,3)&amp;"-T"</f>
        <v>133-T</v>
      </c>
      <c r="I146">
        <f t="shared" si="15"/>
        <v>1.64</v>
      </c>
      <c r="J146" s="1">
        <f>DATE(MID(D146,5,4),MID(D146,3,2),LEFT(D146,2))</f>
        <v>42461</v>
      </c>
      <c r="K146" s="1">
        <f>J146+E146</f>
        <v>42522</v>
      </c>
      <c r="L146" s="17">
        <f t="shared" si="14"/>
        <v>0.23428571428571426</v>
      </c>
      <c r="M146" s="17">
        <f t="shared" si="14"/>
        <v>1.64</v>
      </c>
      <c r="N146" s="17">
        <f t="shared" si="14"/>
        <v>1.64</v>
      </c>
      <c r="O146" s="17">
        <f t="shared" si="14"/>
        <v>1.64</v>
      </c>
      <c r="P146" s="17">
        <f t="shared" si="14"/>
        <v>1.64</v>
      </c>
      <c r="Q146" s="17">
        <f t="shared" si="14"/>
        <v>1.64</v>
      </c>
      <c r="R146" s="17">
        <f t="shared" si="16"/>
        <v>1.64</v>
      </c>
    </row>
    <row r="147" spans="1:18" x14ac:dyDescent="0.25">
      <c r="A147" t="s">
        <v>866</v>
      </c>
      <c r="B147" t="s">
        <v>948</v>
      </c>
      <c r="C147">
        <v>7</v>
      </c>
      <c r="D147" s="14" t="s">
        <v>878</v>
      </c>
      <c r="E147">
        <v>61</v>
      </c>
      <c r="F147">
        <v>1.64</v>
      </c>
      <c r="H147" t="str">
        <f>LEFT(B147,3)&amp;"-T"</f>
        <v>133-T</v>
      </c>
      <c r="I147">
        <f t="shared" si="15"/>
        <v>1.64</v>
      </c>
      <c r="J147" s="1">
        <f>DATE(MID(D147,5,4),MID(D147,3,2),LEFT(D147,2))</f>
        <v>42461</v>
      </c>
      <c r="K147" s="1">
        <f>J147+E147</f>
        <v>42522</v>
      </c>
      <c r="L147" s="17">
        <f t="shared" si="14"/>
        <v>0.23428571428571426</v>
      </c>
      <c r="M147" s="17">
        <f t="shared" si="14"/>
        <v>1.64</v>
      </c>
      <c r="N147" s="17">
        <f t="shared" si="14"/>
        <v>1.64</v>
      </c>
      <c r="O147" s="17">
        <f t="shared" si="14"/>
        <v>1.64</v>
      </c>
      <c r="P147" s="17">
        <f t="shared" si="14"/>
        <v>1.64</v>
      </c>
      <c r="Q147" s="17">
        <f t="shared" si="14"/>
        <v>1.64</v>
      </c>
      <c r="R147" s="17">
        <f t="shared" si="16"/>
        <v>1.64</v>
      </c>
    </row>
    <row r="148" spans="1:18" x14ac:dyDescent="0.25">
      <c r="A148" t="s">
        <v>866</v>
      </c>
      <c r="B148" t="s">
        <v>948</v>
      </c>
      <c r="C148">
        <v>8</v>
      </c>
      <c r="D148" s="14" t="s">
        <v>878</v>
      </c>
      <c r="E148">
        <v>61</v>
      </c>
      <c r="F148">
        <v>1.64</v>
      </c>
      <c r="H148" t="str">
        <f>LEFT(B148,3)&amp;"-T"</f>
        <v>133-T</v>
      </c>
      <c r="I148">
        <f t="shared" si="15"/>
        <v>1.64</v>
      </c>
      <c r="J148" s="1">
        <f>DATE(MID(D148,5,4),MID(D148,3,2),LEFT(D148,2))</f>
        <v>42461</v>
      </c>
      <c r="K148" s="1">
        <f>J148+E148</f>
        <v>42522</v>
      </c>
      <c r="L148" s="17">
        <f t="shared" si="14"/>
        <v>0.23428571428571426</v>
      </c>
      <c r="M148" s="17">
        <f t="shared" si="14"/>
        <v>1.64</v>
      </c>
      <c r="N148" s="17">
        <f t="shared" si="14"/>
        <v>1.64</v>
      </c>
      <c r="O148" s="17">
        <f t="shared" si="14"/>
        <v>1.64</v>
      </c>
      <c r="P148" s="17">
        <f t="shared" si="14"/>
        <v>1.64</v>
      </c>
      <c r="Q148" s="17">
        <f t="shared" si="14"/>
        <v>1.64</v>
      </c>
      <c r="R148" s="17">
        <f t="shared" si="16"/>
        <v>1.64</v>
      </c>
    </row>
    <row r="149" spans="1:18" x14ac:dyDescent="0.25">
      <c r="A149" t="s">
        <v>866</v>
      </c>
      <c r="B149" t="s">
        <v>948</v>
      </c>
      <c r="C149">
        <v>9</v>
      </c>
      <c r="D149" s="14" t="s">
        <v>878</v>
      </c>
      <c r="E149">
        <v>61</v>
      </c>
      <c r="F149">
        <v>1.64</v>
      </c>
      <c r="H149" t="str">
        <f>LEFT(B149,3)&amp;"-T"</f>
        <v>133-T</v>
      </c>
      <c r="I149">
        <f t="shared" si="15"/>
        <v>1.64</v>
      </c>
      <c r="J149" s="1">
        <f>DATE(MID(D149,5,4),MID(D149,3,2),LEFT(D149,2))</f>
        <v>42461</v>
      </c>
      <c r="K149" s="1">
        <f>J149+E149</f>
        <v>42522</v>
      </c>
      <c r="L149" s="17">
        <f t="shared" ref="L149:Q164" si="17">-1*IF($K149&lt;L$3,0,IF($J149&gt;L$4,0,-1+MAX($J149,L$3)-MIN($K149,L$4)))*$I149/(L$4-L$3+1)</f>
        <v>0.23428571428571426</v>
      </c>
      <c r="M149" s="17">
        <f t="shared" si="17"/>
        <v>1.64</v>
      </c>
      <c r="N149" s="17">
        <f t="shared" si="17"/>
        <v>1.64</v>
      </c>
      <c r="O149" s="17">
        <f t="shared" si="17"/>
        <v>1.64</v>
      </c>
      <c r="P149" s="17">
        <f t="shared" si="17"/>
        <v>1.64</v>
      </c>
      <c r="Q149" s="17">
        <f t="shared" si="17"/>
        <v>1.64</v>
      </c>
      <c r="R149" s="17">
        <f t="shared" si="16"/>
        <v>1.64</v>
      </c>
    </row>
    <row r="150" spans="1:18" x14ac:dyDescent="0.25">
      <c r="A150" t="s">
        <v>865</v>
      </c>
      <c r="B150" t="s">
        <v>949</v>
      </c>
      <c r="C150">
        <v>1</v>
      </c>
      <c r="D150" s="14" t="s">
        <v>878</v>
      </c>
      <c r="E150">
        <v>61</v>
      </c>
      <c r="F150">
        <v>1.64</v>
      </c>
      <c r="H150" t="str">
        <f>LEFT(B150,3)&amp;"-T"</f>
        <v>135-T</v>
      </c>
      <c r="I150">
        <f t="shared" si="15"/>
        <v>1.64</v>
      </c>
      <c r="J150" s="1">
        <f>DATE(MID(D150,5,4),MID(D150,3,2),LEFT(D150,2))</f>
        <v>42461</v>
      </c>
      <c r="K150" s="1">
        <f>J150+E150</f>
        <v>42522</v>
      </c>
      <c r="L150" s="17">
        <f t="shared" si="17"/>
        <v>0.23428571428571426</v>
      </c>
      <c r="M150" s="17">
        <f t="shared" si="17"/>
        <v>1.64</v>
      </c>
      <c r="N150" s="17">
        <f t="shared" si="17"/>
        <v>1.64</v>
      </c>
      <c r="O150" s="17">
        <f t="shared" si="17"/>
        <v>1.64</v>
      </c>
      <c r="P150" s="17">
        <f t="shared" si="17"/>
        <v>1.64</v>
      </c>
      <c r="Q150" s="17">
        <f t="shared" si="17"/>
        <v>1.64</v>
      </c>
      <c r="R150" s="17">
        <f t="shared" si="16"/>
        <v>1.64</v>
      </c>
    </row>
    <row r="151" spans="1:18" x14ac:dyDescent="0.25">
      <c r="A151" t="s">
        <v>865</v>
      </c>
      <c r="B151" t="s">
        <v>949</v>
      </c>
      <c r="C151">
        <v>2</v>
      </c>
      <c r="D151" s="14" t="s">
        <v>878</v>
      </c>
      <c r="E151">
        <v>61</v>
      </c>
      <c r="F151">
        <v>1.64</v>
      </c>
      <c r="H151" t="str">
        <f>LEFT(B151,3)&amp;"-T"</f>
        <v>135-T</v>
      </c>
      <c r="I151">
        <f t="shared" si="15"/>
        <v>1.64</v>
      </c>
      <c r="J151" s="1">
        <f>DATE(MID(D151,5,4),MID(D151,3,2),LEFT(D151,2))</f>
        <v>42461</v>
      </c>
      <c r="K151" s="1">
        <f>J151+E151</f>
        <v>42522</v>
      </c>
      <c r="L151" s="17">
        <f t="shared" si="17"/>
        <v>0.23428571428571426</v>
      </c>
      <c r="M151" s="17">
        <f t="shared" si="17"/>
        <v>1.64</v>
      </c>
      <c r="N151" s="17">
        <f t="shared" si="17"/>
        <v>1.64</v>
      </c>
      <c r="O151" s="17">
        <f t="shared" si="17"/>
        <v>1.64</v>
      </c>
      <c r="P151" s="17">
        <f t="shared" si="17"/>
        <v>1.64</v>
      </c>
      <c r="Q151" s="17">
        <f t="shared" si="17"/>
        <v>1.64</v>
      </c>
      <c r="R151" s="17">
        <f t="shared" si="16"/>
        <v>1.64</v>
      </c>
    </row>
    <row r="152" spans="1:18" x14ac:dyDescent="0.25">
      <c r="A152" t="s">
        <v>865</v>
      </c>
      <c r="B152" t="s">
        <v>949</v>
      </c>
      <c r="C152">
        <v>3</v>
      </c>
      <c r="D152" s="14" t="s">
        <v>878</v>
      </c>
      <c r="E152">
        <v>61</v>
      </c>
      <c r="F152">
        <v>1.64</v>
      </c>
      <c r="H152" t="str">
        <f>LEFT(B152,3)&amp;"-T"</f>
        <v>135-T</v>
      </c>
      <c r="I152">
        <f t="shared" si="15"/>
        <v>1.64</v>
      </c>
      <c r="J152" s="1">
        <f>DATE(MID(D152,5,4),MID(D152,3,2),LEFT(D152,2))</f>
        <v>42461</v>
      </c>
      <c r="K152" s="1">
        <f>J152+E152</f>
        <v>42522</v>
      </c>
      <c r="L152" s="17">
        <f t="shared" si="17"/>
        <v>0.23428571428571426</v>
      </c>
      <c r="M152" s="17">
        <f t="shared" si="17"/>
        <v>1.64</v>
      </c>
      <c r="N152" s="17">
        <f t="shared" si="17"/>
        <v>1.64</v>
      </c>
      <c r="O152" s="17">
        <f t="shared" si="17"/>
        <v>1.64</v>
      </c>
      <c r="P152" s="17">
        <f t="shared" si="17"/>
        <v>1.64</v>
      </c>
      <c r="Q152" s="17">
        <f t="shared" si="17"/>
        <v>1.64</v>
      </c>
      <c r="R152" s="17">
        <f t="shared" si="16"/>
        <v>1.64</v>
      </c>
    </row>
    <row r="153" spans="1:18" x14ac:dyDescent="0.25">
      <c r="A153" t="s">
        <v>865</v>
      </c>
      <c r="B153" t="s">
        <v>949</v>
      </c>
      <c r="C153">
        <v>4</v>
      </c>
      <c r="D153" s="14" t="s">
        <v>878</v>
      </c>
      <c r="E153">
        <v>61</v>
      </c>
      <c r="F153">
        <v>1.64</v>
      </c>
      <c r="H153" t="str">
        <f>LEFT(B153,3)&amp;"-T"</f>
        <v>135-T</v>
      </c>
      <c r="I153">
        <f t="shared" si="15"/>
        <v>1.64</v>
      </c>
      <c r="J153" s="1">
        <f>DATE(MID(D153,5,4),MID(D153,3,2),LEFT(D153,2))</f>
        <v>42461</v>
      </c>
      <c r="K153" s="1">
        <f>J153+E153</f>
        <v>42522</v>
      </c>
      <c r="L153" s="17">
        <f t="shared" si="17"/>
        <v>0.23428571428571426</v>
      </c>
      <c r="M153" s="17">
        <f t="shared" si="17"/>
        <v>1.64</v>
      </c>
      <c r="N153" s="17">
        <f t="shared" si="17"/>
        <v>1.64</v>
      </c>
      <c r="O153" s="17">
        <f t="shared" si="17"/>
        <v>1.64</v>
      </c>
      <c r="P153" s="17">
        <f t="shared" si="17"/>
        <v>1.64</v>
      </c>
      <c r="Q153" s="17">
        <f t="shared" si="17"/>
        <v>1.64</v>
      </c>
      <c r="R153" s="17">
        <f t="shared" si="16"/>
        <v>1.64</v>
      </c>
    </row>
    <row r="154" spans="1:18" x14ac:dyDescent="0.25">
      <c r="A154" t="s">
        <v>865</v>
      </c>
      <c r="B154" t="s">
        <v>949</v>
      </c>
      <c r="C154">
        <v>5</v>
      </c>
      <c r="D154" s="14" t="s">
        <v>878</v>
      </c>
      <c r="E154">
        <v>61</v>
      </c>
      <c r="F154">
        <v>1.64</v>
      </c>
      <c r="H154" t="str">
        <f>LEFT(B154,3)&amp;"-T"</f>
        <v>135-T</v>
      </c>
      <c r="I154">
        <f t="shared" si="15"/>
        <v>1.64</v>
      </c>
      <c r="J154" s="1">
        <f>DATE(MID(D154,5,4),MID(D154,3,2),LEFT(D154,2))</f>
        <v>42461</v>
      </c>
      <c r="K154" s="1">
        <f>J154+E154</f>
        <v>42522</v>
      </c>
      <c r="L154" s="17">
        <f t="shared" si="17"/>
        <v>0.23428571428571426</v>
      </c>
      <c r="M154" s="17">
        <f t="shared" si="17"/>
        <v>1.64</v>
      </c>
      <c r="N154" s="17">
        <f t="shared" si="17"/>
        <v>1.64</v>
      </c>
      <c r="O154" s="17">
        <f t="shared" si="17"/>
        <v>1.64</v>
      </c>
      <c r="P154" s="17">
        <f t="shared" si="17"/>
        <v>1.64</v>
      </c>
      <c r="Q154" s="17">
        <f t="shared" si="17"/>
        <v>1.64</v>
      </c>
      <c r="R154" s="17">
        <f t="shared" si="16"/>
        <v>1.64</v>
      </c>
    </row>
    <row r="155" spans="1:18" x14ac:dyDescent="0.25">
      <c r="A155" t="s">
        <v>865</v>
      </c>
      <c r="B155" t="s">
        <v>949</v>
      </c>
      <c r="C155">
        <v>6</v>
      </c>
      <c r="D155" s="14" t="s">
        <v>878</v>
      </c>
      <c r="E155">
        <v>61</v>
      </c>
      <c r="F155">
        <v>1.64</v>
      </c>
      <c r="H155" t="str">
        <f>LEFT(B155,3)&amp;"-T"</f>
        <v>135-T</v>
      </c>
      <c r="I155">
        <f t="shared" si="15"/>
        <v>1.64</v>
      </c>
      <c r="J155" s="1">
        <f>DATE(MID(D155,5,4),MID(D155,3,2),LEFT(D155,2))</f>
        <v>42461</v>
      </c>
      <c r="K155" s="1">
        <f>J155+E155</f>
        <v>42522</v>
      </c>
      <c r="L155" s="17">
        <f t="shared" si="17"/>
        <v>0.23428571428571426</v>
      </c>
      <c r="M155" s="17">
        <f t="shared" si="17"/>
        <v>1.64</v>
      </c>
      <c r="N155" s="17">
        <f t="shared" si="17"/>
        <v>1.64</v>
      </c>
      <c r="O155" s="17">
        <f t="shared" si="17"/>
        <v>1.64</v>
      </c>
      <c r="P155" s="17">
        <f t="shared" si="17"/>
        <v>1.64</v>
      </c>
      <c r="Q155" s="17">
        <f t="shared" si="17"/>
        <v>1.64</v>
      </c>
      <c r="R155" s="17">
        <f t="shared" si="16"/>
        <v>1.64</v>
      </c>
    </row>
    <row r="156" spans="1:18" x14ac:dyDescent="0.25">
      <c r="A156" t="s">
        <v>865</v>
      </c>
      <c r="B156" t="s">
        <v>949</v>
      </c>
      <c r="C156">
        <v>7</v>
      </c>
      <c r="D156" s="14" t="s">
        <v>878</v>
      </c>
      <c r="E156">
        <v>61</v>
      </c>
      <c r="F156">
        <v>1.64</v>
      </c>
      <c r="H156" t="str">
        <f>LEFT(B156,3)&amp;"-T"</f>
        <v>135-T</v>
      </c>
      <c r="I156">
        <f t="shared" si="15"/>
        <v>1.64</v>
      </c>
      <c r="J156" s="1">
        <f>DATE(MID(D156,5,4),MID(D156,3,2),LEFT(D156,2))</f>
        <v>42461</v>
      </c>
      <c r="K156" s="1">
        <f>J156+E156</f>
        <v>42522</v>
      </c>
      <c r="L156" s="17">
        <f t="shared" si="17"/>
        <v>0.23428571428571426</v>
      </c>
      <c r="M156" s="17">
        <f t="shared" si="17"/>
        <v>1.64</v>
      </c>
      <c r="N156" s="17">
        <f t="shared" si="17"/>
        <v>1.64</v>
      </c>
      <c r="O156" s="17">
        <f t="shared" si="17"/>
        <v>1.64</v>
      </c>
      <c r="P156" s="17">
        <f t="shared" si="17"/>
        <v>1.64</v>
      </c>
      <c r="Q156" s="17">
        <f t="shared" si="17"/>
        <v>1.64</v>
      </c>
      <c r="R156" s="17">
        <f t="shared" si="16"/>
        <v>1.64</v>
      </c>
    </row>
    <row r="157" spans="1:18" x14ac:dyDescent="0.25">
      <c r="A157" t="s">
        <v>865</v>
      </c>
      <c r="B157" t="s">
        <v>949</v>
      </c>
      <c r="C157">
        <v>8</v>
      </c>
      <c r="D157" s="14" t="s">
        <v>878</v>
      </c>
      <c r="E157">
        <v>61</v>
      </c>
      <c r="F157">
        <v>1.64</v>
      </c>
      <c r="H157" t="str">
        <f>LEFT(B157,3)&amp;"-T"</f>
        <v>135-T</v>
      </c>
      <c r="I157">
        <f t="shared" si="15"/>
        <v>1.64</v>
      </c>
      <c r="J157" s="1">
        <f>DATE(MID(D157,5,4),MID(D157,3,2),LEFT(D157,2))</f>
        <v>42461</v>
      </c>
      <c r="K157" s="1">
        <f>J157+E157</f>
        <v>42522</v>
      </c>
      <c r="L157" s="17">
        <f t="shared" si="17"/>
        <v>0.23428571428571426</v>
      </c>
      <c r="M157" s="17">
        <f t="shared" si="17"/>
        <v>1.64</v>
      </c>
      <c r="N157" s="17">
        <f t="shared" si="17"/>
        <v>1.64</v>
      </c>
      <c r="O157" s="17">
        <f t="shared" si="17"/>
        <v>1.64</v>
      </c>
      <c r="P157" s="17">
        <f t="shared" si="17"/>
        <v>1.64</v>
      </c>
      <c r="Q157" s="17">
        <f t="shared" si="17"/>
        <v>1.64</v>
      </c>
      <c r="R157" s="17">
        <f t="shared" si="16"/>
        <v>1.64</v>
      </c>
    </row>
    <row r="158" spans="1:18" x14ac:dyDescent="0.25">
      <c r="A158" t="s">
        <v>858</v>
      </c>
      <c r="B158" t="s">
        <v>950</v>
      </c>
      <c r="C158">
        <v>3</v>
      </c>
      <c r="D158" s="14" t="s">
        <v>878</v>
      </c>
      <c r="E158">
        <v>6</v>
      </c>
      <c r="F158">
        <v>18.46</v>
      </c>
      <c r="H158" t="str">
        <f>LEFT(B158,3)&amp;"-T"</f>
        <v>164-T</v>
      </c>
      <c r="I158">
        <f t="shared" si="15"/>
        <v>18.46</v>
      </c>
      <c r="J158" s="1">
        <f>DATE(MID(D158,5,4),MID(D158,3,2),LEFT(D158,2))</f>
        <v>42461</v>
      </c>
      <c r="K158" s="1">
        <f>J158+E158</f>
        <v>42467</v>
      </c>
      <c r="L158" s="17">
        <f t="shared" si="17"/>
        <v>2.6371428571428575</v>
      </c>
      <c r="M158" s="17">
        <f t="shared" si="17"/>
        <v>15.822857142857144</v>
      </c>
      <c r="N158" s="17">
        <f t="shared" si="17"/>
        <v>0</v>
      </c>
      <c r="O158" s="17">
        <f t="shared" si="17"/>
        <v>0</v>
      </c>
      <c r="P158" s="17">
        <f t="shared" si="17"/>
        <v>0</v>
      </c>
      <c r="Q158" s="17">
        <f t="shared" si="17"/>
        <v>0</v>
      </c>
      <c r="R158" s="17">
        <f t="shared" si="16"/>
        <v>0</v>
      </c>
    </row>
    <row r="159" spans="1:18" x14ac:dyDescent="0.25">
      <c r="A159" t="s">
        <v>865</v>
      </c>
      <c r="B159" t="s">
        <v>951</v>
      </c>
      <c r="C159">
        <v>1</v>
      </c>
      <c r="D159" s="14" t="s">
        <v>878</v>
      </c>
      <c r="E159">
        <v>61</v>
      </c>
      <c r="F159">
        <v>1.64</v>
      </c>
      <c r="H159" t="str">
        <f>LEFT(B159,3)&amp;"-T"</f>
        <v>138-T</v>
      </c>
      <c r="I159">
        <f t="shared" si="15"/>
        <v>1.64</v>
      </c>
      <c r="J159" s="1">
        <f>DATE(MID(D159,5,4),MID(D159,3,2),LEFT(D159,2))</f>
        <v>42461</v>
      </c>
      <c r="K159" s="1">
        <f>J159+E159</f>
        <v>42522</v>
      </c>
      <c r="L159" s="17">
        <f t="shared" si="17"/>
        <v>0.23428571428571426</v>
      </c>
      <c r="M159" s="17">
        <f t="shared" si="17"/>
        <v>1.64</v>
      </c>
      <c r="N159" s="17">
        <f t="shared" si="17"/>
        <v>1.64</v>
      </c>
      <c r="O159" s="17">
        <f t="shared" si="17"/>
        <v>1.64</v>
      </c>
      <c r="P159" s="17">
        <f t="shared" si="17"/>
        <v>1.64</v>
      </c>
      <c r="Q159" s="17">
        <f t="shared" si="17"/>
        <v>1.64</v>
      </c>
      <c r="R159" s="17">
        <f t="shared" si="16"/>
        <v>1.64</v>
      </c>
    </row>
    <row r="160" spans="1:18" x14ac:dyDescent="0.25">
      <c r="A160" t="s">
        <v>865</v>
      </c>
      <c r="B160" t="s">
        <v>951</v>
      </c>
      <c r="C160">
        <v>2</v>
      </c>
      <c r="D160" s="14" t="s">
        <v>878</v>
      </c>
      <c r="E160">
        <v>61</v>
      </c>
      <c r="F160">
        <v>1.64</v>
      </c>
      <c r="H160" t="str">
        <f>LEFT(B160,3)&amp;"-T"</f>
        <v>138-T</v>
      </c>
      <c r="I160">
        <f t="shared" si="15"/>
        <v>1.64</v>
      </c>
      <c r="J160" s="1">
        <f>DATE(MID(D160,5,4),MID(D160,3,2),LEFT(D160,2))</f>
        <v>42461</v>
      </c>
      <c r="K160" s="1">
        <f>J160+E160</f>
        <v>42522</v>
      </c>
      <c r="L160" s="17">
        <f t="shared" si="17"/>
        <v>0.23428571428571426</v>
      </c>
      <c r="M160" s="17">
        <f t="shared" si="17"/>
        <v>1.64</v>
      </c>
      <c r="N160" s="17">
        <f t="shared" si="17"/>
        <v>1.64</v>
      </c>
      <c r="O160" s="17">
        <f t="shared" si="17"/>
        <v>1.64</v>
      </c>
      <c r="P160" s="17">
        <f t="shared" si="17"/>
        <v>1.64</v>
      </c>
      <c r="Q160" s="17">
        <f t="shared" si="17"/>
        <v>1.64</v>
      </c>
      <c r="R160" s="17">
        <f t="shared" si="16"/>
        <v>1.64</v>
      </c>
    </row>
    <row r="161" spans="1:18" x14ac:dyDescent="0.25">
      <c r="A161" t="s">
        <v>865</v>
      </c>
      <c r="B161" t="s">
        <v>951</v>
      </c>
      <c r="C161">
        <v>3</v>
      </c>
      <c r="D161" s="14" t="s">
        <v>878</v>
      </c>
      <c r="E161">
        <v>61</v>
      </c>
      <c r="F161">
        <v>1.64</v>
      </c>
      <c r="H161" t="str">
        <f>LEFT(B161,3)&amp;"-T"</f>
        <v>138-T</v>
      </c>
      <c r="I161">
        <f t="shared" si="15"/>
        <v>1.64</v>
      </c>
      <c r="J161" s="1">
        <f>DATE(MID(D161,5,4),MID(D161,3,2),LEFT(D161,2))</f>
        <v>42461</v>
      </c>
      <c r="K161" s="1">
        <f>J161+E161</f>
        <v>42522</v>
      </c>
      <c r="L161" s="17">
        <f t="shared" si="17"/>
        <v>0.23428571428571426</v>
      </c>
      <c r="M161" s="17">
        <f t="shared" si="17"/>
        <v>1.64</v>
      </c>
      <c r="N161" s="17">
        <f t="shared" si="17"/>
        <v>1.64</v>
      </c>
      <c r="O161" s="17">
        <f t="shared" si="17"/>
        <v>1.64</v>
      </c>
      <c r="P161" s="17">
        <f t="shared" si="17"/>
        <v>1.64</v>
      </c>
      <c r="Q161" s="17">
        <f t="shared" si="17"/>
        <v>1.64</v>
      </c>
      <c r="R161" s="17">
        <f t="shared" si="16"/>
        <v>1.64</v>
      </c>
    </row>
    <row r="162" spans="1:18" x14ac:dyDescent="0.25">
      <c r="A162" t="s">
        <v>865</v>
      </c>
      <c r="B162" t="s">
        <v>951</v>
      </c>
      <c r="C162">
        <v>4</v>
      </c>
      <c r="D162" s="14" t="s">
        <v>878</v>
      </c>
      <c r="E162">
        <v>61</v>
      </c>
      <c r="F162">
        <v>1.64</v>
      </c>
      <c r="H162" t="str">
        <f>LEFT(B162,3)&amp;"-T"</f>
        <v>138-T</v>
      </c>
      <c r="I162">
        <f t="shared" si="15"/>
        <v>1.64</v>
      </c>
      <c r="J162" s="1">
        <f>DATE(MID(D162,5,4),MID(D162,3,2),LEFT(D162,2))</f>
        <v>42461</v>
      </c>
      <c r="K162" s="1">
        <f>J162+E162</f>
        <v>42522</v>
      </c>
      <c r="L162" s="17">
        <f t="shared" si="17"/>
        <v>0.23428571428571426</v>
      </c>
      <c r="M162" s="17">
        <f t="shared" si="17"/>
        <v>1.64</v>
      </c>
      <c r="N162" s="17">
        <f t="shared" si="17"/>
        <v>1.64</v>
      </c>
      <c r="O162" s="17">
        <f t="shared" si="17"/>
        <v>1.64</v>
      </c>
      <c r="P162" s="17">
        <f t="shared" si="17"/>
        <v>1.64</v>
      </c>
      <c r="Q162" s="17">
        <f t="shared" si="17"/>
        <v>1.64</v>
      </c>
      <c r="R162" s="17">
        <f t="shared" si="16"/>
        <v>1.64</v>
      </c>
    </row>
    <row r="163" spans="1:18" x14ac:dyDescent="0.25">
      <c r="A163" t="s">
        <v>865</v>
      </c>
      <c r="B163" t="s">
        <v>951</v>
      </c>
      <c r="C163">
        <v>5</v>
      </c>
      <c r="D163" s="14" t="s">
        <v>878</v>
      </c>
      <c r="E163">
        <v>61</v>
      </c>
      <c r="F163">
        <v>1.64</v>
      </c>
      <c r="H163" t="str">
        <f>LEFT(B163,3)&amp;"-T"</f>
        <v>138-T</v>
      </c>
      <c r="I163">
        <f t="shared" si="15"/>
        <v>1.64</v>
      </c>
      <c r="J163" s="1">
        <f>DATE(MID(D163,5,4),MID(D163,3,2),LEFT(D163,2))</f>
        <v>42461</v>
      </c>
      <c r="K163" s="1">
        <f>J163+E163</f>
        <v>42522</v>
      </c>
      <c r="L163" s="17">
        <f t="shared" si="17"/>
        <v>0.23428571428571426</v>
      </c>
      <c r="M163" s="17">
        <f t="shared" si="17"/>
        <v>1.64</v>
      </c>
      <c r="N163" s="17">
        <f t="shared" si="17"/>
        <v>1.64</v>
      </c>
      <c r="O163" s="17">
        <f t="shared" si="17"/>
        <v>1.64</v>
      </c>
      <c r="P163" s="17">
        <f t="shared" si="17"/>
        <v>1.64</v>
      </c>
      <c r="Q163" s="17">
        <f t="shared" si="17"/>
        <v>1.64</v>
      </c>
      <c r="R163" s="17">
        <f t="shared" si="16"/>
        <v>1.64</v>
      </c>
    </row>
    <row r="164" spans="1:18" x14ac:dyDescent="0.25">
      <c r="A164" t="s">
        <v>865</v>
      </c>
      <c r="B164" t="s">
        <v>951</v>
      </c>
      <c r="C164">
        <v>6</v>
      </c>
      <c r="D164" s="14" t="s">
        <v>878</v>
      </c>
      <c r="E164">
        <v>61</v>
      </c>
      <c r="F164">
        <v>1.64</v>
      </c>
      <c r="H164" t="str">
        <f>LEFT(B164,3)&amp;"-T"</f>
        <v>138-T</v>
      </c>
      <c r="I164">
        <f t="shared" si="15"/>
        <v>1.64</v>
      </c>
      <c r="J164" s="1">
        <f>DATE(MID(D164,5,4),MID(D164,3,2),LEFT(D164,2))</f>
        <v>42461</v>
      </c>
      <c r="K164" s="1">
        <f>J164+E164</f>
        <v>42522</v>
      </c>
      <c r="L164" s="17">
        <f t="shared" si="17"/>
        <v>0.23428571428571426</v>
      </c>
      <c r="M164" s="17">
        <f t="shared" si="17"/>
        <v>1.64</v>
      </c>
      <c r="N164" s="17">
        <f t="shared" si="17"/>
        <v>1.64</v>
      </c>
      <c r="O164" s="17">
        <f t="shared" si="17"/>
        <v>1.64</v>
      </c>
      <c r="P164" s="17">
        <f t="shared" si="17"/>
        <v>1.64</v>
      </c>
      <c r="Q164" s="17">
        <f t="shared" si="17"/>
        <v>1.64</v>
      </c>
      <c r="R164" s="17">
        <f t="shared" si="16"/>
        <v>1.64</v>
      </c>
    </row>
    <row r="165" spans="1:18" x14ac:dyDescent="0.25">
      <c r="A165" t="s">
        <v>865</v>
      </c>
      <c r="B165" t="s">
        <v>951</v>
      </c>
      <c r="C165">
        <v>7</v>
      </c>
      <c r="D165" s="14" t="s">
        <v>878</v>
      </c>
      <c r="E165">
        <v>61</v>
      </c>
      <c r="F165">
        <v>1.64</v>
      </c>
      <c r="H165" t="str">
        <f>LEFT(B165,3)&amp;"-T"</f>
        <v>138-T</v>
      </c>
      <c r="I165">
        <f t="shared" si="15"/>
        <v>1.64</v>
      </c>
      <c r="J165" s="1">
        <f>DATE(MID(D165,5,4),MID(D165,3,2),LEFT(D165,2))</f>
        <v>42461</v>
      </c>
      <c r="K165" s="1">
        <f>J165+E165</f>
        <v>42522</v>
      </c>
      <c r="L165" s="17">
        <f t="shared" ref="L165:Q180" si="18">-1*IF($K165&lt;L$3,0,IF($J165&gt;L$4,0,-1+MAX($J165,L$3)-MIN($K165,L$4)))*$I165/(L$4-L$3+1)</f>
        <v>0.23428571428571426</v>
      </c>
      <c r="M165" s="17">
        <f t="shared" si="18"/>
        <v>1.64</v>
      </c>
      <c r="N165" s="17">
        <f t="shared" si="18"/>
        <v>1.64</v>
      </c>
      <c r="O165" s="17">
        <f t="shared" si="18"/>
        <v>1.64</v>
      </c>
      <c r="P165" s="17">
        <f t="shared" si="18"/>
        <v>1.64</v>
      </c>
      <c r="Q165" s="17">
        <f t="shared" si="18"/>
        <v>1.64</v>
      </c>
      <c r="R165" s="17">
        <f t="shared" si="16"/>
        <v>1.64</v>
      </c>
    </row>
    <row r="166" spans="1:18" x14ac:dyDescent="0.25">
      <c r="A166" t="s">
        <v>865</v>
      </c>
      <c r="B166" t="s">
        <v>951</v>
      </c>
      <c r="C166">
        <v>8</v>
      </c>
      <c r="D166" s="14" t="s">
        <v>878</v>
      </c>
      <c r="E166">
        <v>61</v>
      </c>
      <c r="F166">
        <v>1.64</v>
      </c>
      <c r="H166" t="str">
        <f>LEFT(B166,3)&amp;"-T"</f>
        <v>138-T</v>
      </c>
      <c r="I166">
        <f t="shared" si="15"/>
        <v>1.64</v>
      </c>
      <c r="J166" s="1">
        <f>DATE(MID(D166,5,4),MID(D166,3,2),LEFT(D166,2))</f>
        <v>42461</v>
      </c>
      <c r="K166" s="1">
        <f>J166+E166</f>
        <v>42522</v>
      </c>
      <c r="L166" s="17">
        <f t="shared" si="18"/>
        <v>0.23428571428571426</v>
      </c>
      <c r="M166" s="17">
        <f t="shared" si="18"/>
        <v>1.64</v>
      </c>
      <c r="N166" s="17">
        <f t="shared" si="18"/>
        <v>1.64</v>
      </c>
      <c r="O166" s="17">
        <f t="shared" si="18"/>
        <v>1.64</v>
      </c>
      <c r="P166" s="17">
        <f t="shared" si="18"/>
        <v>1.64</v>
      </c>
      <c r="Q166" s="17">
        <f t="shared" si="18"/>
        <v>1.64</v>
      </c>
      <c r="R166" s="17">
        <f t="shared" si="16"/>
        <v>1.64</v>
      </c>
    </row>
    <row r="167" spans="1:18" x14ac:dyDescent="0.25">
      <c r="A167" t="s">
        <v>858</v>
      </c>
      <c r="B167" s="8" t="s">
        <v>952</v>
      </c>
      <c r="C167">
        <v>1</v>
      </c>
      <c r="D167" s="14" t="s">
        <v>908</v>
      </c>
      <c r="E167">
        <v>8</v>
      </c>
      <c r="F167">
        <v>185.9</v>
      </c>
      <c r="H167" t="str">
        <f>LEFT(B167,3)&amp;"-T"</f>
        <v xml:space="preserve"> 43-T</v>
      </c>
      <c r="I167">
        <f t="shared" si="15"/>
        <v>185.9</v>
      </c>
      <c r="J167" s="1">
        <f>DATE(MID(D167,5,4),MID(D167,3,2),LEFT(D167,2))</f>
        <v>42464</v>
      </c>
      <c r="K167" s="1">
        <f>J167+E167</f>
        <v>42472</v>
      </c>
      <c r="L167" s="17">
        <f t="shared" si="18"/>
        <v>0</v>
      </c>
      <c r="M167" s="17">
        <f t="shared" si="18"/>
        <v>132.78571428571428</v>
      </c>
      <c r="N167" s="17">
        <f t="shared" si="18"/>
        <v>106.22857142857143</v>
      </c>
      <c r="O167" s="17">
        <f t="shared" si="18"/>
        <v>0</v>
      </c>
      <c r="P167" s="17">
        <f t="shared" si="18"/>
        <v>0</v>
      </c>
      <c r="Q167" s="17">
        <f t="shared" si="18"/>
        <v>0</v>
      </c>
      <c r="R167" s="17">
        <f t="shared" si="16"/>
        <v>0</v>
      </c>
    </row>
    <row r="168" spans="1:18" x14ac:dyDescent="0.25">
      <c r="A168" t="s">
        <v>858</v>
      </c>
      <c r="B168" s="8" t="s">
        <v>952</v>
      </c>
      <c r="C168">
        <v>1</v>
      </c>
      <c r="D168" s="14" t="s">
        <v>909</v>
      </c>
      <c r="E168">
        <v>30</v>
      </c>
      <c r="F168">
        <v>185.9</v>
      </c>
      <c r="H168" t="str">
        <f>LEFT(B168,3)&amp;"-T"</f>
        <v xml:space="preserve"> 43-T</v>
      </c>
      <c r="I168">
        <f t="shared" si="15"/>
        <v>185.9</v>
      </c>
      <c r="J168" s="1">
        <f>DATE(MID(D168,5,4),MID(D168,3,2),LEFT(D168,2))</f>
        <v>42705</v>
      </c>
      <c r="K168" s="1">
        <f>J168+E168</f>
        <v>42735</v>
      </c>
      <c r="L168" s="17">
        <f t="shared" si="18"/>
        <v>0</v>
      </c>
      <c r="M168" s="17">
        <f t="shared" si="18"/>
        <v>0</v>
      </c>
      <c r="N168" s="17">
        <f t="shared" si="18"/>
        <v>0</v>
      </c>
      <c r="O168" s="17">
        <f t="shared" si="18"/>
        <v>0</v>
      </c>
      <c r="P168" s="17">
        <f t="shared" si="18"/>
        <v>0</v>
      </c>
      <c r="Q168" s="17">
        <f t="shared" si="18"/>
        <v>0</v>
      </c>
      <c r="R168" s="17">
        <f t="shared" si="16"/>
        <v>0</v>
      </c>
    </row>
    <row r="169" spans="1:18" x14ac:dyDescent="0.25">
      <c r="A169" t="s">
        <v>869</v>
      </c>
      <c r="B169" t="s">
        <v>953</v>
      </c>
      <c r="C169">
        <v>1</v>
      </c>
      <c r="D169" s="14" t="s">
        <v>878</v>
      </c>
      <c r="E169">
        <v>14</v>
      </c>
      <c r="F169">
        <v>16.579999999999998</v>
      </c>
      <c r="H169" t="str">
        <f>LEFT(B169,3)&amp;"-T"</f>
        <v>152-T</v>
      </c>
      <c r="I169">
        <f t="shared" si="15"/>
        <v>16.579999999999998</v>
      </c>
      <c r="J169" s="1">
        <f>DATE(MID(D169,5,4),MID(D169,3,2),LEFT(D169,2))</f>
        <v>42461</v>
      </c>
      <c r="K169" s="1">
        <f>J169+E169</f>
        <v>42475</v>
      </c>
      <c r="L169" s="17">
        <f t="shared" si="18"/>
        <v>2.3685714285714283</v>
      </c>
      <c r="M169" s="17">
        <f t="shared" si="18"/>
        <v>16.579999999999998</v>
      </c>
      <c r="N169" s="17">
        <f t="shared" si="18"/>
        <v>16.579999999999998</v>
      </c>
      <c r="O169" s="17">
        <f t="shared" si="18"/>
        <v>0</v>
      </c>
      <c r="P169" s="17">
        <f t="shared" si="18"/>
        <v>0</v>
      </c>
      <c r="Q169" s="17">
        <f t="shared" si="18"/>
        <v>0</v>
      </c>
      <c r="R169" s="17">
        <f t="shared" si="16"/>
        <v>0</v>
      </c>
    </row>
    <row r="170" spans="1:18" x14ac:dyDescent="0.25">
      <c r="A170" t="s">
        <v>858</v>
      </c>
      <c r="B170" t="s">
        <v>954</v>
      </c>
      <c r="C170">
        <v>2</v>
      </c>
      <c r="D170" s="14" t="s">
        <v>878</v>
      </c>
      <c r="E170">
        <v>30</v>
      </c>
      <c r="F170">
        <v>57.11</v>
      </c>
      <c r="H170" t="str">
        <f>LEFT(B170,3)&amp;"-T"</f>
        <v xml:space="preserve"> 58-T</v>
      </c>
      <c r="I170">
        <f t="shared" si="15"/>
        <v>57.11</v>
      </c>
      <c r="J170" s="1">
        <f>DATE(MID(D170,5,4),MID(D170,3,2),LEFT(D170,2))</f>
        <v>42461</v>
      </c>
      <c r="K170" s="1">
        <f>J170+E170</f>
        <v>42491</v>
      </c>
      <c r="L170" s="17">
        <f t="shared" si="18"/>
        <v>8.1585714285714293</v>
      </c>
      <c r="M170" s="17">
        <f t="shared" si="18"/>
        <v>57.11</v>
      </c>
      <c r="N170" s="17">
        <f t="shared" si="18"/>
        <v>57.11</v>
      </c>
      <c r="O170" s="17">
        <f t="shared" si="18"/>
        <v>57.11</v>
      </c>
      <c r="P170" s="17">
        <f t="shared" si="18"/>
        <v>57.11</v>
      </c>
      <c r="Q170" s="17">
        <f t="shared" si="18"/>
        <v>57.11</v>
      </c>
      <c r="R170" s="17">
        <f t="shared" si="16"/>
        <v>1.8422580645161291</v>
      </c>
    </row>
    <row r="171" spans="1:18" x14ac:dyDescent="0.25">
      <c r="A171" t="s">
        <v>858</v>
      </c>
      <c r="B171" t="s">
        <v>954</v>
      </c>
      <c r="C171">
        <v>3</v>
      </c>
      <c r="D171" s="14" t="s">
        <v>878</v>
      </c>
      <c r="E171">
        <v>30</v>
      </c>
      <c r="F171">
        <v>56.24</v>
      </c>
      <c r="H171" t="str">
        <f>LEFT(B171,3)&amp;"-T"</f>
        <v xml:space="preserve"> 58-T</v>
      </c>
      <c r="I171">
        <f t="shared" si="15"/>
        <v>56.24</v>
      </c>
      <c r="J171" s="1">
        <f>DATE(MID(D171,5,4),MID(D171,3,2),LEFT(D171,2))</f>
        <v>42461</v>
      </c>
      <c r="K171" s="1">
        <f>J171+E171</f>
        <v>42491</v>
      </c>
      <c r="L171" s="17">
        <f t="shared" si="18"/>
        <v>8.0342857142857138</v>
      </c>
      <c r="M171" s="17">
        <f t="shared" si="18"/>
        <v>56.24</v>
      </c>
      <c r="N171" s="17">
        <f t="shared" si="18"/>
        <v>56.24</v>
      </c>
      <c r="O171" s="17">
        <f t="shared" si="18"/>
        <v>56.24</v>
      </c>
      <c r="P171" s="17">
        <f t="shared" si="18"/>
        <v>56.24</v>
      </c>
      <c r="Q171" s="17">
        <f t="shared" si="18"/>
        <v>56.24</v>
      </c>
      <c r="R171" s="17">
        <f t="shared" si="16"/>
        <v>1.8141935483870968</v>
      </c>
    </row>
    <row r="172" spans="1:18" x14ac:dyDescent="0.25">
      <c r="A172" t="s">
        <v>870</v>
      </c>
      <c r="B172" s="8" t="s">
        <v>955</v>
      </c>
      <c r="C172">
        <v>1</v>
      </c>
      <c r="D172" s="14" t="s">
        <v>910</v>
      </c>
      <c r="E172">
        <v>8</v>
      </c>
      <c r="F172">
        <v>164.68</v>
      </c>
      <c r="H172" t="str">
        <f>LEFT(B172,3)&amp;"-T"</f>
        <v xml:space="preserve"> 96-T</v>
      </c>
      <c r="I172">
        <f t="shared" si="15"/>
        <v>164.68</v>
      </c>
      <c r="J172" s="1">
        <f>DATE(MID(D172,5,4),MID(D172,3,2),LEFT(D172,2))</f>
        <v>42481</v>
      </c>
      <c r="K172" s="1">
        <f>J172+E172</f>
        <v>42489</v>
      </c>
      <c r="L172" s="17">
        <f t="shared" si="18"/>
        <v>0</v>
      </c>
      <c r="M172" s="17">
        <f t="shared" si="18"/>
        <v>0</v>
      </c>
      <c r="N172" s="17">
        <f t="shared" si="18"/>
        <v>0</v>
      </c>
      <c r="O172" s="17">
        <f t="shared" si="18"/>
        <v>47.051428571428573</v>
      </c>
      <c r="P172" s="17">
        <f t="shared" si="18"/>
        <v>164.68</v>
      </c>
      <c r="Q172" s="17">
        <f t="shared" si="18"/>
        <v>0</v>
      </c>
      <c r="R172" s="17">
        <f t="shared" si="16"/>
        <v>0</v>
      </c>
    </row>
    <row r="173" spans="1:18" x14ac:dyDescent="0.25">
      <c r="A173" t="s">
        <v>870</v>
      </c>
      <c r="B173" s="8" t="s">
        <v>955</v>
      </c>
      <c r="C173">
        <v>2</v>
      </c>
      <c r="D173" s="14" t="s">
        <v>911</v>
      </c>
      <c r="E173">
        <v>22</v>
      </c>
      <c r="F173">
        <v>160.29</v>
      </c>
      <c r="H173" t="str">
        <f>LEFT(B173,3)&amp;"-T"</f>
        <v xml:space="preserve"> 96-T</v>
      </c>
      <c r="I173">
        <f t="shared" si="15"/>
        <v>160.29</v>
      </c>
      <c r="J173" s="1">
        <f>DATE(MID(D173,5,4),MID(D173,3,2),LEFT(D173,2))</f>
        <v>42489</v>
      </c>
      <c r="K173" s="1">
        <f>J173+E173</f>
        <v>42511</v>
      </c>
      <c r="L173" s="17">
        <f t="shared" si="18"/>
        <v>0</v>
      </c>
      <c r="M173" s="17">
        <f t="shared" si="18"/>
        <v>0</v>
      </c>
      <c r="N173" s="17">
        <f t="shared" si="18"/>
        <v>0</v>
      </c>
      <c r="O173" s="17">
        <f t="shared" si="18"/>
        <v>0</v>
      </c>
      <c r="P173" s="17">
        <f t="shared" si="18"/>
        <v>22.898571428571426</v>
      </c>
      <c r="Q173" s="17">
        <f t="shared" si="18"/>
        <v>160.29</v>
      </c>
      <c r="R173" s="17">
        <f t="shared" si="16"/>
        <v>108.58354838709677</v>
      </c>
    </row>
    <row r="174" spans="1:18" x14ac:dyDescent="0.25">
      <c r="A174" t="s">
        <v>858</v>
      </c>
      <c r="B174" s="8" t="s">
        <v>956</v>
      </c>
      <c r="C174">
        <v>1</v>
      </c>
      <c r="D174" s="14" t="s">
        <v>902</v>
      </c>
      <c r="E174">
        <v>20</v>
      </c>
      <c r="F174">
        <v>182.76</v>
      </c>
      <c r="H174" t="str">
        <f>LEFT(B174,3)&amp;"-T"</f>
        <v xml:space="preserve"> 83-T</v>
      </c>
      <c r="I174">
        <f t="shared" si="15"/>
        <v>182.76</v>
      </c>
      <c r="J174" s="1">
        <f>DATE(MID(D174,5,4),MID(D174,3,2),LEFT(D174,2))</f>
        <v>42583</v>
      </c>
      <c r="K174" s="1">
        <f>J174+E174</f>
        <v>42603</v>
      </c>
      <c r="L174" s="17">
        <f t="shared" si="18"/>
        <v>0</v>
      </c>
      <c r="M174" s="17">
        <f t="shared" si="18"/>
        <v>0</v>
      </c>
      <c r="N174" s="17">
        <f t="shared" si="18"/>
        <v>0</v>
      </c>
      <c r="O174" s="17">
        <f t="shared" si="18"/>
        <v>0</v>
      </c>
      <c r="P174" s="17">
        <f t="shared" si="18"/>
        <v>0</v>
      </c>
      <c r="Q174" s="17">
        <f t="shared" si="18"/>
        <v>0</v>
      </c>
      <c r="R174" s="17">
        <f t="shared" si="16"/>
        <v>0</v>
      </c>
    </row>
    <row r="175" spans="1:18" x14ac:dyDescent="0.25">
      <c r="A175" t="s">
        <v>871</v>
      </c>
      <c r="B175" t="s">
        <v>957</v>
      </c>
      <c r="C175">
        <v>1</v>
      </c>
      <c r="D175" s="14" t="s">
        <v>878</v>
      </c>
      <c r="E175">
        <v>61</v>
      </c>
      <c r="F175">
        <v>40</v>
      </c>
      <c r="H175" t="str">
        <f>LEFT(B175,3)&amp;"-T"</f>
        <v>201-T</v>
      </c>
      <c r="I175">
        <f t="shared" si="15"/>
        <v>40</v>
      </c>
      <c r="J175" s="1">
        <f>DATE(MID(D175,5,4),MID(D175,3,2),LEFT(D175,2))</f>
        <v>42461</v>
      </c>
      <c r="K175" s="1">
        <f>J175+E175</f>
        <v>42522</v>
      </c>
      <c r="L175" s="17">
        <f t="shared" si="18"/>
        <v>5.7142857142857144</v>
      </c>
      <c r="M175" s="17">
        <f t="shared" si="18"/>
        <v>40</v>
      </c>
      <c r="N175" s="17">
        <f t="shared" si="18"/>
        <v>40</v>
      </c>
      <c r="O175" s="17">
        <f t="shared" si="18"/>
        <v>40</v>
      </c>
      <c r="P175" s="17">
        <f t="shared" si="18"/>
        <v>40</v>
      </c>
      <c r="Q175" s="17">
        <f t="shared" si="18"/>
        <v>40</v>
      </c>
      <c r="R175" s="17">
        <f t="shared" si="16"/>
        <v>40</v>
      </c>
    </row>
    <row r="176" spans="1:18" x14ac:dyDescent="0.25">
      <c r="A176" t="s">
        <v>871</v>
      </c>
      <c r="B176" t="s">
        <v>958</v>
      </c>
      <c r="C176">
        <v>1</v>
      </c>
      <c r="D176" s="14" t="s">
        <v>912</v>
      </c>
      <c r="E176">
        <v>2</v>
      </c>
      <c r="F176">
        <v>55</v>
      </c>
      <c r="H176" t="str">
        <f>LEFT(B176,3)&amp;"-T"</f>
        <v>206-T</v>
      </c>
      <c r="I176">
        <f t="shared" si="15"/>
        <v>55</v>
      </c>
      <c r="J176" s="1">
        <f>DATE(MID(D176,5,4),MID(D176,3,2),LEFT(D176,2))</f>
        <v>42462</v>
      </c>
      <c r="K176" s="1">
        <f>J176+E176</f>
        <v>42464</v>
      </c>
      <c r="L176" s="17">
        <f t="shared" si="18"/>
        <v>0</v>
      </c>
      <c r="M176" s="17">
        <f t="shared" si="18"/>
        <v>23.571428571428573</v>
      </c>
      <c r="N176" s="17">
        <f t="shared" si="18"/>
        <v>0</v>
      </c>
      <c r="O176" s="17">
        <f t="shared" si="18"/>
        <v>0</v>
      </c>
      <c r="P176" s="17">
        <f t="shared" si="18"/>
        <v>0</v>
      </c>
      <c r="Q176" s="17">
        <f t="shared" si="18"/>
        <v>0</v>
      </c>
      <c r="R176" s="17">
        <f t="shared" si="16"/>
        <v>0</v>
      </c>
    </row>
    <row r="177" spans="1:18" x14ac:dyDescent="0.25">
      <c r="A177" t="s">
        <v>872</v>
      </c>
      <c r="B177" t="s">
        <v>959</v>
      </c>
      <c r="C177">
        <v>1</v>
      </c>
      <c r="D177" s="14" t="s">
        <v>878</v>
      </c>
      <c r="E177">
        <v>18</v>
      </c>
      <c r="F177">
        <v>18.760000000000002</v>
      </c>
      <c r="H177" t="str">
        <f>LEFT(B177,3)&amp;"-T"</f>
        <v>116-T</v>
      </c>
      <c r="I177">
        <f t="shared" si="15"/>
        <v>18.760000000000002</v>
      </c>
      <c r="J177" s="1">
        <f>DATE(MID(D177,5,4),MID(D177,3,2),LEFT(D177,2))</f>
        <v>42461</v>
      </c>
      <c r="K177" s="1">
        <f>J177+E177</f>
        <v>42479</v>
      </c>
      <c r="L177" s="17">
        <f t="shared" si="18"/>
        <v>2.68</v>
      </c>
      <c r="M177" s="17">
        <f t="shared" si="18"/>
        <v>18.760000000000002</v>
      </c>
      <c r="N177" s="17">
        <f t="shared" si="18"/>
        <v>18.760000000000002</v>
      </c>
      <c r="O177" s="17">
        <f t="shared" si="18"/>
        <v>10.72</v>
      </c>
      <c r="P177" s="17">
        <f t="shared" si="18"/>
        <v>0</v>
      </c>
      <c r="Q177" s="17">
        <f t="shared" si="18"/>
        <v>0</v>
      </c>
      <c r="R177" s="17">
        <f t="shared" si="16"/>
        <v>0</v>
      </c>
    </row>
    <row r="178" spans="1:18" x14ac:dyDescent="0.25">
      <c r="A178" t="s">
        <v>861</v>
      </c>
      <c r="B178" t="s">
        <v>960</v>
      </c>
      <c r="C178">
        <v>1</v>
      </c>
      <c r="D178" s="14" t="s">
        <v>913</v>
      </c>
      <c r="E178">
        <v>4</v>
      </c>
      <c r="F178">
        <v>16.68</v>
      </c>
      <c r="H178" t="str">
        <f>LEFT(B178,3)&amp;"-T"</f>
        <v xml:space="preserve"> 94-T</v>
      </c>
      <c r="I178">
        <f t="shared" si="15"/>
        <v>16.68</v>
      </c>
      <c r="J178" s="1">
        <f>DATE(MID(D178,5,4),MID(D178,3,2),LEFT(D178,2))</f>
        <v>42471</v>
      </c>
      <c r="K178" s="1">
        <f>J178+E178</f>
        <v>42475</v>
      </c>
      <c r="L178" s="17">
        <f t="shared" si="18"/>
        <v>0</v>
      </c>
      <c r="M178" s="17">
        <f t="shared" si="18"/>
        <v>0</v>
      </c>
      <c r="N178" s="17">
        <f t="shared" si="18"/>
        <v>11.914285714285715</v>
      </c>
      <c r="O178" s="17">
        <f t="shared" si="18"/>
        <v>0</v>
      </c>
      <c r="P178" s="17">
        <f t="shared" si="18"/>
        <v>0</v>
      </c>
      <c r="Q178" s="17">
        <f t="shared" si="18"/>
        <v>0</v>
      </c>
      <c r="R178" s="17">
        <f t="shared" si="16"/>
        <v>0</v>
      </c>
    </row>
    <row r="179" spans="1:18" x14ac:dyDescent="0.25">
      <c r="A179" t="s">
        <v>861</v>
      </c>
      <c r="B179" t="s">
        <v>961</v>
      </c>
      <c r="C179">
        <v>1</v>
      </c>
      <c r="D179" s="14" t="s">
        <v>878</v>
      </c>
      <c r="E179">
        <v>61</v>
      </c>
      <c r="F179">
        <v>14.53</v>
      </c>
      <c r="H179" t="str">
        <f>LEFT(B179,3)&amp;"-T"</f>
        <v>208-T</v>
      </c>
      <c r="I179">
        <f t="shared" si="15"/>
        <v>14.53</v>
      </c>
      <c r="J179" s="1">
        <f>DATE(MID(D179,5,4),MID(D179,3,2),LEFT(D179,2))</f>
        <v>42461</v>
      </c>
      <c r="K179" s="1">
        <f>J179+E179</f>
        <v>42522</v>
      </c>
      <c r="L179" s="17">
        <f t="shared" si="18"/>
        <v>2.0757142857142856</v>
      </c>
      <c r="M179" s="17">
        <f t="shared" si="18"/>
        <v>14.53</v>
      </c>
      <c r="N179" s="17">
        <f t="shared" si="18"/>
        <v>14.53</v>
      </c>
      <c r="O179" s="17">
        <f t="shared" si="18"/>
        <v>14.53</v>
      </c>
      <c r="P179" s="17">
        <f t="shared" si="18"/>
        <v>14.53</v>
      </c>
      <c r="Q179" s="17">
        <f t="shared" si="18"/>
        <v>14.53</v>
      </c>
      <c r="R179" s="17">
        <f t="shared" si="16"/>
        <v>14.53</v>
      </c>
    </row>
    <row r="180" spans="1:18" x14ac:dyDescent="0.25">
      <c r="A180" t="s">
        <v>861</v>
      </c>
      <c r="B180" t="s">
        <v>961</v>
      </c>
      <c r="C180">
        <v>3</v>
      </c>
      <c r="D180" s="14" t="s">
        <v>878</v>
      </c>
      <c r="E180">
        <v>61</v>
      </c>
      <c r="F180">
        <v>14.53</v>
      </c>
      <c r="H180" t="str">
        <f>LEFT(B180,3)&amp;"-T"</f>
        <v>208-T</v>
      </c>
      <c r="I180">
        <f t="shared" si="15"/>
        <v>14.53</v>
      </c>
      <c r="J180" s="1">
        <f>DATE(MID(D180,5,4),MID(D180,3,2),LEFT(D180,2))</f>
        <v>42461</v>
      </c>
      <c r="K180" s="1">
        <f>J180+E180</f>
        <v>42522</v>
      </c>
      <c r="L180" s="17">
        <f t="shared" si="18"/>
        <v>2.0757142857142856</v>
      </c>
      <c r="M180" s="17">
        <f t="shared" si="18"/>
        <v>14.53</v>
      </c>
      <c r="N180" s="17">
        <f t="shared" si="18"/>
        <v>14.53</v>
      </c>
      <c r="O180" s="17">
        <f t="shared" si="18"/>
        <v>14.53</v>
      </c>
      <c r="P180" s="17">
        <f t="shared" si="18"/>
        <v>14.53</v>
      </c>
      <c r="Q180" s="17">
        <f t="shared" si="18"/>
        <v>14.53</v>
      </c>
      <c r="R180" s="17">
        <f t="shared" si="16"/>
        <v>14.53</v>
      </c>
    </row>
    <row r="181" spans="1:18" x14ac:dyDescent="0.25">
      <c r="A181" t="s">
        <v>861</v>
      </c>
      <c r="B181" t="s">
        <v>961</v>
      </c>
      <c r="C181">
        <v>4</v>
      </c>
      <c r="D181" s="14" t="s">
        <v>878</v>
      </c>
      <c r="E181">
        <v>61</v>
      </c>
      <c r="F181">
        <v>14.53</v>
      </c>
      <c r="H181" t="str">
        <f>LEFT(B181,3)&amp;"-T"</f>
        <v>208-T</v>
      </c>
      <c r="I181">
        <f t="shared" si="15"/>
        <v>14.53</v>
      </c>
      <c r="J181" s="1">
        <f>DATE(MID(D181,5,4),MID(D181,3,2),LEFT(D181,2))</f>
        <v>42461</v>
      </c>
      <c r="K181" s="1">
        <f>J181+E181</f>
        <v>42522</v>
      </c>
      <c r="L181" s="17">
        <f t="shared" ref="L181:Q181" si="19">-1*IF($K181&lt;L$3,0,IF($J181&gt;L$4,0,-1+MAX($J181,L$3)-MIN($K181,L$4)))*$I181/(L$4-L$3+1)</f>
        <v>2.0757142857142856</v>
      </c>
      <c r="M181" s="17">
        <f t="shared" si="19"/>
        <v>14.53</v>
      </c>
      <c r="N181" s="17">
        <f t="shared" si="19"/>
        <v>14.53</v>
      </c>
      <c r="O181" s="17">
        <f t="shared" si="19"/>
        <v>14.53</v>
      </c>
      <c r="P181" s="17">
        <f t="shared" si="19"/>
        <v>14.53</v>
      </c>
      <c r="Q181" s="17">
        <f t="shared" si="19"/>
        <v>14.53</v>
      </c>
      <c r="R181" s="17">
        <f t="shared" si="16"/>
        <v>14.53</v>
      </c>
    </row>
    <row r="183" spans="1:18" x14ac:dyDescent="0.25">
      <c r="K183" t="s">
        <v>854</v>
      </c>
      <c r="L183" t="s">
        <v>963</v>
      </c>
      <c r="M183" t="s">
        <v>962</v>
      </c>
      <c r="N183" t="s">
        <v>964</v>
      </c>
      <c r="O183" t="s">
        <v>965</v>
      </c>
      <c r="P183" t="s">
        <v>966</v>
      </c>
      <c r="Q183" t="s">
        <v>968</v>
      </c>
      <c r="R183" t="s">
        <v>967</v>
      </c>
    </row>
    <row r="184" spans="1:18" x14ac:dyDescent="0.25">
      <c r="K184" s="15" t="s">
        <v>916</v>
      </c>
      <c r="L184" s="16">
        <f>SUMIF($B$5:$B$181,$K184,L$5:L$181)</f>
        <v>0</v>
      </c>
      <c r="M184" s="16">
        <f>SUMIF($B$5:$B$181,$K184,M$5:M$181)</f>
        <v>0</v>
      </c>
      <c r="N184" s="16">
        <f>SUMIF($B$5:$B$181,$K184,N$5:N$181)</f>
        <v>0</v>
      </c>
      <c r="O184" s="16">
        <f>SUMIF($B$5:$B$181,$K184,O$5:O$181)</f>
        <v>0</v>
      </c>
      <c r="P184" s="16">
        <f>SUMIF($B$5:$B$181,$K184,P$5:P$181)</f>
        <v>0</v>
      </c>
      <c r="Q184" s="16">
        <f>SUMIF($B$5:$B$181,$K184,Q$5:Q$181)</f>
        <v>0</v>
      </c>
      <c r="R184" s="16">
        <f>SUMIF($B$5:$B$181,$K184,R$5:R$181)</f>
        <v>0</v>
      </c>
    </row>
    <row r="185" spans="1:18" x14ac:dyDescent="0.25">
      <c r="K185" s="15" t="s">
        <v>917</v>
      </c>
      <c r="L185" s="16">
        <f>SUMIF($B$5:$B$181,$K185,L$5:L$181)</f>
        <v>0</v>
      </c>
      <c r="M185" s="16">
        <f>SUMIF($B$5:$B$181,$K185,M$5:M$181)</f>
        <v>0</v>
      </c>
      <c r="N185" s="16">
        <f>SUMIF($B$5:$B$181,$K185,N$5:N$181)</f>
        <v>0</v>
      </c>
      <c r="O185" s="16">
        <f>SUMIF($B$5:$B$181,$K185,O$5:O$181)</f>
        <v>0</v>
      </c>
      <c r="P185" s="16">
        <f>SUMIF($B$5:$B$181,$K185,P$5:P$181)</f>
        <v>0</v>
      </c>
      <c r="Q185" s="16">
        <f>SUMIF($B$5:$B$181,$K185,Q$5:Q$181)</f>
        <v>0</v>
      </c>
      <c r="R185" s="16">
        <f>SUMIF($B$5:$B$181,$K185,R$5:R$181)</f>
        <v>0</v>
      </c>
    </row>
    <row r="186" spans="1:18" x14ac:dyDescent="0.25">
      <c r="K186" s="15" t="s">
        <v>918</v>
      </c>
      <c r="L186" s="16">
        <f>SUMIF($B$5:$B$181,$K186,L$5:L$181)</f>
        <v>0</v>
      </c>
      <c r="M186" s="16">
        <f>SUMIF($B$5:$B$181,$K186,M$5:M$181)</f>
        <v>0</v>
      </c>
      <c r="N186" s="16">
        <f>SUMIF($B$5:$B$181,$K186,N$5:N$181)</f>
        <v>0</v>
      </c>
      <c r="O186" s="16">
        <f>SUMIF($B$5:$B$181,$K186,O$5:O$181)</f>
        <v>0</v>
      </c>
      <c r="P186" s="16">
        <f>SUMIF($B$5:$B$181,$K186,P$5:P$181)</f>
        <v>0</v>
      </c>
      <c r="Q186" s="16">
        <f>SUMIF($B$5:$B$181,$K186,Q$5:Q$181)</f>
        <v>0</v>
      </c>
      <c r="R186" s="16">
        <f>SUMIF($B$5:$B$181,$K186,R$5:R$181)</f>
        <v>0</v>
      </c>
    </row>
    <row r="187" spans="1:18" x14ac:dyDescent="0.25">
      <c r="K187" s="15" t="s">
        <v>919</v>
      </c>
      <c r="L187" s="16">
        <f>SUMIF($B$5:$B$181,$K187,L$5:L$181)</f>
        <v>0</v>
      </c>
      <c r="M187" s="16">
        <f>SUMIF($B$5:$B$181,$K187,M$5:M$181)</f>
        <v>0</v>
      </c>
      <c r="N187" s="16">
        <f>SUMIF($B$5:$B$181,$K187,N$5:N$181)</f>
        <v>72.8</v>
      </c>
      <c r="O187" s="16">
        <f>SUMIF($B$5:$B$181,$K187,O$5:O$181)</f>
        <v>0</v>
      </c>
      <c r="P187" s="16">
        <f>SUMIF($B$5:$B$181,$K187,P$5:P$181)</f>
        <v>0</v>
      </c>
      <c r="Q187" s="16">
        <f>SUMIF($B$5:$B$181,$K187,Q$5:Q$181)</f>
        <v>0</v>
      </c>
      <c r="R187" s="16">
        <f>SUMIF($B$5:$B$181,$K187,R$5:R$181)</f>
        <v>0</v>
      </c>
    </row>
    <row r="188" spans="1:18" x14ac:dyDescent="0.25">
      <c r="K188" s="15" t="s">
        <v>920</v>
      </c>
      <c r="L188" s="16">
        <f>SUMIF($B$5:$B$181,$K188,L$5:L$181)</f>
        <v>45.807142857142857</v>
      </c>
      <c r="M188" s="16">
        <f>SUMIF($B$5:$B$181,$K188,M$5:M$181)</f>
        <v>320.64999999999998</v>
      </c>
      <c r="N188" s="16">
        <f>SUMIF($B$5:$B$181,$K188,N$5:N$181)</f>
        <v>320.64999999999998</v>
      </c>
      <c r="O188" s="16">
        <f>SUMIF($B$5:$B$181,$K188,O$5:O$181)</f>
        <v>0</v>
      </c>
      <c r="P188" s="16">
        <f>SUMIF($B$5:$B$181,$K188,P$5:P$181)</f>
        <v>0</v>
      </c>
      <c r="Q188" s="16">
        <f>SUMIF($B$5:$B$181,$K188,Q$5:Q$181)</f>
        <v>0</v>
      </c>
      <c r="R188" s="16">
        <f>SUMIF($B$5:$B$181,$K188,R$5:R$181)</f>
        <v>0</v>
      </c>
    </row>
    <row r="189" spans="1:18" x14ac:dyDescent="0.25">
      <c r="K189" s="15" t="s">
        <v>921</v>
      </c>
      <c r="L189" s="16">
        <f>SUMIF($B$5:$B$181,$K189,L$5:L$181)</f>
        <v>13.264285714285714</v>
      </c>
      <c r="M189" s="16">
        <f>SUMIF($B$5:$B$181,$K189,M$5:M$181)</f>
        <v>92.85</v>
      </c>
      <c r="N189" s="16">
        <f>SUMIF($B$5:$B$181,$K189,N$5:N$181)</f>
        <v>92.85</v>
      </c>
      <c r="O189" s="16">
        <f>SUMIF($B$5:$B$181,$K189,O$5:O$181)</f>
        <v>66.321428571428569</v>
      </c>
      <c r="P189" s="16">
        <f>SUMIF($B$5:$B$181,$K189,P$5:P$181)</f>
        <v>0</v>
      </c>
      <c r="Q189" s="16">
        <f>SUMIF($B$5:$B$181,$K189,Q$5:Q$181)</f>
        <v>0</v>
      </c>
      <c r="R189" s="16">
        <f>SUMIF($B$5:$B$181,$K189,R$5:R$181)</f>
        <v>0</v>
      </c>
    </row>
    <row r="190" spans="1:18" x14ac:dyDescent="0.25">
      <c r="K190" s="15" t="s">
        <v>922</v>
      </c>
      <c r="L190" s="16">
        <f>SUMIF($B$5:$B$181,$K190,L$5:L$181)</f>
        <v>0</v>
      </c>
      <c r="M190" s="16">
        <f>SUMIF($B$5:$B$181,$K190,M$5:M$181)</f>
        <v>0</v>
      </c>
      <c r="N190" s="16">
        <f>SUMIF($B$5:$B$181,$K190,N$5:N$181)</f>
        <v>0</v>
      </c>
      <c r="O190" s="16">
        <f>SUMIF($B$5:$B$181,$K190,O$5:O$181)</f>
        <v>0</v>
      </c>
      <c r="P190" s="16">
        <f>SUMIF($B$5:$B$181,$K190,P$5:P$181)</f>
        <v>0</v>
      </c>
      <c r="Q190" s="16">
        <f>SUMIF($B$5:$B$181,$K190,Q$5:Q$181)</f>
        <v>0</v>
      </c>
      <c r="R190" s="16">
        <f>SUMIF($B$5:$B$181,$K190,R$5:R$181)</f>
        <v>0</v>
      </c>
    </row>
    <row r="191" spans="1:18" x14ac:dyDescent="0.25">
      <c r="K191" s="15" t="s">
        <v>923</v>
      </c>
      <c r="L191" s="16">
        <f>SUMIF($B$5:$B$181,$K191,L$5:L$181)</f>
        <v>12.605714285714285</v>
      </c>
      <c r="M191" s="16">
        <f>SUMIF($B$5:$B$181,$K191,M$5:M$181)</f>
        <v>37.817142857142855</v>
      </c>
      <c r="N191" s="16">
        <f>SUMIF($B$5:$B$181,$K191,N$5:N$181)</f>
        <v>0</v>
      </c>
      <c r="O191" s="16">
        <f>SUMIF($B$5:$B$181,$K191,O$5:O$181)</f>
        <v>0</v>
      </c>
      <c r="P191" s="16">
        <f>SUMIF($B$5:$B$181,$K191,P$5:P$181)</f>
        <v>0</v>
      </c>
      <c r="Q191" s="16">
        <f>SUMIF($B$5:$B$181,$K191,Q$5:Q$181)</f>
        <v>0</v>
      </c>
      <c r="R191" s="16">
        <f>SUMIF($B$5:$B$181,$K191,R$5:R$181)</f>
        <v>0</v>
      </c>
    </row>
    <row r="192" spans="1:18" x14ac:dyDescent="0.25">
      <c r="K192" s="15" t="s">
        <v>924</v>
      </c>
      <c r="L192" s="16">
        <f>SUMIF($B$5:$B$181,$K192,L$5:L$181)</f>
        <v>0</v>
      </c>
      <c r="M192" s="16">
        <f>SUMIF($B$5:$B$181,$K192,M$5:M$181)</f>
        <v>0</v>
      </c>
      <c r="N192" s="16">
        <f>SUMIF($B$5:$B$181,$K192,N$5:N$181)</f>
        <v>0</v>
      </c>
      <c r="O192" s="16">
        <f>SUMIF($B$5:$B$181,$K192,O$5:O$181)</f>
        <v>0</v>
      </c>
      <c r="P192" s="16">
        <f>SUMIF($B$5:$B$181,$K192,P$5:P$181)</f>
        <v>0</v>
      </c>
      <c r="Q192" s="16">
        <f>SUMIF($B$5:$B$181,$K192,Q$5:Q$181)</f>
        <v>0</v>
      </c>
      <c r="R192" s="16">
        <f>SUMIF($B$5:$B$181,$K192,R$5:R$181)</f>
        <v>69.290322580645167</v>
      </c>
    </row>
    <row r="193" spans="11:18" x14ac:dyDescent="0.25">
      <c r="K193" s="15" t="s">
        <v>925</v>
      </c>
      <c r="L193" s="16">
        <f>SUMIF($B$5:$B$181,$K193,L$5:L$181)</f>
        <v>0</v>
      </c>
      <c r="M193" s="16">
        <f>SUMIF($B$5:$B$181,$K193,M$5:M$181)</f>
        <v>0</v>
      </c>
      <c r="N193" s="16">
        <f>SUMIF($B$5:$B$181,$K193,N$5:N$181)</f>
        <v>0</v>
      </c>
      <c r="O193" s="16">
        <f>SUMIF($B$5:$B$181,$K193,O$5:O$181)</f>
        <v>0</v>
      </c>
      <c r="P193" s="16">
        <f>SUMIF($B$5:$B$181,$K193,P$5:P$181)</f>
        <v>0</v>
      </c>
      <c r="Q193" s="16">
        <f>SUMIF($B$5:$B$181,$K193,Q$5:Q$181)</f>
        <v>0</v>
      </c>
      <c r="R193" s="16">
        <f>SUMIF($B$5:$B$181,$K193,R$5:R$181)</f>
        <v>0</v>
      </c>
    </row>
    <row r="194" spans="11:18" x14ac:dyDescent="0.25">
      <c r="K194" s="15" t="s">
        <v>926</v>
      </c>
      <c r="L194" s="16">
        <f>SUMIF($B$5:$B$181,$K194,L$5:L$181)</f>
        <v>105.69714285714285</v>
      </c>
      <c r="M194" s="16">
        <f>SUMIF($B$5:$B$181,$K194,M$5:M$181)</f>
        <v>528.48571428571427</v>
      </c>
      <c r="N194" s="16">
        <f>SUMIF($B$5:$B$181,$K194,N$5:N$181)</f>
        <v>0</v>
      </c>
      <c r="O194" s="16">
        <f>SUMIF($B$5:$B$181,$K194,O$5:O$181)</f>
        <v>0</v>
      </c>
      <c r="P194" s="16">
        <f>SUMIF($B$5:$B$181,$K194,P$5:P$181)</f>
        <v>0</v>
      </c>
      <c r="Q194" s="16">
        <f>SUMIF($B$5:$B$181,$K194,Q$5:Q$181)</f>
        <v>0</v>
      </c>
      <c r="R194" s="16">
        <f>SUMIF($B$5:$B$181,$K194,R$5:R$181)</f>
        <v>238.6709677419355</v>
      </c>
    </row>
    <row r="195" spans="11:18" x14ac:dyDescent="0.25">
      <c r="K195" s="15" t="s">
        <v>927</v>
      </c>
      <c r="L195" s="16">
        <f>SUMIF($B$5:$B$181,$K195,L$5:L$181)</f>
        <v>7.2285714285714286</v>
      </c>
      <c r="M195" s="16">
        <f>SUMIF($B$5:$B$181,$K195,M$5:M$181)</f>
        <v>36.142857142857146</v>
      </c>
      <c r="N195" s="16">
        <f>SUMIF($B$5:$B$181,$K195,N$5:N$181)</f>
        <v>0</v>
      </c>
      <c r="O195" s="16">
        <f>SUMIF($B$5:$B$181,$K195,O$5:O$181)</f>
        <v>0</v>
      </c>
      <c r="P195" s="16">
        <f>SUMIF($B$5:$B$181,$K195,P$5:P$181)</f>
        <v>0</v>
      </c>
      <c r="Q195" s="16">
        <f>SUMIF($B$5:$B$181,$K195,Q$5:Q$181)</f>
        <v>0</v>
      </c>
      <c r="R195" s="16">
        <f>SUMIF($B$5:$B$181,$K195,R$5:R$181)</f>
        <v>0</v>
      </c>
    </row>
    <row r="196" spans="11:18" x14ac:dyDescent="0.25">
      <c r="K196" s="15" t="s">
        <v>928</v>
      </c>
      <c r="L196" s="16">
        <f>SUMIF($B$5:$B$181,$K196,L$5:L$181)</f>
        <v>0</v>
      </c>
      <c r="M196" s="16">
        <f>SUMIF($B$5:$B$181,$K196,M$5:M$181)</f>
        <v>0</v>
      </c>
      <c r="N196" s="16">
        <f>SUMIF($B$5:$B$181,$K196,N$5:N$181)</f>
        <v>0</v>
      </c>
      <c r="O196" s="16">
        <f>SUMIF($B$5:$B$181,$K196,O$5:O$181)</f>
        <v>0</v>
      </c>
      <c r="P196" s="16">
        <f>SUMIF($B$5:$B$181,$K196,P$5:P$181)</f>
        <v>0</v>
      </c>
      <c r="Q196" s="16">
        <f>SUMIF($B$5:$B$181,$K196,Q$5:Q$181)</f>
        <v>0</v>
      </c>
      <c r="R196" s="16">
        <f>SUMIF($B$5:$B$181,$K196,R$5:R$181)</f>
        <v>0</v>
      </c>
    </row>
    <row r="197" spans="11:18" x14ac:dyDescent="0.25">
      <c r="K197" s="15" t="s">
        <v>929</v>
      </c>
      <c r="L197" s="16">
        <f>SUMIF($B$5:$B$181,$K197,L$5:L$181)</f>
        <v>0</v>
      </c>
      <c r="M197" s="16">
        <f>SUMIF($B$5:$B$181,$K197,M$5:M$181)</f>
        <v>0</v>
      </c>
      <c r="N197" s="16">
        <f>SUMIF($B$5:$B$181,$K197,N$5:N$181)</f>
        <v>0</v>
      </c>
      <c r="O197" s="16">
        <f>SUMIF($B$5:$B$181,$K197,O$5:O$181)</f>
        <v>0</v>
      </c>
      <c r="P197" s="16">
        <f>SUMIF($B$5:$B$181,$K197,P$5:P$181)</f>
        <v>0</v>
      </c>
      <c r="Q197" s="16">
        <f>SUMIF($B$5:$B$181,$K197,Q$5:Q$181)</f>
        <v>0</v>
      </c>
      <c r="R197" s="16">
        <f>SUMIF($B$5:$B$181,$K197,R$5:R$181)</f>
        <v>0</v>
      </c>
    </row>
    <row r="198" spans="11:18" x14ac:dyDescent="0.25">
      <c r="K198" s="15" t="s">
        <v>930</v>
      </c>
      <c r="L198" s="16">
        <f>SUMIF($B$5:$B$181,$K198,L$5:L$181)</f>
        <v>0</v>
      </c>
      <c r="M198" s="16">
        <f>SUMIF($B$5:$B$181,$K198,M$5:M$181)</f>
        <v>0</v>
      </c>
      <c r="N198" s="16">
        <f>SUMIF($B$5:$B$181,$K198,N$5:N$181)</f>
        <v>0</v>
      </c>
      <c r="O198" s="16">
        <f>SUMIF($B$5:$B$181,$K198,O$5:O$181)</f>
        <v>0</v>
      </c>
      <c r="P198" s="16">
        <f>SUMIF($B$5:$B$181,$K198,P$5:P$181)</f>
        <v>0</v>
      </c>
      <c r="Q198" s="16">
        <f>SUMIF($B$5:$B$181,$K198,Q$5:Q$181)</f>
        <v>0</v>
      </c>
      <c r="R198" s="16">
        <f>SUMIF($B$5:$B$181,$K198,R$5:R$181)</f>
        <v>17.419354838709676</v>
      </c>
    </row>
    <row r="199" spans="11:18" x14ac:dyDescent="0.25">
      <c r="K199" s="15" t="s">
        <v>931</v>
      </c>
      <c r="L199" s="16">
        <f>SUMIF($B$5:$B$181,$K199,L$5:L$181)</f>
        <v>0</v>
      </c>
      <c r="M199" s="16">
        <f>SUMIF($B$5:$B$181,$K199,M$5:M$181)</f>
        <v>0</v>
      </c>
      <c r="N199" s="16">
        <f>SUMIF($B$5:$B$181,$K199,N$5:N$181)</f>
        <v>0</v>
      </c>
      <c r="O199" s="16">
        <f>SUMIF($B$5:$B$181,$K199,O$5:O$181)</f>
        <v>0</v>
      </c>
      <c r="P199" s="16">
        <f>SUMIF($B$5:$B$181,$K199,P$5:P$181)</f>
        <v>0</v>
      </c>
      <c r="Q199" s="16">
        <f>SUMIF($B$5:$B$181,$K199,Q$5:Q$181)</f>
        <v>0</v>
      </c>
      <c r="R199" s="16">
        <f>SUMIF($B$5:$B$181,$K199,R$5:R$181)</f>
        <v>0</v>
      </c>
    </row>
    <row r="200" spans="11:18" x14ac:dyDescent="0.25">
      <c r="K200" s="15" t="s">
        <v>932</v>
      </c>
      <c r="L200" s="16">
        <f>SUMIF($B$5:$B$181,$K200,L$5:L$181)</f>
        <v>7.1428571428571432</v>
      </c>
      <c r="M200" s="16">
        <f>SUMIF($B$5:$B$181,$K200,M$5:M$181)</f>
        <v>92.857142857142861</v>
      </c>
      <c r="N200" s="16">
        <f>SUMIF($B$5:$B$181,$K200,N$5:N$181)</f>
        <v>57.142857142857146</v>
      </c>
      <c r="O200" s="16">
        <f>SUMIF($B$5:$B$181,$K200,O$5:O$181)</f>
        <v>50</v>
      </c>
      <c r="P200" s="16">
        <f>SUMIF($B$5:$B$181,$K200,P$5:P$181)</f>
        <v>50</v>
      </c>
      <c r="Q200" s="16">
        <f>SUMIF($B$5:$B$181,$K200,Q$5:Q$181)</f>
        <v>50</v>
      </c>
      <c r="R200" s="16">
        <f>SUMIF($B$5:$B$181,$K200,R$5:R$181)</f>
        <v>50</v>
      </c>
    </row>
    <row r="201" spans="11:18" x14ac:dyDescent="0.25">
      <c r="K201" s="15" t="s">
        <v>933</v>
      </c>
      <c r="L201" s="16">
        <f>SUMIF($B$5:$B$181,$K201,L$5:L$181)</f>
        <v>0</v>
      </c>
      <c r="M201" s="16">
        <f>SUMIF($B$5:$B$181,$K201,M$5:M$181)</f>
        <v>113.14285714285714</v>
      </c>
      <c r="N201" s="16">
        <f>SUMIF($B$5:$B$181,$K201,N$5:N$181)</f>
        <v>18.857142857142858</v>
      </c>
      <c r="O201" s="16">
        <f>SUMIF($B$5:$B$181,$K201,O$5:O$181)</f>
        <v>0</v>
      </c>
      <c r="P201" s="16">
        <f>SUMIF($B$5:$B$181,$K201,P$5:P$181)</f>
        <v>0</v>
      </c>
      <c r="Q201" s="16">
        <f>SUMIF($B$5:$B$181,$K201,Q$5:Q$181)</f>
        <v>0</v>
      </c>
      <c r="R201" s="16">
        <f>SUMIF($B$5:$B$181,$K201,R$5:R$181)</f>
        <v>0</v>
      </c>
    </row>
    <row r="202" spans="11:18" x14ac:dyDescent="0.25">
      <c r="K202" s="15" t="s">
        <v>934</v>
      </c>
      <c r="L202" s="16">
        <f>SUMIF($B$5:$B$181,$K202,L$5:L$181)</f>
        <v>18.714285714285715</v>
      </c>
      <c r="M202" s="16">
        <f>SUMIF($B$5:$B$181,$K202,M$5:M$181)</f>
        <v>131</v>
      </c>
      <c r="N202" s="16">
        <f>SUMIF($B$5:$B$181,$K202,N$5:N$181)</f>
        <v>56.142857142857146</v>
      </c>
      <c r="O202" s="16">
        <f>SUMIF($B$5:$B$181,$K202,O$5:O$181)</f>
        <v>0</v>
      </c>
      <c r="P202" s="16">
        <f>SUMIF($B$5:$B$181,$K202,P$5:P$181)</f>
        <v>0</v>
      </c>
      <c r="Q202" s="16">
        <f>SUMIF($B$5:$B$181,$K202,Q$5:Q$181)</f>
        <v>0</v>
      </c>
      <c r="R202" s="16">
        <f>SUMIF($B$5:$B$181,$K202,R$5:R$181)</f>
        <v>92.967741935483872</v>
      </c>
    </row>
    <row r="203" spans="11:18" x14ac:dyDescent="0.25">
      <c r="K203" s="15" t="s">
        <v>935</v>
      </c>
      <c r="L203" s="16">
        <f>SUMIF($B$5:$B$181,$K203,L$5:L$181)</f>
        <v>0</v>
      </c>
      <c r="M203" s="16">
        <f>SUMIF($B$5:$B$181,$K203,M$5:M$181)</f>
        <v>0</v>
      </c>
      <c r="N203" s="16">
        <f>SUMIF($B$5:$B$181,$K203,N$5:N$181)</f>
        <v>0</v>
      </c>
      <c r="O203" s="16">
        <f>SUMIF($B$5:$B$181,$K203,O$5:O$181)</f>
        <v>0</v>
      </c>
      <c r="P203" s="16">
        <f>SUMIF($B$5:$B$181,$K203,P$5:P$181)</f>
        <v>0</v>
      </c>
      <c r="Q203" s="16">
        <f>SUMIF($B$5:$B$181,$K203,Q$5:Q$181)</f>
        <v>0</v>
      </c>
      <c r="R203" s="16">
        <f>SUMIF($B$5:$B$181,$K203,R$5:R$181)</f>
        <v>0</v>
      </c>
    </row>
    <row r="204" spans="11:18" x14ac:dyDescent="0.25">
      <c r="K204" s="15" t="s">
        <v>936</v>
      </c>
      <c r="L204" s="16">
        <f>SUMIF($B$5:$B$181,$K204,L$5:L$181)</f>
        <v>1.8742857142857139</v>
      </c>
      <c r="M204" s="16">
        <f>SUMIF($B$5:$B$181,$K204,M$5:M$181)</f>
        <v>13.120000000000001</v>
      </c>
      <c r="N204" s="16">
        <f>SUMIF($B$5:$B$181,$K204,N$5:N$181)</f>
        <v>13.120000000000001</v>
      </c>
      <c r="O204" s="16">
        <f>SUMIF($B$5:$B$181,$K204,O$5:O$181)</f>
        <v>13.120000000000001</v>
      </c>
      <c r="P204" s="16">
        <f>SUMIF($B$5:$B$181,$K204,P$5:P$181)</f>
        <v>13.120000000000001</v>
      </c>
      <c r="Q204" s="16">
        <f>SUMIF($B$5:$B$181,$K204,Q$5:Q$181)</f>
        <v>13.120000000000001</v>
      </c>
      <c r="R204" s="16">
        <f>SUMIF($B$5:$B$181,$K204,R$5:R$181)</f>
        <v>13.120000000000001</v>
      </c>
    </row>
    <row r="205" spans="11:18" x14ac:dyDescent="0.25">
      <c r="K205" s="15" t="s">
        <v>937</v>
      </c>
      <c r="L205" s="16">
        <f>SUMIF($B$5:$B$181,$K205,L$5:L$181)</f>
        <v>1.6399999999999997</v>
      </c>
      <c r="M205" s="16">
        <f>SUMIF($B$5:$B$181,$K205,M$5:M$181)</f>
        <v>11.48</v>
      </c>
      <c r="N205" s="16">
        <f>SUMIF($B$5:$B$181,$K205,N$5:N$181)</f>
        <v>11.48</v>
      </c>
      <c r="O205" s="16">
        <f>SUMIF($B$5:$B$181,$K205,O$5:O$181)</f>
        <v>11.48</v>
      </c>
      <c r="P205" s="16">
        <f>SUMIF($B$5:$B$181,$K205,P$5:P$181)</f>
        <v>11.48</v>
      </c>
      <c r="Q205" s="16">
        <f>SUMIF($B$5:$B$181,$K205,Q$5:Q$181)</f>
        <v>11.48</v>
      </c>
      <c r="R205" s="16">
        <f>SUMIF($B$5:$B$181,$K205,R$5:R$181)</f>
        <v>11.48</v>
      </c>
    </row>
    <row r="206" spans="11:18" x14ac:dyDescent="0.25">
      <c r="K206" s="15" t="s">
        <v>938</v>
      </c>
      <c r="L206" s="16">
        <f>SUMIF($B$5:$B$181,$K206,L$5:L$181)</f>
        <v>1.6399999999999997</v>
      </c>
      <c r="M206" s="16">
        <f>SUMIF($B$5:$B$181,$K206,M$5:M$181)</f>
        <v>11.48</v>
      </c>
      <c r="N206" s="16">
        <f>SUMIF($B$5:$B$181,$K206,N$5:N$181)</f>
        <v>11.48</v>
      </c>
      <c r="O206" s="16">
        <f>SUMIF($B$5:$B$181,$K206,O$5:O$181)</f>
        <v>11.48</v>
      </c>
      <c r="P206" s="16">
        <f>SUMIF($B$5:$B$181,$K206,P$5:P$181)</f>
        <v>11.48</v>
      </c>
      <c r="Q206" s="16">
        <f>SUMIF($B$5:$B$181,$K206,Q$5:Q$181)</f>
        <v>11.48</v>
      </c>
      <c r="R206" s="16">
        <f>SUMIF($B$5:$B$181,$K206,R$5:R$181)</f>
        <v>11.48</v>
      </c>
    </row>
    <row r="207" spans="11:18" x14ac:dyDescent="0.25">
      <c r="K207" s="15" t="s">
        <v>939</v>
      </c>
      <c r="L207" s="16">
        <f>SUMIF($B$5:$B$181,$K207,L$5:L$181)</f>
        <v>1.8742857142857139</v>
      </c>
      <c r="M207" s="16">
        <f>SUMIF($B$5:$B$181,$K207,M$5:M$181)</f>
        <v>13.120000000000001</v>
      </c>
      <c r="N207" s="16">
        <f>SUMIF($B$5:$B$181,$K207,N$5:N$181)</f>
        <v>13.120000000000001</v>
      </c>
      <c r="O207" s="16">
        <f>SUMIF($B$5:$B$181,$K207,O$5:O$181)</f>
        <v>13.120000000000001</v>
      </c>
      <c r="P207" s="16">
        <f>SUMIF($B$5:$B$181,$K207,P$5:P$181)</f>
        <v>13.120000000000001</v>
      </c>
      <c r="Q207" s="16">
        <f>SUMIF($B$5:$B$181,$K207,Q$5:Q$181)</f>
        <v>13.120000000000001</v>
      </c>
      <c r="R207" s="16">
        <f>SUMIF($B$5:$B$181,$K207,R$5:R$181)</f>
        <v>13.120000000000001</v>
      </c>
    </row>
    <row r="208" spans="11:18" x14ac:dyDescent="0.25">
      <c r="K208" s="15" t="s">
        <v>940</v>
      </c>
      <c r="L208" s="16">
        <f>SUMIF($B$5:$B$181,$K208,L$5:L$181)</f>
        <v>2.1085714285714281</v>
      </c>
      <c r="M208" s="16">
        <f>SUMIF($B$5:$B$181,$K208,M$5:M$181)</f>
        <v>14.760000000000002</v>
      </c>
      <c r="N208" s="16">
        <f>SUMIF($B$5:$B$181,$K208,N$5:N$181)</f>
        <v>14.760000000000002</v>
      </c>
      <c r="O208" s="16">
        <f>SUMIF($B$5:$B$181,$K208,O$5:O$181)</f>
        <v>14.760000000000002</v>
      </c>
      <c r="P208" s="16">
        <f>SUMIF($B$5:$B$181,$K208,P$5:P$181)</f>
        <v>14.760000000000002</v>
      </c>
      <c r="Q208" s="16">
        <f>SUMIF($B$5:$B$181,$K208,Q$5:Q$181)</f>
        <v>14.760000000000002</v>
      </c>
      <c r="R208" s="16">
        <f>SUMIF($B$5:$B$181,$K208,R$5:R$181)</f>
        <v>14.760000000000002</v>
      </c>
    </row>
    <row r="209" spans="11:18" x14ac:dyDescent="0.25">
      <c r="K209" s="15" t="s">
        <v>941</v>
      </c>
      <c r="L209" s="16">
        <f>SUMIF($B$5:$B$181,$K209,L$5:L$181)</f>
        <v>1.8742857142857139</v>
      </c>
      <c r="M209" s="16">
        <f>SUMIF($B$5:$B$181,$K209,M$5:M$181)</f>
        <v>13.120000000000001</v>
      </c>
      <c r="N209" s="16">
        <f>SUMIF($B$5:$B$181,$K209,N$5:N$181)</f>
        <v>13.120000000000001</v>
      </c>
      <c r="O209" s="16">
        <f>SUMIF($B$5:$B$181,$K209,O$5:O$181)</f>
        <v>13.120000000000001</v>
      </c>
      <c r="P209" s="16">
        <f>SUMIF($B$5:$B$181,$K209,P$5:P$181)</f>
        <v>13.120000000000001</v>
      </c>
      <c r="Q209" s="16">
        <f>SUMIF($B$5:$B$181,$K209,Q$5:Q$181)</f>
        <v>13.120000000000001</v>
      </c>
      <c r="R209" s="16">
        <f>SUMIF($B$5:$B$181,$K209,R$5:R$181)</f>
        <v>13.120000000000001</v>
      </c>
    </row>
    <row r="210" spans="11:18" x14ac:dyDescent="0.25">
      <c r="K210" s="15" t="s">
        <v>942</v>
      </c>
      <c r="L210" s="16">
        <f>SUMIF($B$5:$B$181,$K210,L$5:L$181)</f>
        <v>2.1085714285714281</v>
      </c>
      <c r="M210" s="16">
        <f>SUMIF($B$5:$B$181,$K210,M$5:M$181)</f>
        <v>14.760000000000002</v>
      </c>
      <c r="N210" s="16">
        <f>SUMIF($B$5:$B$181,$K210,N$5:N$181)</f>
        <v>14.760000000000002</v>
      </c>
      <c r="O210" s="16">
        <f>SUMIF($B$5:$B$181,$K210,O$5:O$181)</f>
        <v>14.760000000000002</v>
      </c>
      <c r="P210" s="16">
        <f>SUMIF($B$5:$B$181,$K210,P$5:P$181)</f>
        <v>14.760000000000002</v>
      </c>
      <c r="Q210" s="16">
        <f>SUMIF($B$5:$B$181,$K210,Q$5:Q$181)</f>
        <v>14.760000000000002</v>
      </c>
      <c r="R210" s="16">
        <f>SUMIF($B$5:$B$181,$K210,R$5:R$181)</f>
        <v>14.760000000000002</v>
      </c>
    </row>
    <row r="211" spans="11:18" x14ac:dyDescent="0.25">
      <c r="K211" s="15" t="s">
        <v>943</v>
      </c>
      <c r="L211" s="16">
        <f>SUMIF($B$5:$B$181,$K211,L$5:L$181)</f>
        <v>4.258571428571428</v>
      </c>
      <c r="M211" s="16">
        <f>SUMIF($B$5:$B$181,$K211,M$5:M$181)</f>
        <v>29.81</v>
      </c>
      <c r="N211" s="16">
        <f>SUMIF($B$5:$B$181,$K211,N$5:N$181)</f>
        <v>29.81</v>
      </c>
      <c r="O211" s="16">
        <f>SUMIF($B$5:$B$181,$K211,O$5:O$181)</f>
        <v>29.81</v>
      </c>
      <c r="P211" s="16">
        <f>SUMIF($B$5:$B$181,$K211,P$5:P$181)</f>
        <v>29.81</v>
      </c>
      <c r="Q211" s="16">
        <f>SUMIF($B$5:$B$181,$K211,Q$5:Q$181)</f>
        <v>0</v>
      </c>
      <c r="R211" s="16">
        <f>SUMIF($B$5:$B$181,$K211,R$5:R$181)</f>
        <v>0</v>
      </c>
    </row>
    <row r="212" spans="11:18" x14ac:dyDescent="0.25">
      <c r="K212" s="15" t="s">
        <v>944</v>
      </c>
      <c r="L212" s="16">
        <f>SUMIF($B$5:$B$181,$K212,L$5:L$181)</f>
        <v>0</v>
      </c>
      <c r="M212" s="16">
        <f>SUMIF($B$5:$B$181,$K212,M$5:M$181)</f>
        <v>0</v>
      </c>
      <c r="N212" s="16">
        <f>SUMIF($B$5:$B$181,$K212,N$5:N$181)</f>
        <v>0</v>
      </c>
      <c r="O212" s="16">
        <f>SUMIF($B$5:$B$181,$K212,O$5:O$181)</f>
        <v>0</v>
      </c>
      <c r="P212" s="16">
        <f>SUMIF($B$5:$B$181,$K212,P$5:P$181)</f>
        <v>0</v>
      </c>
      <c r="Q212" s="16">
        <f>SUMIF($B$5:$B$181,$K212,Q$5:Q$181)</f>
        <v>0</v>
      </c>
      <c r="R212" s="16">
        <f>SUMIF($B$5:$B$181,$K212,R$5:R$181)</f>
        <v>0</v>
      </c>
    </row>
    <row r="213" spans="11:18" x14ac:dyDescent="0.25">
      <c r="K213" s="15" t="s">
        <v>945</v>
      </c>
      <c r="L213" s="16">
        <f>SUMIF($B$5:$B$181,$K213,L$5:L$181)</f>
        <v>0</v>
      </c>
      <c r="M213" s="16">
        <f>SUMIF($B$5:$B$181,$K213,M$5:M$181)</f>
        <v>0</v>
      </c>
      <c r="N213" s="16">
        <f>SUMIF($B$5:$B$181,$K213,N$5:N$181)</f>
        <v>0</v>
      </c>
      <c r="O213" s="16">
        <f>SUMIF($B$5:$B$181,$K213,O$5:O$181)</f>
        <v>0</v>
      </c>
      <c r="P213" s="16">
        <f>SUMIF($B$5:$B$181,$K213,P$5:P$181)</f>
        <v>0</v>
      </c>
      <c r="Q213" s="16">
        <f>SUMIF($B$5:$B$181,$K213,Q$5:Q$181)</f>
        <v>0</v>
      </c>
      <c r="R213" s="16">
        <f>SUMIF($B$5:$B$181,$K213,R$5:R$181)</f>
        <v>0</v>
      </c>
    </row>
    <row r="214" spans="11:18" x14ac:dyDescent="0.25">
      <c r="K214" s="15" t="s">
        <v>946</v>
      </c>
      <c r="L214" s="16">
        <f>SUMIF($B$5:$B$181,$K214,L$5:L$181)</f>
        <v>0</v>
      </c>
      <c r="M214" s="16">
        <f>SUMIF($B$5:$B$181,$K214,M$5:M$181)</f>
        <v>0</v>
      </c>
      <c r="N214" s="16">
        <f>SUMIF($B$5:$B$181,$K214,N$5:N$181)</f>
        <v>0</v>
      </c>
      <c r="O214" s="16">
        <f>SUMIF($B$5:$B$181,$K214,O$5:O$181)</f>
        <v>0</v>
      </c>
      <c r="P214" s="16">
        <f>SUMIF($B$5:$B$181,$K214,P$5:P$181)</f>
        <v>0</v>
      </c>
      <c r="Q214" s="16">
        <f>SUMIF($B$5:$B$181,$K214,Q$5:Q$181)</f>
        <v>0</v>
      </c>
      <c r="R214" s="16">
        <f>SUMIF($B$5:$B$181,$K214,R$5:R$181)</f>
        <v>0</v>
      </c>
    </row>
    <row r="215" spans="11:18" x14ac:dyDescent="0.25">
      <c r="K215" s="15" t="s">
        <v>947</v>
      </c>
      <c r="L215" s="16">
        <f>SUMIF($B$5:$B$181,$K215,L$5:L$181)</f>
        <v>2.1085714285714281</v>
      </c>
      <c r="M215" s="16">
        <f>SUMIF($B$5:$B$181,$K215,M$5:M$181)</f>
        <v>14.760000000000002</v>
      </c>
      <c r="N215" s="16">
        <f>SUMIF($B$5:$B$181,$K215,N$5:N$181)</f>
        <v>14.760000000000002</v>
      </c>
      <c r="O215" s="16">
        <f>SUMIF($B$5:$B$181,$K215,O$5:O$181)</f>
        <v>14.760000000000002</v>
      </c>
      <c r="P215" s="16">
        <f>SUMIF($B$5:$B$181,$K215,P$5:P$181)</f>
        <v>14.760000000000002</v>
      </c>
      <c r="Q215" s="16">
        <f>SUMIF($B$5:$B$181,$K215,Q$5:Q$181)</f>
        <v>14.760000000000002</v>
      </c>
      <c r="R215" s="16">
        <f>SUMIF($B$5:$B$181,$K215,R$5:R$181)</f>
        <v>14.760000000000002</v>
      </c>
    </row>
    <row r="216" spans="11:18" x14ac:dyDescent="0.25">
      <c r="K216" s="15" t="s">
        <v>948</v>
      </c>
      <c r="L216" s="16">
        <f>SUMIF($B$5:$B$181,$K216,L$5:L$181)</f>
        <v>2.1085714285714281</v>
      </c>
      <c r="M216" s="16">
        <f>SUMIF($B$5:$B$181,$K216,M$5:M$181)</f>
        <v>14.760000000000002</v>
      </c>
      <c r="N216" s="16">
        <f>SUMIF($B$5:$B$181,$K216,N$5:N$181)</f>
        <v>14.760000000000002</v>
      </c>
      <c r="O216" s="16">
        <f>SUMIF($B$5:$B$181,$K216,O$5:O$181)</f>
        <v>14.760000000000002</v>
      </c>
      <c r="P216" s="16">
        <f>SUMIF($B$5:$B$181,$K216,P$5:P$181)</f>
        <v>14.760000000000002</v>
      </c>
      <c r="Q216" s="16">
        <f>SUMIF($B$5:$B$181,$K216,Q$5:Q$181)</f>
        <v>14.760000000000002</v>
      </c>
      <c r="R216" s="16">
        <f>SUMIF($B$5:$B$181,$K216,R$5:R$181)</f>
        <v>14.760000000000002</v>
      </c>
    </row>
    <row r="217" spans="11:18" x14ac:dyDescent="0.25">
      <c r="K217" s="15" t="s">
        <v>949</v>
      </c>
      <c r="L217" s="16">
        <f>SUMIF($B$5:$B$181,$K217,L$5:L$181)</f>
        <v>1.8742857142857139</v>
      </c>
      <c r="M217" s="16">
        <f>SUMIF($B$5:$B$181,$K217,M$5:M$181)</f>
        <v>13.120000000000001</v>
      </c>
      <c r="N217" s="16">
        <f>SUMIF($B$5:$B$181,$K217,N$5:N$181)</f>
        <v>13.120000000000001</v>
      </c>
      <c r="O217" s="16">
        <f>SUMIF($B$5:$B$181,$K217,O$5:O$181)</f>
        <v>13.120000000000001</v>
      </c>
      <c r="P217" s="16">
        <f>SUMIF($B$5:$B$181,$K217,P$5:P$181)</f>
        <v>13.120000000000001</v>
      </c>
      <c r="Q217" s="16">
        <f>SUMIF($B$5:$B$181,$K217,Q$5:Q$181)</f>
        <v>13.120000000000001</v>
      </c>
      <c r="R217" s="16">
        <f>SUMIF($B$5:$B$181,$K217,R$5:R$181)</f>
        <v>13.120000000000001</v>
      </c>
    </row>
    <row r="218" spans="11:18" x14ac:dyDescent="0.25">
      <c r="K218" s="15" t="s">
        <v>950</v>
      </c>
      <c r="L218" s="16">
        <f>SUMIF($B$5:$B$181,$K218,L$5:L$181)</f>
        <v>2.6371428571428575</v>
      </c>
      <c r="M218" s="16">
        <f>SUMIF($B$5:$B$181,$K218,M$5:M$181)</f>
        <v>15.822857142857144</v>
      </c>
      <c r="N218" s="16">
        <f>SUMIF($B$5:$B$181,$K218,N$5:N$181)</f>
        <v>0</v>
      </c>
      <c r="O218" s="16">
        <f>SUMIF($B$5:$B$181,$K218,O$5:O$181)</f>
        <v>0</v>
      </c>
      <c r="P218" s="16">
        <f>SUMIF($B$5:$B$181,$K218,P$5:P$181)</f>
        <v>0</v>
      </c>
      <c r="Q218" s="16">
        <f>SUMIF($B$5:$B$181,$K218,Q$5:Q$181)</f>
        <v>0</v>
      </c>
      <c r="R218" s="16">
        <f>SUMIF($B$5:$B$181,$K218,R$5:R$181)</f>
        <v>0</v>
      </c>
    </row>
    <row r="219" spans="11:18" x14ac:dyDescent="0.25">
      <c r="K219" s="15" t="s">
        <v>951</v>
      </c>
      <c r="L219" s="16">
        <f>SUMIF($B$5:$B$181,$K219,L$5:L$181)</f>
        <v>1.8742857142857139</v>
      </c>
      <c r="M219" s="16">
        <f>SUMIF($B$5:$B$181,$K219,M$5:M$181)</f>
        <v>13.120000000000001</v>
      </c>
      <c r="N219" s="16">
        <f>SUMIF($B$5:$B$181,$K219,N$5:N$181)</f>
        <v>13.120000000000001</v>
      </c>
      <c r="O219" s="16">
        <f>SUMIF($B$5:$B$181,$K219,O$5:O$181)</f>
        <v>13.120000000000001</v>
      </c>
      <c r="P219" s="16">
        <f>SUMIF($B$5:$B$181,$K219,P$5:P$181)</f>
        <v>13.120000000000001</v>
      </c>
      <c r="Q219" s="16">
        <f>SUMIF($B$5:$B$181,$K219,Q$5:Q$181)</f>
        <v>13.120000000000001</v>
      </c>
      <c r="R219" s="16">
        <f>SUMIF($B$5:$B$181,$K219,R$5:R$181)</f>
        <v>13.120000000000001</v>
      </c>
    </row>
    <row r="220" spans="11:18" x14ac:dyDescent="0.25">
      <c r="K220" s="15" t="s">
        <v>952</v>
      </c>
      <c r="L220" s="16">
        <f>SUMIF($B$5:$B$181,$K220,L$5:L$181)</f>
        <v>0</v>
      </c>
      <c r="M220" s="16">
        <f>SUMIF($B$5:$B$181,$K220,M$5:M$181)</f>
        <v>132.78571428571428</v>
      </c>
      <c r="N220" s="16">
        <f>SUMIF($B$5:$B$181,$K220,N$5:N$181)</f>
        <v>106.22857142857143</v>
      </c>
      <c r="O220" s="16">
        <f>SUMIF($B$5:$B$181,$K220,O$5:O$181)</f>
        <v>0</v>
      </c>
      <c r="P220" s="16">
        <f>SUMIF($B$5:$B$181,$K220,P$5:P$181)</f>
        <v>0</v>
      </c>
      <c r="Q220" s="16">
        <f>SUMIF($B$5:$B$181,$K220,Q$5:Q$181)</f>
        <v>0</v>
      </c>
      <c r="R220" s="16">
        <f>SUMIF($B$5:$B$181,$K220,R$5:R$181)</f>
        <v>0</v>
      </c>
    </row>
    <row r="221" spans="11:18" x14ac:dyDescent="0.25">
      <c r="K221" s="15" t="s">
        <v>953</v>
      </c>
      <c r="L221" s="16">
        <f>SUMIF($B$5:$B$181,$K221,L$5:L$181)</f>
        <v>2.3685714285714283</v>
      </c>
      <c r="M221" s="16">
        <f>SUMIF($B$5:$B$181,$K221,M$5:M$181)</f>
        <v>16.579999999999998</v>
      </c>
      <c r="N221" s="16">
        <f>SUMIF($B$5:$B$181,$K221,N$5:N$181)</f>
        <v>16.579999999999998</v>
      </c>
      <c r="O221" s="16">
        <f>SUMIF($B$5:$B$181,$K221,O$5:O$181)</f>
        <v>0</v>
      </c>
      <c r="P221" s="16">
        <f>SUMIF($B$5:$B$181,$K221,P$5:P$181)</f>
        <v>0</v>
      </c>
      <c r="Q221" s="16">
        <f>SUMIF($B$5:$B$181,$K221,Q$5:Q$181)</f>
        <v>0</v>
      </c>
      <c r="R221" s="16">
        <f>SUMIF($B$5:$B$181,$K221,R$5:R$181)</f>
        <v>0</v>
      </c>
    </row>
    <row r="222" spans="11:18" x14ac:dyDescent="0.25">
      <c r="K222" s="15" t="s">
        <v>954</v>
      </c>
      <c r="L222" s="16">
        <f>SUMIF($B$5:$B$181,$K222,L$5:L$181)</f>
        <v>16.192857142857143</v>
      </c>
      <c r="M222" s="16">
        <f>SUMIF($B$5:$B$181,$K222,M$5:M$181)</f>
        <v>113.35</v>
      </c>
      <c r="N222" s="16">
        <f>SUMIF($B$5:$B$181,$K222,N$5:N$181)</f>
        <v>113.35</v>
      </c>
      <c r="O222" s="16">
        <f>SUMIF($B$5:$B$181,$K222,O$5:O$181)</f>
        <v>113.35</v>
      </c>
      <c r="P222" s="16">
        <f>SUMIF($B$5:$B$181,$K222,P$5:P$181)</f>
        <v>113.35</v>
      </c>
      <c r="Q222" s="16">
        <f>SUMIF($B$5:$B$181,$K222,Q$5:Q$181)</f>
        <v>113.35</v>
      </c>
      <c r="R222" s="16">
        <f>SUMIF($B$5:$B$181,$K222,R$5:R$181)</f>
        <v>3.6564516129032256</v>
      </c>
    </row>
    <row r="223" spans="11:18" x14ac:dyDescent="0.25">
      <c r="K223" s="15" t="s">
        <v>955</v>
      </c>
      <c r="L223" s="16">
        <f>SUMIF($B$5:$B$181,$K223,L$5:L$181)</f>
        <v>0</v>
      </c>
      <c r="M223" s="16">
        <f>SUMIF($B$5:$B$181,$K223,M$5:M$181)</f>
        <v>0</v>
      </c>
      <c r="N223" s="16">
        <f>SUMIF($B$5:$B$181,$K223,N$5:N$181)</f>
        <v>0</v>
      </c>
      <c r="O223" s="16">
        <f>SUMIF($B$5:$B$181,$K223,O$5:O$181)</f>
        <v>47.051428571428573</v>
      </c>
      <c r="P223" s="16">
        <f>SUMIF($B$5:$B$181,$K223,P$5:P$181)</f>
        <v>187.57857142857142</v>
      </c>
      <c r="Q223" s="16">
        <f>SUMIF($B$5:$B$181,$K223,Q$5:Q$181)</f>
        <v>160.29</v>
      </c>
      <c r="R223" s="16">
        <f>SUMIF($B$5:$B$181,$K223,R$5:R$181)</f>
        <v>108.58354838709677</v>
      </c>
    </row>
    <row r="224" spans="11:18" x14ac:dyDescent="0.25">
      <c r="K224" s="15" t="s">
        <v>956</v>
      </c>
      <c r="L224" s="16">
        <f>SUMIF($B$5:$B$181,$K224,L$5:L$181)</f>
        <v>0</v>
      </c>
      <c r="M224" s="16">
        <f>SUMIF($B$5:$B$181,$K224,M$5:M$181)</f>
        <v>0</v>
      </c>
      <c r="N224" s="16">
        <f>SUMIF($B$5:$B$181,$K224,N$5:N$181)</f>
        <v>0</v>
      </c>
      <c r="O224" s="16">
        <f>SUMIF($B$5:$B$181,$K224,O$5:O$181)</f>
        <v>0</v>
      </c>
      <c r="P224" s="16">
        <f>SUMIF($B$5:$B$181,$K224,P$5:P$181)</f>
        <v>0</v>
      </c>
      <c r="Q224" s="16">
        <f>SUMIF($B$5:$B$181,$K224,Q$5:Q$181)</f>
        <v>0</v>
      </c>
      <c r="R224" s="16">
        <f>SUMIF($B$5:$B$181,$K224,R$5:R$181)</f>
        <v>0</v>
      </c>
    </row>
    <row r="225" spans="11:18" x14ac:dyDescent="0.25">
      <c r="K225" s="15" t="s">
        <v>957</v>
      </c>
      <c r="L225" s="16">
        <f>SUMIF($B$5:$B$181,$K225,L$5:L$181)</f>
        <v>5.7142857142857144</v>
      </c>
      <c r="M225" s="16">
        <f>SUMIF($B$5:$B$181,$K225,M$5:M$181)</f>
        <v>40</v>
      </c>
      <c r="N225" s="16">
        <f>SUMIF($B$5:$B$181,$K225,N$5:N$181)</f>
        <v>40</v>
      </c>
      <c r="O225" s="16">
        <f>SUMIF($B$5:$B$181,$K225,O$5:O$181)</f>
        <v>40</v>
      </c>
      <c r="P225" s="16">
        <f>SUMIF($B$5:$B$181,$K225,P$5:P$181)</f>
        <v>40</v>
      </c>
      <c r="Q225" s="16">
        <f>SUMIF($B$5:$B$181,$K225,Q$5:Q$181)</f>
        <v>40</v>
      </c>
      <c r="R225" s="16">
        <f>SUMIF($B$5:$B$181,$K225,R$5:R$181)</f>
        <v>40</v>
      </c>
    </row>
    <row r="226" spans="11:18" x14ac:dyDescent="0.25">
      <c r="K226" s="15" t="s">
        <v>958</v>
      </c>
      <c r="L226" s="16">
        <f>SUMIF($B$5:$B$181,$K226,L$5:L$181)</f>
        <v>0</v>
      </c>
      <c r="M226" s="16">
        <f>SUMIF($B$5:$B$181,$K226,M$5:M$181)</f>
        <v>23.571428571428573</v>
      </c>
      <c r="N226" s="16">
        <f>SUMIF($B$5:$B$181,$K226,N$5:N$181)</f>
        <v>0</v>
      </c>
      <c r="O226" s="16">
        <f>SUMIF($B$5:$B$181,$K226,O$5:O$181)</f>
        <v>0</v>
      </c>
      <c r="P226" s="16">
        <f>SUMIF($B$5:$B$181,$K226,P$5:P$181)</f>
        <v>0</v>
      </c>
      <c r="Q226" s="16">
        <f>SUMIF($B$5:$B$181,$K226,Q$5:Q$181)</f>
        <v>0</v>
      </c>
      <c r="R226" s="16">
        <f>SUMIF($B$5:$B$181,$K226,R$5:R$181)</f>
        <v>0</v>
      </c>
    </row>
    <row r="227" spans="11:18" x14ac:dyDescent="0.25">
      <c r="K227" s="15" t="s">
        <v>959</v>
      </c>
      <c r="L227" s="16">
        <f>SUMIF($B$5:$B$181,$K227,L$5:L$181)</f>
        <v>2.68</v>
      </c>
      <c r="M227" s="16">
        <f>SUMIF($B$5:$B$181,$K227,M$5:M$181)</f>
        <v>18.760000000000002</v>
      </c>
      <c r="N227" s="16">
        <f>SUMIF($B$5:$B$181,$K227,N$5:N$181)</f>
        <v>18.760000000000002</v>
      </c>
      <c r="O227" s="16">
        <f>SUMIF($B$5:$B$181,$K227,O$5:O$181)</f>
        <v>10.72</v>
      </c>
      <c r="P227" s="16">
        <f>SUMIF($B$5:$B$181,$K227,P$5:P$181)</f>
        <v>0</v>
      </c>
      <c r="Q227" s="16">
        <f>SUMIF($B$5:$B$181,$K227,Q$5:Q$181)</f>
        <v>0</v>
      </c>
      <c r="R227" s="16">
        <f>SUMIF($B$5:$B$181,$K227,R$5:R$181)</f>
        <v>0</v>
      </c>
    </row>
    <row r="228" spans="11:18" x14ac:dyDescent="0.25">
      <c r="K228" s="15" t="s">
        <v>960</v>
      </c>
      <c r="L228" s="16">
        <f>SUMIF($B$5:$B$181,$K228,L$5:L$181)</f>
        <v>0</v>
      </c>
      <c r="M228" s="16">
        <f>SUMIF($B$5:$B$181,$K228,M$5:M$181)</f>
        <v>0</v>
      </c>
      <c r="N228" s="16">
        <f>SUMIF($B$5:$B$181,$K228,N$5:N$181)</f>
        <v>11.914285714285715</v>
      </c>
      <c r="O228" s="16">
        <f>SUMIF($B$5:$B$181,$K228,O$5:O$181)</f>
        <v>0</v>
      </c>
      <c r="P228" s="16">
        <f>SUMIF($B$5:$B$181,$K228,P$5:P$181)</f>
        <v>0</v>
      </c>
      <c r="Q228" s="16">
        <f>SUMIF($B$5:$B$181,$K228,Q$5:Q$181)</f>
        <v>0</v>
      </c>
      <c r="R228" s="16">
        <f>SUMIF($B$5:$B$181,$K228,R$5:R$181)</f>
        <v>0</v>
      </c>
    </row>
    <row r="229" spans="11:18" x14ac:dyDescent="0.25">
      <c r="K229" s="15" t="s">
        <v>961</v>
      </c>
      <c r="L229" s="16">
        <f>SUMIF($B$5:$B$181,$K229,L$5:L$181)</f>
        <v>6.2271428571428569</v>
      </c>
      <c r="M229" s="16">
        <f>SUMIF($B$5:$B$181,$K229,M$5:M$181)</f>
        <v>43.589999999999996</v>
      </c>
      <c r="N229" s="16">
        <f>SUMIF($B$5:$B$181,$K229,N$5:N$181)</f>
        <v>43.589999999999996</v>
      </c>
      <c r="O229" s="16">
        <f>SUMIF($B$5:$B$181,$K229,O$5:O$181)</f>
        <v>43.589999999999996</v>
      </c>
      <c r="P229" s="16">
        <f>SUMIF($B$5:$B$181,$K229,P$5:P$181)</f>
        <v>43.589999999999996</v>
      </c>
      <c r="Q229" s="16">
        <f>SUMIF($B$5:$B$181,$K229,Q$5:Q$181)</f>
        <v>43.589999999999996</v>
      </c>
      <c r="R229" s="16">
        <f>SUMIF($B$5:$B$181,$K229,R$5:R$181)</f>
        <v>43.589999999999996</v>
      </c>
    </row>
  </sheetData>
  <autoFilter ref="K183:R183"/>
  <conditionalFormatting sqref="L184:R229 L5:R18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{27865752-3B40-46EE-81D7-EBEB0A1FB85F}</x14:id>
        </ext>
      </extLst>
    </cfRule>
  </conditionalFormatting>
  <conditionalFormatting sqref="L184:R229 L5:Q18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{3FCEE0B6-D172-4A13-BD7F-B51F9D55C598}</x14:id>
        </ext>
      </extLst>
    </cfRule>
  </conditionalFormatting>
  <conditionalFormatting sqref="R5:R18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{58476D0D-E815-447D-9661-60E4D4E3287F}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865752-3B40-46EE-81D7-EBEB0A1FB8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L184:R229 L5:R181</xm:sqref>
        </x14:conditionalFormatting>
        <x14:conditionalFormatting xmlns:xm="http://schemas.microsoft.com/office/excel/2006/main">
          <x14:cfRule type="dataBar" id="{3FCEE0B6-D172-4A13-BD7F-B51F9D55C59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L184:R229 L5:Q181</xm:sqref>
        </x14:conditionalFormatting>
        <x14:conditionalFormatting xmlns:xm="http://schemas.microsoft.com/office/excel/2006/main">
          <x14:cfRule type="dataBar" id="{58476D0D-E815-447D-9661-60E4D4E32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R5:R181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7" sqref="G17"/>
    </sheetView>
  </sheetViews>
  <sheetFormatPr defaultRowHeight="15" x14ac:dyDescent="0.25"/>
  <cols>
    <col min="1" max="1" width="19" bestFit="1" customWidth="1"/>
    <col min="2" max="3" width="4.85546875" bestFit="1" customWidth="1"/>
    <col min="4" max="4" width="6" bestFit="1" customWidth="1"/>
    <col min="5" max="5" width="23" bestFit="1" customWidth="1"/>
    <col min="6" max="6" width="10" bestFit="1" customWidth="1"/>
    <col min="7" max="8" width="10.7109375" bestFit="1" customWidth="1"/>
    <col min="9" max="9" width="56.85546875" bestFit="1" customWidth="1"/>
    <col min="10" max="11" width="10.7109375" bestFit="1" customWidth="1"/>
  </cols>
  <sheetData>
    <row r="1" spans="1:9" x14ac:dyDescent="0.25">
      <c r="A1" t="s">
        <v>287</v>
      </c>
      <c r="B1" t="s">
        <v>288</v>
      </c>
      <c r="C1" t="s">
        <v>289</v>
      </c>
      <c r="D1" t="s">
        <v>640</v>
      </c>
      <c r="E1" t="s">
        <v>290</v>
      </c>
      <c r="F1" t="s">
        <v>291</v>
      </c>
      <c r="G1" t="s">
        <v>292</v>
      </c>
      <c r="H1" t="s">
        <v>293</v>
      </c>
      <c r="I1" t="s">
        <v>294</v>
      </c>
    </row>
    <row r="2" spans="1:9" x14ac:dyDescent="0.25">
      <c r="A2" t="s">
        <v>255</v>
      </c>
      <c r="B2">
        <v>66</v>
      </c>
      <c r="C2" t="s">
        <v>71</v>
      </c>
      <c r="D2" t="s">
        <v>641</v>
      </c>
      <c r="E2" t="s">
        <v>160</v>
      </c>
      <c r="G2" s="1"/>
      <c r="H2" s="1"/>
      <c r="I2" t="s">
        <v>72</v>
      </c>
    </row>
    <row r="3" spans="1:9" x14ac:dyDescent="0.25">
      <c r="A3" t="s">
        <v>255</v>
      </c>
      <c r="B3">
        <v>66</v>
      </c>
      <c r="C3" t="s">
        <v>71</v>
      </c>
      <c r="D3" t="s">
        <v>641</v>
      </c>
      <c r="E3" t="s">
        <v>160</v>
      </c>
      <c r="G3" s="1"/>
      <c r="H3" s="1"/>
      <c r="I3" t="s">
        <v>72</v>
      </c>
    </row>
    <row r="4" spans="1:9" x14ac:dyDescent="0.25">
      <c r="A4" t="s">
        <v>256</v>
      </c>
      <c r="B4">
        <v>86</v>
      </c>
      <c r="C4" t="s">
        <v>71</v>
      </c>
      <c r="D4" t="s">
        <v>642</v>
      </c>
      <c r="E4" t="s">
        <v>161</v>
      </c>
      <c r="F4">
        <v>232.75</v>
      </c>
      <c r="G4" s="1">
        <v>42441</v>
      </c>
      <c r="H4" s="1">
        <v>42442</v>
      </c>
      <c r="I4" t="s">
        <v>73</v>
      </c>
    </row>
    <row r="5" spans="1:9" x14ac:dyDescent="0.25">
      <c r="A5" t="s">
        <v>256</v>
      </c>
      <c r="B5">
        <v>99</v>
      </c>
      <c r="C5" t="s">
        <v>71</v>
      </c>
      <c r="D5" t="s">
        <v>643</v>
      </c>
      <c r="E5" t="s">
        <v>162</v>
      </c>
      <c r="F5">
        <v>50</v>
      </c>
      <c r="G5" s="1">
        <v>42441</v>
      </c>
      <c r="H5" s="1">
        <v>42448</v>
      </c>
      <c r="I5" t="s">
        <v>73</v>
      </c>
    </row>
    <row r="6" spans="1:9" x14ac:dyDescent="0.25">
      <c r="A6" t="s">
        <v>257</v>
      </c>
      <c r="B6">
        <v>119</v>
      </c>
      <c r="C6" t="s">
        <v>71</v>
      </c>
      <c r="D6" t="s">
        <v>644</v>
      </c>
      <c r="E6" t="s">
        <v>163</v>
      </c>
      <c r="F6">
        <v>65</v>
      </c>
      <c r="G6" s="1">
        <v>42441</v>
      </c>
      <c r="H6" s="1">
        <v>42460</v>
      </c>
      <c r="I6" t="s">
        <v>73</v>
      </c>
    </row>
    <row r="7" spans="1:9" x14ac:dyDescent="0.25">
      <c r="A7" t="s">
        <v>257</v>
      </c>
      <c r="B7">
        <v>119</v>
      </c>
      <c r="C7" t="s">
        <v>71</v>
      </c>
      <c r="D7" t="s">
        <v>644</v>
      </c>
      <c r="E7" t="s">
        <v>163</v>
      </c>
      <c r="F7">
        <v>65</v>
      </c>
      <c r="G7" s="1">
        <v>42441</v>
      </c>
      <c r="H7" s="1">
        <v>42490</v>
      </c>
      <c r="I7" t="s">
        <v>74</v>
      </c>
    </row>
    <row r="8" spans="1:9" x14ac:dyDescent="0.25">
      <c r="A8" t="s">
        <v>258</v>
      </c>
      <c r="B8">
        <v>44</v>
      </c>
      <c r="C8" t="s">
        <v>71</v>
      </c>
      <c r="D8" t="s">
        <v>645</v>
      </c>
      <c r="E8" t="s">
        <v>164</v>
      </c>
      <c r="F8">
        <v>162.55000000000001</v>
      </c>
      <c r="G8" s="1">
        <v>42441</v>
      </c>
      <c r="H8" s="1">
        <v>42490</v>
      </c>
      <c r="I8" t="s">
        <v>75</v>
      </c>
    </row>
    <row r="9" spans="1:9" x14ac:dyDescent="0.25">
      <c r="A9" t="s">
        <v>258</v>
      </c>
      <c r="B9">
        <v>44</v>
      </c>
      <c r="C9" t="s">
        <v>71</v>
      </c>
      <c r="D9" t="s">
        <v>645</v>
      </c>
      <c r="E9" t="s">
        <v>164</v>
      </c>
      <c r="F9">
        <v>170</v>
      </c>
      <c r="G9" s="1">
        <v>42441</v>
      </c>
      <c r="H9" s="1">
        <v>42458</v>
      </c>
      <c r="I9" t="s">
        <v>76</v>
      </c>
    </row>
    <row r="10" spans="1:9" x14ac:dyDescent="0.25">
      <c r="A10" t="s">
        <v>258</v>
      </c>
      <c r="B10">
        <v>45</v>
      </c>
      <c r="C10" t="s">
        <v>71</v>
      </c>
      <c r="D10" t="s">
        <v>646</v>
      </c>
      <c r="E10" t="s">
        <v>165</v>
      </c>
      <c r="F10">
        <v>110.8</v>
      </c>
      <c r="G10" s="1">
        <v>42441</v>
      </c>
      <c r="H10" s="1">
        <v>42446</v>
      </c>
      <c r="I10" t="s">
        <v>77</v>
      </c>
    </row>
    <row r="11" spans="1:9" x14ac:dyDescent="0.25">
      <c r="A11" t="s">
        <v>258</v>
      </c>
      <c r="B11">
        <v>46</v>
      </c>
      <c r="C11" t="s">
        <v>71</v>
      </c>
      <c r="D11" t="s">
        <v>647</v>
      </c>
      <c r="E11" t="s">
        <v>166</v>
      </c>
      <c r="F11">
        <v>110</v>
      </c>
      <c r="G11" s="1">
        <v>42451</v>
      </c>
      <c r="H11" s="1">
        <v>42451</v>
      </c>
      <c r="I11" t="s">
        <v>73</v>
      </c>
    </row>
    <row r="12" spans="1:9" x14ac:dyDescent="0.25">
      <c r="A12" t="s">
        <v>258</v>
      </c>
      <c r="B12">
        <v>46</v>
      </c>
      <c r="C12" t="s">
        <v>71</v>
      </c>
      <c r="D12" t="s">
        <v>647</v>
      </c>
      <c r="E12" t="s">
        <v>166</v>
      </c>
      <c r="F12">
        <v>110</v>
      </c>
      <c r="G12" s="1">
        <v>42441</v>
      </c>
      <c r="H12" s="1">
        <v>42441</v>
      </c>
      <c r="I12" t="s">
        <v>78</v>
      </c>
    </row>
    <row r="13" spans="1:9" x14ac:dyDescent="0.25">
      <c r="A13" t="s">
        <v>258</v>
      </c>
      <c r="B13">
        <v>46</v>
      </c>
      <c r="C13" t="s">
        <v>71</v>
      </c>
      <c r="D13" t="s">
        <v>647</v>
      </c>
      <c r="E13" t="s">
        <v>166</v>
      </c>
      <c r="F13">
        <v>110</v>
      </c>
      <c r="G13" s="1">
        <v>42441</v>
      </c>
      <c r="H13" s="1">
        <v>42472</v>
      </c>
      <c r="I13" t="s">
        <v>79</v>
      </c>
    </row>
    <row r="14" spans="1:9" x14ac:dyDescent="0.25">
      <c r="A14" t="s">
        <v>258</v>
      </c>
      <c r="B14">
        <v>121</v>
      </c>
      <c r="C14" t="s">
        <v>71</v>
      </c>
      <c r="D14" t="s">
        <v>648</v>
      </c>
      <c r="E14" t="s">
        <v>167</v>
      </c>
      <c r="F14">
        <v>43.04</v>
      </c>
      <c r="G14" s="1">
        <v>42441</v>
      </c>
      <c r="H14" s="1">
        <v>42446</v>
      </c>
      <c r="I14" t="s">
        <v>73</v>
      </c>
    </row>
    <row r="15" spans="1:9" x14ac:dyDescent="0.25">
      <c r="A15" t="s">
        <v>259</v>
      </c>
      <c r="B15">
        <v>2</v>
      </c>
      <c r="C15" t="s">
        <v>71</v>
      </c>
      <c r="D15" t="s">
        <v>649</v>
      </c>
      <c r="E15" t="s">
        <v>168</v>
      </c>
      <c r="F15">
        <v>13</v>
      </c>
      <c r="G15" s="1">
        <v>42441</v>
      </c>
      <c r="H15" s="1">
        <v>42446</v>
      </c>
      <c r="I15" t="s">
        <v>73</v>
      </c>
    </row>
    <row r="16" spans="1:9" x14ac:dyDescent="0.25">
      <c r="A16" t="s">
        <v>259</v>
      </c>
      <c r="B16">
        <v>10</v>
      </c>
      <c r="C16" t="s">
        <v>71</v>
      </c>
      <c r="D16" t="s">
        <v>650</v>
      </c>
      <c r="E16" t="s">
        <v>169</v>
      </c>
      <c r="F16">
        <v>42</v>
      </c>
      <c r="G16" s="1">
        <v>42464</v>
      </c>
      <c r="H16" s="1">
        <v>42477</v>
      </c>
      <c r="I16" t="s">
        <v>80</v>
      </c>
    </row>
    <row r="17" spans="1:11" x14ac:dyDescent="0.25">
      <c r="A17" t="s">
        <v>259</v>
      </c>
      <c r="B17">
        <v>10</v>
      </c>
      <c r="C17" t="s">
        <v>71</v>
      </c>
      <c r="D17" t="s">
        <v>650</v>
      </c>
      <c r="E17" t="s">
        <v>169</v>
      </c>
      <c r="F17">
        <v>42</v>
      </c>
      <c r="G17" s="1">
        <v>42464</v>
      </c>
      <c r="H17" s="1">
        <v>42465</v>
      </c>
      <c r="I17" t="s">
        <v>73</v>
      </c>
    </row>
    <row r="18" spans="1:11" x14ac:dyDescent="0.25">
      <c r="A18" t="s">
        <v>259</v>
      </c>
      <c r="B18">
        <v>10</v>
      </c>
      <c r="C18" t="s">
        <v>71</v>
      </c>
      <c r="D18" t="s">
        <v>650</v>
      </c>
      <c r="E18" t="s">
        <v>169</v>
      </c>
      <c r="F18">
        <v>42</v>
      </c>
      <c r="G18" s="1">
        <v>42443</v>
      </c>
      <c r="H18" s="1">
        <v>42444</v>
      </c>
      <c r="I18" t="s">
        <v>73</v>
      </c>
    </row>
    <row r="19" spans="1:11" x14ac:dyDescent="0.25">
      <c r="A19" t="s">
        <v>259</v>
      </c>
      <c r="B19">
        <v>10</v>
      </c>
      <c r="C19" t="s">
        <v>71</v>
      </c>
      <c r="D19" t="s">
        <v>650</v>
      </c>
      <c r="E19" t="s">
        <v>169</v>
      </c>
      <c r="F19">
        <v>42</v>
      </c>
      <c r="G19" s="1">
        <v>42443</v>
      </c>
      <c r="H19" s="1">
        <v>42446</v>
      </c>
      <c r="I19" t="s">
        <v>80</v>
      </c>
    </row>
    <row r="20" spans="1:11" x14ac:dyDescent="0.25">
      <c r="A20" t="s">
        <v>259</v>
      </c>
      <c r="B20">
        <v>11</v>
      </c>
      <c r="C20" t="s">
        <v>71</v>
      </c>
      <c r="D20" t="s">
        <v>651</v>
      </c>
      <c r="E20" t="s">
        <v>170</v>
      </c>
      <c r="F20">
        <v>95</v>
      </c>
      <c r="G20" s="1">
        <v>42441</v>
      </c>
      <c r="H20" s="1">
        <v>42458</v>
      </c>
      <c r="I20" t="s">
        <v>81</v>
      </c>
    </row>
    <row r="21" spans="1:11" x14ac:dyDescent="0.25">
      <c r="A21" t="s">
        <v>259</v>
      </c>
      <c r="B21">
        <v>11</v>
      </c>
      <c r="C21" t="s">
        <v>71</v>
      </c>
      <c r="D21" t="s">
        <v>651</v>
      </c>
      <c r="E21" t="s">
        <v>170</v>
      </c>
      <c r="F21">
        <v>95</v>
      </c>
      <c r="G21" s="1">
        <v>42441</v>
      </c>
      <c r="H21" s="1">
        <v>42490</v>
      </c>
      <c r="I21" t="s">
        <v>73</v>
      </c>
    </row>
    <row r="22" spans="1:11" x14ac:dyDescent="0.25">
      <c r="A22" t="s">
        <v>259</v>
      </c>
      <c r="B22">
        <v>11</v>
      </c>
      <c r="C22" t="s">
        <v>71</v>
      </c>
      <c r="D22" t="s">
        <v>651</v>
      </c>
      <c r="E22" t="s">
        <v>170</v>
      </c>
      <c r="F22">
        <v>95</v>
      </c>
      <c r="G22" s="1">
        <v>42441</v>
      </c>
      <c r="H22" s="1">
        <v>42474</v>
      </c>
      <c r="I22" t="s">
        <v>82</v>
      </c>
    </row>
    <row r="23" spans="1:11" x14ac:dyDescent="0.25">
      <c r="A23" t="s">
        <v>259</v>
      </c>
      <c r="B23">
        <v>26</v>
      </c>
      <c r="C23" t="s">
        <v>71</v>
      </c>
      <c r="D23" t="s">
        <v>652</v>
      </c>
      <c r="E23" t="s">
        <v>171</v>
      </c>
      <c r="F23">
        <v>136</v>
      </c>
      <c r="G23" s="1">
        <v>42461</v>
      </c>
      <c r="H23" s="1">
        <v>42462</v>
      </c>
      <c r="I23" t="s">
        <v>73</v>
      </c>
    </row>
    <row r="24" spans="1:11" x14ac:dyDescent="0.25">
      <c r="A24" t="s">
        <v>259</v>
      </c>
      <c r="B24">
        <v>26</v>
      </c>
      <c r="C24" t="s">
        <v>71</v>
      </c>
      <c r="D24" t="s">
        <v>652</v>
      </c>
      <c r="E24" t="s">
        <v>171</v>
      </c>
      <c r="F24">
        <v>136</v>
      </c>
      <c r="G24" s="1">
        <v>42441</v>
      </c>
      <c r="H24" s="1">
        <v>42458</v>
      </c>
      <c r="I24" t="s">
        <v>83</v>
      </c>
    </row>
    <row r="25" spans="1:11" x14ac:dyDescent="0.25">
      <c r="A25" t="s">
        <v>259</v>
      </c>
      <c r="B25">
        <v>33</v>
      </c>
      <c r="C25" t="s">
        <v>71</v>
      </c>
      <c r="D25" t="s">
        <v>653</v>
      </c>
      <c r="E25" t="s">
        <v>172</v>
      </c>
      <c r="F25">
        <v>285</v>
      </c>
      <c r="G25" s="1">
        <v>42443</v>
      </c>
      <c r="H25" s="1">
        <v>42446</v>
      </c>
      <c r="I25" t="s">
        <v>73</v>
      </c>
    </row>
    <row r="26" spans="1:11" x14ac:dyDescent="0.25">
      <c r="A26" t="s">
        <v>259</v>
      </c>
      <c r="B26">
        <v>141</v>
      </c>
      <c r="C26" t="s">
        <v>71</v>
      </c>
      <c r="D26" t="s">
        <v>654</v>
      </c>
      <c r="E26" t="s">
        <v>173</v>
      </c>
      <c r="F26">
        <v>35</v>
      </c>
      <c r="G26" s="1">
        <v>42441</v>
      </c>
      <c r="H26" s="1">
        <v>42443</v>
      </c>
      <c r="I26" t="s">
        <v>84</v>
      </c>
    </row>
    <row r="27" spans="1:11" x14ac:dyDescent="0.25">
      <c r="A27" t="s">
        <v>259</v>
      </c>
      <c r="B27">
        <v>141</v>
      </c>
      <c r="C27" t="s">
        <v>71</v>
      </c>
      <c r="D27" t="s">
        <v>654</v>
      </c>
      <c r="E27" t="s">
        <v>173</v>
      </c>
      <c r="F27">
        <v>35</v>
      </c>
      <c r="G27" s="1">
        <v>42441</v>
      </c>
      <c r="H27" s="1">
        <v>42443</v>
      </c>
      <c r="I27" t="s">
        <v>84</v>
      </c>
    </row>
    <row r="28" spans="1:11" x14ac:dyDescent="0.25">
      <c r="A28" t="s">
        <v>259</v>
      </c>
      <c r="B28">
        <v>141</v>
      </c>
      <c r="C28" t="s">
        <v>71</v>
      </c>
      <c r="D28" t="s">
        <v>654</v>
      </c>
      <c r="E28" t="s">
        <v>173</v>
      </c>
      <c r="F28">
        <v>35</v>
      </c>
      <c r="G28" s="1">
        <v>42441</v>
      </c>
      <c r="H28" s="1">
        <v>42443</v>
      </c>
      <c r="I28" t="s">
        <v>84</v>
      </c>
    </row>
    <row r="29" spans="1:11" x14ac:dyDescent="0.25">
      <c r="A29" t="s">
        <v>259</v>
      </c>
      <c r="B29">
        <v>141</v>
      </c>
      <c r="C29" t="s">
        <v>71</v>
      </c>
      <c r="D29" t="s">
        <v>654</v>
      </c>
      <c r="E29" t="s">
        <v>173</v>
      </c>
      <c r="F29">
        <v>35</v>
      </c>
      <c r="G29" s="1">
        <v>42441</v>
      </c>
      <c r="H29" s="1">
        <v>42443</v>
      </c>
      <c r="I29" t="s">
        <v>84</v>
      </c>
    </row>
    <row r="30" spans="1:11" x14ac:dyDescent="0.25">
      <c r="A30" t="s">
        <v>259</v>
      </c>
      <c r="B30">
        <v>143</v>
      </c>
      <c r="C30" t="s">
        <v>71</v>
      </c>
      <c r="D30" t="s">
        <v>655</v>
      </c>
      <c r="E30" t="s">
        <v>174</v>
      </c>
      <c r="F30">
        <v>110</v>
      </c>
      <c r="G30" s="1">
        <v>42441</v>
      </c>
      <c r="H30" s="1">
        <v>42460</v>
      </c>
      <c r="I30" t="s">
        <v>85</v>
      </c>
      <c r="K30" s="10">
        <f>MIN(G30+6,H30)-G30</f>
        <v>6</v>
      </c>
    </row>
    <row r="31" spans="1:11" x14ac:dyDescent="0.25">
      <c r="A31" t="s">
        <v>259</v>
      </c>
      <c r="B31">
        <v>143</v>
      </c>
      <c r="C31" t="s">
        <v>71</v>
      </c>
      <c r="D31" t="s">
        <v>655</v>
      </c>
      <c r="E31" t="s">
        <v>174</v>
      </c>
      <c r="F31">
        <v>110</v>
      </c>
      <c r="G31" s="1">
        <v>42441</v>
      </c>
      <c r="H31" s="1">
        <v>42443</v>
      </c>
      <c r="I31" t="s">
        <v>86</v>
      </c>
      <c r="K31" s="10">
        <f>MIN(G31+6,H31)-G31</f>
        <v>2</v>
      </c>
    </row>
    <row r="32" spans="1:11" x14ac:dyDescent="0.25">
      <c r="A32" t="s">
        <v>259</v>
      </c>
      <c r="B32">
        <v>143</v>
      </c>
      <c r="C32" t="s">
        <v>71</v>
      </c>
      <c r="D32" t="s">
        <v>655</v>
      </c>
      <c r="E32" t="s">
        <v>174</v>
      </c>
      <c r="F32">
        <v>110</v>
      </c>
      <c r="G32" s="1">
        <v>42441</v>
      </c>
      <c r="H32" s="1">
        <v>42472</v>
      </c>
      <c r="I32" t="s">
        <v>87</v>
      </c>
      <c r="K32" s="10">
        <f>MIN(G32+6,H32)-G32</f>
        <v>6</v>
      </c>
    </row>
    <row r="33" spans="1:9" x14ac:dyDescent="0.25">
      <c r="A33" t="s">
        <v>259</v>
      </c>
      <c r="B33">
        <v>162</v>
      </c>
      <c r="C33" t="s">
        <v>71</v>
      </c>
      <c r="D33" t="s">
        <v>656</v>
      </c>
      <c r="E33" t="s">
        <v>175</v>
      </c>
      <c r="F33">
        <v>35</v>
      </c>
      <c r="G33" s="1">
        <v>42441</v>
      </c>
      <c r="H33" s="1">
        <v>42446</v>
      </c>
      <c r="I33" t="s">
        <v>73</v>
      </c>
    </row>
    <row r="34" spans="1:9" x14ac:dyDescent="0.25">
      <c r="A34" t="s">
        <v>260</v>
      </c>
      <c r="B34">
        <v>6</v>
      </c>
      <c r="C34" t="s">
        <v>71</v>
      </c>
      <c r="D34" t="s">
        <v>657</v>
      </c>
      <c r="E34" t="s">
        <v>176</v>
      </c>
      <c r="F34">
        <v>164</v>
      </c>
      <c r="G34" s="1">
        <v>42443</v>
      </c>
      <c r="H34" s="1">
        <v>42443</v>
      </c>
      <c r="I34" t="s">
        <v>88</v>
      </c>
    </row>
    <row r="35" spans="1:9" x14ac:dyDescent="0.25">
      <c r="A35" t="s">
        <v>260</v>
      </c>
      <c r="B35">
        <v>6</v>
      </c>
      <c r="C35" t="s">
        <v>71</v>
      </c>
      <c r="D35" t="s">
        <v>657</v>
      </c>
      <c r="E35" t="s">
        <v>176</v>
      </c>
      <c r="F35">
        <v>164</v>
      </c>
      <c r="G35" s="1">
        <v>42450</v>
      </c>
      <c r="H35" s="1">
        <v>42450</v>
      </c>
      <c r="I35" t="s">
        <v>88</v>
      </c>
    </row>
    <row r="36" spans="1:9" x14ac:dyDescent="0.25">
      <c r="A36" t="s">
        <v>260</v>
      </c>
      <c r="B36">
        <v>6</v>
      </c>
      <c r="C36" t="s">
        <v>71</v>
      </c>
      <c r="D36" t="s">
        <v>657</v>
      </c>
      <c r="E36" t="s">
        <v>176</v>
      </c>
      <c r="F36">
        <v>164</v>
      </c>
      <c r="G36" s="1">
        <v>42457</v>
      </c>
      <c r="H36" s="1">
        <v>42474</v>
      </c>
      <c r="I36" t="s">
        <v>89</v>
      </c>
    </row>
    <row r="37" spans="1:9" x14ac:dyDescent="0.25">
      <c r="A37" t="s">
        <v>260</v>
      </c>
      <c r="B37">
        <v>7</v>
      </c>
      <c r="C37" t="s">
        <v>71</v>
      </c>
      <c r="D37" t="s">
        <v>658</v>
      </c>
      <c r="E37" t="s">
        <v>177</v>
      </c>
      <c r="F37">
        <v>51</v>
      </c>
      <c r="G37" s="1">
        <v>42441</v>
      </c>
      <c r="H37" s="1">
        <v>42476</v>
      </c>
      <c r="I37" t="s">
        <v>90</v>
      </c>
    </row>
    <row r="38" spans="1:9" x14ac:dyDescent="0.25">
      <c r="A38" t="s">
        <v>260</v>
      </c>
      <c r="B38">
        <v>12</v>
      </c>
      <c r="C38" t="s">
        <v>71</v>
      </c>
      <c r="D38" t="s">
        <v>659</v>
      </c>
      <c r="E38" t="s">
        <v>178</v>
      </c>
      <c r="F38">
        <v>82</v>
      </c>
      <c r="G38" s="1">
        <v>42457</v>
      </c>
      <c r="H38" s="1">
        <v>42474</v>
      </c>
      <c r="I38" t="s">
        <v>91</v>
      </c>
    </row>
    <row r="39" spans="1:9" x14ac:dyDescent="0.25">
      <c r="A39" t="s">
        <v>260</v>
      </c>
      <c r="B39">
        <v>20</v>
      </c>
      <c r="C39" t="s">
        <v>71</v>
      </c>
      <c r="D39" t="s">
        <v>660</v>
      </c>
      <c r="E39" t="s">
        <v>179</v>
      </c>
      <c r="F39">
        <v>26.25</v>
      </c>
      <c r="G39" s="1">
        <v>42443</v>
      </c>
      <c r="H39" s="1">
        <v>42443</v>
      </c>
      <c r="I39" t="s">
        <v>92</v>
      </c>
    </row>
    <row r="40" spans="1:9" x14ac:dyDescent="0.25">
      <c r="A40" t="s">
        <v>260</v>
      </c>
      <c r="B40">
        <v>31</v>
      </c>
      <c r="C40" t="s">
        <v>71</v>
      </c>
      <c r="D40" t="s">
        <v>661</v>
      </c>
      <c r="E40" t="s">
        <v>180</v>
      </c>
      <c r="F40">
        <v>380</v>
      </c>
      <c r="G40" s="1">
        <v>42448</v>
      </c>
      <c r="H40" s="1">
        <v>42449</v>
      </c>
      <c r="I40" t="s">
        <v>93</v>
      </c>
    </row>
    <row r="41" spans="1:9" x14ac:dyDescent="0.25">
      <c r="A41" t="s">
        <v>260</v>
      </c>
      <c r="B41">
        <v>123</v>
      </c>
      <c r="C41" t="s">
        <v>71</v>
      </c>
      <c r="D41" t="s">
        <v>662</v>
      </c>
      <c r="E41" t="s">
        <v>181</v>
      </c>
      <c r="F41">
        <v>74</v>
      </c>
      <c r="G41" s="1">
        <v>42444</v>
      </c>
      <c r="H41" s="1">
        <v>42446</v>
      </c>
      <c r="I41" t="s">
        <v>94</v>
      </c>
    </row>
    <row r="42" spans="1:9" x14ac:dyDescent="0.25">
      <c r="A42" t="s">
        <v>260</v>
      </c>
      <c r="B42">
        <v>129</v>
      </c>
      <c r="C42" t="s">
        <v>71</v>
      </c>
      <c r="D42" t="s">
        <v>663</v>
      </c>
      <c r="E42" t="s">
        <v>182</v>
      </c>
      <c r="F42">
        <v>101.9</v>
      </c>
      <c r="G42" s="1">
        <v>42441</v>
      </c>
      <c r="H42" s="1">
        <v>42446</v>
      </c>
      <c r="I42" t="s">
        <v>95</v>
      </c>
    </row>
    <row r="43" spans="1:9" x14ac:dyDescent="0.25">
      <c r="A43" t="s">
        <v>260</v>
      </c>
      <c r="B43">
        <v>129</v>
      </c>
      <c r="C43" t="s">
        <v>71</v>
      </c>
      <c r="D43" t="s">
        <v>663</v>
      </c>
      <c r="E43" t="s">
        <v>182</v>
      </c>
      <c r="F43">
        <v>101.9</v>
      </c>
      <c r="G43" s="1">
        <v>42441</v>
      </c>
      <c r="H43" s="1">
        <v>42450</v>
      </c>
      <c r="I43" t="s">
        <v>96</v>
      </c>
    </row>
    <row r="44" spans="1:9" x14ac:dyDescent="0.25">
      <c r="A44" t="s">
        <v>260</v>
      </c>
      <c r="B44">
        <v>251</v>
      </c>
      <c r="C44" t="s">
        <v>71</v>
      </c>
      <c r="D44" t="s">
        <v>664</v>
      </c>
      <c r="E44" t="s">
        <v>183</v>
      </c>
      <c r="F44">
        <v>425</v>
      </c>
      <c r="G44" s="1">
        <v>42455</v>
      </c>
      <c r="H44" s="1">
        <v>42490</v>
      </c>
      <c r="I44" t="s">
        <v>97</v>
      </c>
    </row>
    <row r="45" spans="1:9" x14ac:dyDescent="0.25">
      <c r="A45" t="s">
        <v>260</v>
      </c>
      <c r="B45">
        <v>278</v>
      </c>
      <c r="C45" t="s">
        <v>71</v>
      </c>
      <c r="D45" t="s">
        <v>665</v>
      </c>
      <c r="E45" t="s">
        <v>184</v>
      </c>
      <c r="F45">
        <v>52.5</v>
      </c>
      <c r="G45" s="1">
        <v>42457</v>
      </c>
      <c r="H45" s="1">
        <v>42473</v>
      </c>
      <c r="I45" t="s">
        <v>98</v>
      </c>
    </row>
    <row r="46" spans="1:9" x14ac:dyDescent="0.25">
      <c r="A46" t="s">
        <v>260</v>
      </c>
      <c r="B46">
        <v>86</v>
      </c>
      <c r="C46" t="s">
        <v>70</v>
      </c>
      <c r="D46" t="s">
        <v>666</v>
      </c>
      <c r="E46" t="s">
        <v>185</v>
      </c>
      <c r="F46">
        <v>175</v>
      </c>
      <c r="G46" s="1">
        <v>42480</v>
      </c>
      <c r="H46" s="1">
        <v>42489</v>
      </c>
      <c r="I46" t="s">
        <v>99</v>
      </c>
    </row>
    <row r="47" spans="1:9" x14ac:dyDescent="0.25">
      <c r="A47" t="s">
        <v>261</v>
      </c>
      <c r="B47">
        <v>112</v>
      </c>
      <c r="C47" t="s">
        <v>71</v>
      </c>
      <c r="D47" t="s">
        <v>667</v>
      </c>
      <c r="E47" t="s">
        <v>186</v>
      </c>
      <c r="F47">
        <v>30</v>
      </c>
      <c r="G47" s="1">
        <v>42441</v>
      </c>
      <c r="H47" s="1">
        <v>42458</v>
      </c>
      <c r="I47" t="s">
        <v>100</v>
      </c>
    </row>
    <row r="48" spans="1:9" x14ac:dyDescent="0.25">
      <c r="A48" t="s">
        <v>262</v>
      </c>
      <c r="B48">
        <v>72</v>
      </c>
      <c r="C48" t="s">
        <v>71</v>
      </c>
      <c r="D48" t="s">
        <v>668</v>
      </c>
      <c r="E48" t="s">
        <v>187</v>
      </c>
      <c r="F48">
        <v>60.084000000000003</v>
      </c>
      <c r="G48" s="1">
        <v>42441</v>
      </c>
      <c r="H48" s="1">
        <v>42452</v>
      </c>
      <c r="I48" t="s">
        <v>73</v>
      </c>
    </row>
    <row r="49" spans="1:9" x14ac:dyDescent="0.25">
      <c r="A49" t="s">
        <v>262</v>
      </c>
      <c r="B49">
        <v>76</v>
      </c>
      <c r="C49" t="s">
        <v>71</v>
      </c>
      <c r="D49" t="s">
        <v>669</v>
      </c>
      <c r="E49" t="s">
        <v>188</v>
      </c>
      <c r="F49">
        <v>315</v>
      </c>
      <c r="G49" s="1">
        <v>42458</v>
      </c>
      <c r="H49" s="1">
        <v>42488</v>
      </c>
      <c r="I49" t="s">
        <v>73</v>
      </c>
    </row>
    <row r="50" spans="1:9" x14ac:dyDescent="0.25">
      <c r="A50" t="s">
        <v>263</v>
      </c>
      <c r="B50">
        <v>77</v>
      </c>
      <c r="C50" t="s">
        <v>71</v>
      </c>
      <c r="D50" t="s">
        <v>670</v>
      </c>
      <c r="E50" t="s">
        <v>189</v>
      </c>
      <c r="F50">
        <v>355</v>
      </c>
      <c r="G50" s="1">
        <v>42452</v>
      </c>
      <c r="H50" s="1">
        <v>42467</v>
      </c>
      <c r="I50" t="s">
        <v>73</v>
      </c>
    </row>
    <row r="51" spans="1:9" x14ac:dyDescent="0.25">
      <c r="A51" t="s">
        <v>263</v>
      </c>
      <c r="B51">
        <v>77</v>
      </c>
      <c r="C51" t="s">
        <v>71</v>
      </c>
      <c r="D51" t="s">
        <v>670</v>
      </c>
      <c r="E51" t="s">
        <v>189</v>
      </c>
      <c r="F51">
        <v>355</v>
      </c>
      <c r="G51" s="1">
        <v>42441</v>
      </c>
      <c r="H51" s="1">
        <v>42442</v>
      </c>
      <c r="I51" t="s">
        <v>73</v>
      </c>
    </row>
    <row r="52" spans="1:9" x14ac:dyDescent="0.25">
      <c r="A52" t="s">
        <v>263</v>
      </c>
      <c r="B52">
        <v>77</v>
      </c>
      <c r="C52" t="s">
        <v>71</v>
      </c>
      <c r="D52" t="s">
        <v>670</v>
      </c>
      <c r="E52" t="s">
        <v>189</v>
      </c>
      <c r="F52">
        <v>355</v>
      </c>
      <c r="G52" s="1">
        <v>42441</v>
      </c>
      <c r="H52" s="1">
        <v>42490</v>
      </c>
      <c r="I52" t="s">
        <v>73</v>
      </c>
    </row>
    <row r="53" spans="1:9" x14ac:dyDescent="0.25">
      <c r="A53" t="s">
        <v>263</v>
      </c>
      <c r="B53">
        <v>78</v>
      </c>
      <c r="C53" t="s">
        <v>71</v>
      </c>
      <c r="D53" t="s">
        <v>671</v>
      </c>
      <c r="E53" t="s">
        <v>190</v>
      </c>
      <c r="F53">
        <v>182</v>
      </c>
      <c r="G53" s="1">
        <v>42441</v>
      </c>
      <c r="H53" s="1">
        <v>42451</v>
      </c>
      <c r="I53" t="s">
        <v>73</v>
      </c>
    </row>
    <row r="54" spans="1:9" x14ac:dyDescent="0.25">
      <c r="A54" t="s">
        <v>263</v>
      </c>
      <c r="B54">
        <v>78</v>
      </c>
      <c r="C54" t="s">
        <v>71</v>
      </c>
      <c r="D54" t="s">
        <v>671</v>
      </c>
      <c r="E54" t="s">
        <v>190</v>
      </c>
      <c r="F54">
        <v>182</v>
      </c>
      <c r="G54" s="1">
        <v>42468</v>
      </c>
      <c r="H54" s="1">
        <v>42484</v>
      </c>
      <c r="I54" t="s">
        <v>73</v>
      </c>
    </row>
    <row r="55" spans="1:9" x14ac:dyDescent="0.25">
      <c r="A55" t="s">
        <v>263</v>
      </c>
      <c r="B55">
        <v>91</v>
      </c>
      <c r="C55" t="s">
        <v>71</v>
      </c>
      <c r="D55" t="s">
        <v>672</v>
      </c>
      <c r="E55" t="s">
        <v>191</v>
      </c>
      <c r="F55">
        <v>380</v>
      </c>
      <c r="G55" s="1">
        <v>42457</v>
      </c>
      <c r="H55" s="1">
        <v>42477</v>
      </c>
      <c r="I55" t="s">
        <v>73</v>
      </c>
    </row>
    <row r="56" spans="1:9" x14ac:dyDescent="0.25">
      <c r="A56" t="s">
        <v>263</v>
      </c>
      <c r="B56">
        <v>93</v>
      </c>
      <c r="C56" t="s">
        <v>71</v>
      </c>
      <c r="D56" t="s">
        <v>673</v>
      </c>
      <c r="E56" t="s">
        <v>192</v>
      </c>
      <c r="F56">
        <v>113</v>
      </c>
      <c r="G56" s="1">
        <v>42471</v>
      </c>
      <c r="H56" s="1">
        <v>42479</v>
      </c>
      <c r="I56" t="s">
        <v>73</v>
      </c>
    </row>
    <row r="57" spans="1:9" x14ac:dyDescent="0.25">
      <c r="A57" t="s">
        <v>263</v>
      </c>
      <c r="B57">
        <v>253</v>
      </c>
      <c r="C57" t="s">
        <v>71</v>
      </c>
      <c r="D57" t="s">
        <v>674</v>
      </c>
      <c r="E57" t="s">
        <v>193</v>
      </c>
      <c r="F57">
        <v>121.6</v>
      </c>
      <c r="G57" s="1">
        <v>42441</v>
      </c>
      <c r="H57" s="1">
        <v>42490</v>
      </c>
      <c r="I57" t="s">
        <v>101</v>
      </c>
    </row>
    <row r="58" spans="1:9" x14ac:dyDescent="0.25">
      <c r="A58" t="s">
        <v>263</v>
      </c>
      <c r="B58">
        <v>267</v>
      </c>
      <c r="C58" t="s">
        <v>71</v>
      </c>
      <c r="D58" t="s">
        <v>675</v>
      </c>
      <c r="E58" t="s">
        <v>194</v>
      </c>
      <c r="F58">
        <v>135.875</v>
      </c>
      <c r="G58" s="1">
        <v>42485</v>
      </c>
      <c r="H58" s="1">
        <v>42486</v>
      </c>
      <c r="I58" t="s">
        <v>102</v>
      </c>
    </row>
    <row r="59" spans="1:9" x14ac:dyDescent="0.25">
      <c r="A59" t="s">
        <v>263</v>
      </c>
      <c r="B59">
        <v>267</v>
      </c>
      <c r="C59" t="s">
        <v>71</v>
      </c>
      <c r="D59" t="s">
        <v>675</v>
      </c>
      <c r="E59" t="s">
        <v>194</v>
      </c>
      <c r="F59">
        <v>135.875</v>
      </c>
      <c r="G59" s="1">
        <v>42485</v>
      </c>
      <c r="H59" s="1">
        <v>42490</v>
      </c>
      <c r="I59" t="s">
        <v>73</v>
      </c>
    </row>
    <row r="60" spans="1:9" x14ac:dyDescent="0.25">
      <c r="A60" t="s">
        <v>263</v>
      </c>
      <c r="B60">
        <v>281</v>
      </c>
      <c r="C60" t="s">
        <v>71</v>
      </c>
      <c r="D60" t="s">
        <v>676</v>
      </c>
      <c r="E60" t="s">
        <v>195</v>
      </c>
      <c r="F60">
        <v>58.7</v>
      </c>
      <c r="G60" s="1">
        <v>42441</v>
      </c>
      <c r="H60" s="1">
        <v>42490</v>
      </c>
      <c r="I60" t="s">
        <v>73</v>
      </c>
    </row>
    <row r="61" spans="1:9" x14ac:dyDescent="0.25">
      <c r="A61" t="s">
        <v>263</v>
      </c>
      <c r="B61">
        <v>25</v>
      </c>
      <c r="C61" t="s">
        <v>70</v>
      </c>
      <c r="D61" t="s">
        <v>677</v>
      </c>
      <c r="E61" t="s">
        <v>196</v>
      </c>
      <c r="F61">
        <v>131</v>
      </c>
      <c r="G61" s="1">
        <v>42441</v>
      </c>
      <c r="H61" s="1">
        <v>42447</v>
      </c>
      <c r="I61" t="s">
        <v>103</v>
      </c>
    </row>
    <row r="62" spans="1:9" x14ac:dyDescent="0.25">
      <c r="A62" t="s">
        <v>263</v>
      </c>
      <c r="B62">
        <v>26</v>
      </c>
      <c r="C62" t="s">
        <v>70</v>
      </c>
      <c r="D62" t="s">
        <v>678</v>
      </c>
      <c r="E62" t="s">
        <v>197</v>
      </c>
      <c r="F62">
        <v>50</v>
      </c>
      <c r="G62" s="1">
        <v>42441</v>
      </c>
      <c r="H62" s="1">
        <v>42443</v>
      </c>
      <c r="I62" t="s">
        <v>104</v>
      </c>
    </row>
    <row r="63" spans="1:9" x14ac:dyDescent="0.25">
      <c r="A63" t="s">
        <v>263</v>
      </c>
      <c r="B63">
        <v>26</v>
      </c>
      <c r="C63" t="s">
        <v>70</v>
      </c>
      <c r="D63" t="s">
        <v>678</v>
      </c>
      <c r="E63" t="s">
        <v>197</v>
      </c>
      <c r="F63">
        <v>50</v>
      </c>
      <c r="G63" s="1">
        <v>42463</v>
      </c>
      <c r="H63" s="1">
        <v>42468</v>
      </c>
      <c r="I63" t="s">
        <v>73</v>
      </c>
    </row>
    <row r="64" spans="1:9" x14ac:dyDescent="0.25">
      <c r="A64" t="s">
        <v>263</v>
      </c>
      <c r="B64">
        <v>26</v>
      </c>
      <c r="C64" t="s">
        <v>70</v>
      </c>
      <c r="D64" t="s">
        <v>678</v>
      </c>
      <c r="E64" t="s">
        <v>197</v>
      </c>
      <c r="F64">
        <v>50</v>
      </c>
      <c r="G64" s="1">
        <v>42441</v>
      </c>
      <c r="H64" s="1">
        <v>42490</v>
      </c>
      <c r="I64" t="s">
        <v>80</v>
      </c>
    </row>
    <row r="65" spans="1:9" x14ac:dyDescent="0.25">
      <c r="A65" t="s">
        <v>263</v>
      </c>
      <c r="B65">
        <v>27</v>
      </c>
      <c r="C65" t="s">
        <v>70</v>
      </c>
      <c r="D65" t="s">
        <v>679</v>
      </c>
      <c r="E65" t="s">
        <v>198</v>
      </c>
      <c r="F65">
        <v>66</v>
      </c>
      <c r="G65" s="1">
        <v>42463</v>
      </c>
      <c r="H65" s="1">
        <v>42468</v>
      </c>
      <c r="I65" t="s">
        <v>73</v>
      </c>
    </row>
    <row r="66" spans="1:9" x14ac:dyDescent="0.25">
      <c r="A66" t="s">
        <v>263</v>
      </c>
      <c r="B66">
        <v>27</v>
      </c>
      <c r="C66" t="s">
        <v>70</v>
      </c>
      <c r="D66" t="s">
        <v>679</v>
      </c>
      <c r="E66" t="s">
        <v>198</v>
      </c>
      <c r="F66">
        <v>66</v>
      </c>
      <c r="G66" s="1">
        <v>42463</v>
      </c>
      <c r="H66" s="1">
        <v>42468</v>
      </c>
      <c r="I66" t="s">
        <v>73</v>
      </c>
    </row>
    <row r="67" spans="1:9" x14ac:dyDescent="0.25">
      <c r="A67" t="s">
        <v>264</v>
      </c>
      <c r="B67">
        <v>169</v>
      </c>
      <c r="C67" t="s">
        <v>71</v>
      </c>
      <c r="D67" t="s">
        <v>680</v>
      </c>
      <c r="E67" t="s">
        <v>199</v>
      </c>
      <c r="F67">
        <v>175.05</v>
      </c>
      <c r="G67" s="1">
        <v>42441</v>
      </c>
      <c r="H67" s="1">
        <v>42490</v>
      </c>
      <c r="I67" t="s">
        <v>105</v>
      </c>
    </row>
    <row r="68" spans="1:9" x14ac:dyDescent="0.25">
      <c r="A68" t="s">
        <v>264</v>
      </c>
      <c r="B68">
        <v>169</v>
      </c>
      <c r="C68" t="s">
        <v>71</v>
      </c>
      <c r="D68" t="s">
        <v>680</v>
      </c>
      <c r="E68" t="s">
        <v>199</v>
      </c>
      <c r="F68">
        <v>175.05</v>
      </c>
      <c r="G68" s="1">
        <v>42441</v>
      </c>
      <c r="H68" s="1">
        <v>42458</v>
      </c>
      <c r="I68" t="s">
        <v>106</v>
      </c>
    </row>
    <row r="69" spans="1:9" x14ac:dyDescent="0.25">
      <c r="A69" t="s">
        <v>264</v>
      </c>
      <c r="B69">
        <v>173</v>
      </c>
      <c r="C69" t="s">
        <v>71</v>
      </c>
      <c r="D69" t="s">
        <v>681</v>
      </c>
      <c r="E69" t="s">
        <v>200</v>
      </c>
      <c r="F69">
        <v>100</v>
      </c>
      <c r="G69" s="1">
        <v>42450</v>
      </c>
      <c r="H69" s="1">
        <v>42459</v>
      </c>
      <c r="I69" t="s">
        <v>73</v>
      </c>
    </row>
    <row r="70" spans="1:9" x14ac:dyDescent="0.25">
      <c r="A70" t="s">
        <v>264</v>
      </c>
      <c r="B70">
        <v>173</v>
      </c>
      <c r="C70" t="s">
        <v>71</v>
      </c>
      <c r="D70" t="s">
        <v>681</v>
      </c>
      <c r="E70" t="s">
        <v>200</v>
      </c>
      <c r="F70">
        <v>100</v>
      </c>
      <c r="G70" s="1">
        <v>42450</v>
      </c>
      <c r="H70" s="1">
        <v>42490</v>
      </c>
      <c r="I70" t="s">
        <v>73</v>
      </c>
    </row>
    <row r="71" spans="1:9" x14ac:dyDescent="0.25">
      <c r="A71" t="s">
        <v>264</v>
      </c>
      <c r="B71">
        <v>173</v>
      </c>
      <c r="C71" t="s">
        <v>71</v>
      </c>
      <c r="D71" t="s">
        <v>681</v>
      </c>
      <c r="E71" t="s">
        <v>200</v>
      </c>
      <c r="F71">
        <v>100</v>
      </c>
      <c r="G71" s="1">
        <v>42471</v>
      </c>
      <c r="H71" s="1">
        <v>42481</v>
      </c>
      <c r="I71" t="s">
        <v>107</v>
      </c>
    </row>
    <row r="72" spans="1:9" x14ac:dyDescent="0.25">
      <c r="A72" t="s">
        <v>264</v>
      </c>
      <c r="B72">
        <v>173</v>
      </c>
      <c r="C72" t="s">
        <v>71</v>
      </c>
      <c r="D72" t="s">
        <v>681</v>
      </c>
      <c r="E72" t="s">
        <v>200</v>
      </c>
      <c r="F72">
        <v>100</v>
      </c>
      <c r="G72" s="1">
        <v>42471</v>
      </c>
      <c r="H72" s="1">
        <v>42490</v>
      </c>
      <c r="I72" t="s">
        <v>73</v>
      </c>
    </row>
    <row r="73" spans="1:9" x14ac:dyDescent="0.25">
      <c r="A73" t="s">
        <v>264</v>
      </c>
      <c r="B73">
        <v>174</v>
      </c>
      <c r="C73" t="s">
        <v>71</v>
      </c>
      <c r="D73" t="s">
        <v>682</v>
      </c>
      <c r="E73" t="s">
        <v>201</v>
      </c>
      <c r="F73">
        <v>70</v>
      </c>
      <c r="G73" s="1">
        <v>42458</v>
      </c>
      <c r="H73" s="1">
        <v>42460</v>
      </c>
      <c r="I73" t="s">
        <v>73</v>
      </c>
    </row>
    <row r="74" spans="1:9" x14ac:dyDescent="0.25">
      <c r="A74" t="s">
        <v>264</v>
      </c>
      <c r="B74">
        <v>174</v>
      </c>
      <c r="C74" t="s">
        <v>71</v>
      </c>
      <c r="D74" t="s">
        <v>682</v>
      </c>
      <c r="E74" t="s">
        <v>201</v>
      </c>
      <c r="F74">
        <v>76</v>
      </c>
      <c r="G74" s="1">
        <v>42441</v>
      </c>
      <c r="H74" s="1">
        <v>42459</v>
      </c>
      <c r="I74" t="s">
        <v>106</v>
      </c>
    </row>
    <row r="75" spans="1:9" x14ac:dyDescent="0.25">
      <c r="A75" t="s">
        <v>264</v>
      </c>
      <c r="B75">
        <v>174</v>
      </c>
      <c r="C75" t="s">
        <v>71</v>
      </c>
      <c r="D75" t="s">
        <v>682</v>
      </c>
      <c r="E75" t="s">
        <v>201</v>
      </c>
      <c r="F75">
        <v>198.55</v>
      </c>
      <c r="G75" s="1">
        <v>42441</v>
      </c>
      <c r="H75" s="1">
        <v>42460</v>
      </c>
      <c r="I75" t="s">
        <v>80</v>
      </c>
    </row>
    <row r="76" spans="1:9" x14ac:dyDescent="0.25">
      <c r="A76" t="s">
        <v>264</v>
      </c>
      <c r="B76">
        <v>174</v>
      </c>
      <c r="C76" t="s">
        <v>71</v>
      </c>
      <c r="D76" t="s">
        <v>682</v>
      </c>
      <c r="E76" t="s">
        <v>201</v>
      </c>
      <c r="F76">
        <v>198.55</v>
      </c>
      <c r="G76" s="1">
        <v>42464</v>
      </c>
      <c r="H76" s="1">
        <v>42490</v>
      </c>
      <c r="I76" t="s">
        <v>80</v>
      </c>
    </row>
    <row r="77" spans="1:9" x14ac:dyDescent="0.25">
      <c r="A77" t="s">
        <v>264</v>
      </c>
      <c r="B77">
        <v>175</v>
      </c>
      <c r="C77" t="s">
        <v>71</v>
      </c>
      <c r="D77" t="s">
        <v>683</v>
      </c>
      <c r="E77" t="s">
        <v>202</v>
      </c>
      <c r="F77">
        <v>410.4</v>
      </c>
      <c r="G77" s="1">
        <v>42445</v>
      </c>
      <c r="H77" s="1">
        <v>42445</v>
      </c>
      <c r="I77" t="s">
        <v>108</v>
      </c>
    </row>
    <row r="78" spans="1:9" x14ac:dyDescent="0.25">
      <c r="A78" t="s">
        <v>264</v>
      </c>
      <c r="B78">
        <v>175</v>
      </c>
      <c r="C78" t="s">
        <v>71</v>
      </c>
      <c r="D78" t="s">
        <v>683</v>
      </c>
      <c r="E78" t="s">
        <v>202</v>
      </c>
      <c r="F78">
        <v>410.4</v>
      </c>
      <c r="G78" s="1">
        <v>42441</v>
      </c>
      <c r="H78" s="1">
        <v>42443</v>
      </c>
      <c r="I78" t="s">
        <v>73</v>
      </c>
    </row>
    <row r="79" spans="1:9" x14ac:dyDescent="0.25">
      <c r="A79" t="s">
        <v>264</v>
      </c>
      <c r="B79">
        <v>175</v>
      </c>
      <c r="C79" t="s">
        <v>71</v>
      </c>
      <c r="D79" t="s">
        <v>683</v>
      </c>
      <c r="E79" t="s">
        <v>202</v>
      </c>
      <c r="F79">
        <v>410.4</v>
      </c>
      <c r="G79" s="1">
        <v>42441</v>
      </c>
      <c r="H79" s="1">
        <v>42490</v>
      </c>
      <c r="I79" t="s">
        <v>73</v>
      </c>
    </row>
    <row r="80" spans="1:9" x14ac:dyDescent="0.25">
      <c r="A80" t="s">
        <v>264</v>
      </c>
      <c r="B80">
        <v>175</v>
      </c>
      <c r="C80" t="s">
        <v>71</v>
      </c>
      <c r="D80" t="s">
        <v>683</v>
      </c>
      <c r="E80" t="s">
        <v>202</v>
      </c>
      <c r="F80">
        <v>410.4</v>
      </c>
      <c r="G80" s="1">
        <v>42441</v>
      </c>
      <c r="H80" s="1">
        <v>42490</v>
      </c>
      <c r="I80" t="s">
        <v>80</v>
      </c>
    </row>
    <row r="81" spans="1:9" x14ac:dyDescent="0.25">
      <c r="A81" t="s">
        <v>264</v>
      </c>
      <c r="B81">
        <v>175</v>
      </c>
      <c r="C81" t="s">
        <v>71</v>
      </c>
      <c r="D81" t="s">
        <v>683</v>
      </c>
      <c r="E81" t="s">
        <v>202</v>
      </c>
      <c r="F81">
        <v>410.4</v>
      </c>
      <c r="G81" s="1">
        <v>42441</v>
      </c>
      <c r="H81" s="1">
        <v>42490</v>
      </c>
      <c r="I81" t="s">
        <v>109</v>
      </c>
    </row>
    <row r="82" spans="1:9" x14ac:dyDescent="0.25">
      <c r="A82" t="s">
        <v>264</v>
      </c>
      <c r="B82">
        <v>178</v>
      </c>
      <c r="C82" t="s">
        <v>71</v>
      </c>
      <c r="D82" t="s">
        <v>684</v>
      </c>
      <c r="E82" t="s">
        <v>203</v>
      </c>
      <c r="F82">
        <v>527</v>
      </c>
      <c r="G82" s="1">
        <v>42441</v>
      </c>
      <c r="H82" s="1">
        <v>42488</v>
      </c>
      <c r="I82" t="s">
        <v>80</v>
      </c>
    </row>
    <row r="83" spans="1:9" x14ac:dyDescent="0.25">
      <c r="A83" t="s">
        <v>264</v>
      </c>
      <c r="B83">
        <v>84</v>
      </c>
      <c r="C83" t="s">
        <v>70</v>
      </c>
      <c r="D83" t="s">
        <v>685</v>
      </c>
      <c r="E83" t="s">
        <v>204</v>
      </c>
      <c r="F83">
        <v>68.912000000000006</v>
      </c>
      <c r="G83" s="1">
        <v>42441</v>
      </c>
      <c r="H83" s="1">
        <v>42490</v>
      </c>
      <c r="I83" t="s">
        <v>110</v>
      </c>
    </row>
    <row r="84" spans="1:9" x14ac:dyDescent="0.25">
      <c r="A84" t="s">
        <v>264</v>
      </c>
      <c r="B84">
        <v>84</v>
      </c>
      <c r="C84" t="s">
        <v>70</v>
      </c>
      <c r="D84" t="s">
        <v>685</v>
      </c>
      <c r="E84" t="s">
        <v>204</v>
      </c>
      <c r="F84">
        <v>69.495999999999995</v>
      </c>
      <c r="G84" s="1">
        <v>42441</v>
      </c>
      <c r="H84" s="1">
        <v>42490</v>
      </c>
      <c r="I84" t="s">
        <v>110</v>
      </c>
    </row>
    <row r="85" spans="1:9" x14ac:dyDescent="0.25">
      <c r="A85" t="s">
        <v>264</v>
      </c>
      <c r="B85">
        <v>84</v>
      </c>
      <c r="C85" t="s">
        <v>70</v>
      </c>
      <c r="D85" t="s">
        <v>685</v>
      </c>
      <c r="E85" t="s">
        <v>204</v>
      </c>
      <c r="F85">
        <v>69.406999999999996</v>
      </c>
      <c r="G85" s="1">
        <v>42441</v>
      </c>
      <c r="H85" s="1">
        <v>42490</v>
      </c>
      <c r="I85" t="s">
        <v>110</v>
      </c>
    </row>
    <row r="86" spans="1:9" x14ac:dyDescent="0.25">
      <c r="A86" t="s">
        <v>264</v>
      </c>
      <c r="B86">
        <v>84</v>
      </c>
      <c r="C86" t="s">
        <v>70</v>
      </c>
      <c r="D86" t="s">
        <v>685</v>
      </c>
      <c r="E86" t="s">
        <v>204</v>
      </c>
      <c r="F86">
        <v>69.87</v>
      </c>
      <c r="G86" s="1">
        <v>42441</v>
      </c>
      <c r="H86" s="1">
        <v>42490</v>
      </c>
      <c r="I86" t="s">
        <v>110</v>
      </c>
    </row>
    <row r="87" spans="1:9" x14ac:dyDescent="0.25">
      <c r="A87" t="s">
        <v>265</v>
      </c>
      <c r="B87">
        <v>275</v>
      </c>
      <c r="C87" t="s">
        <v>71</v>
      </c>
      <c r="D87" t="s">
        <v>686</v>
      </c>
      <c r="E87" t="s">
        <v>205</v>
      </c>
      <c r="F87">
        <v>350</v>
      </c>
      <c r="G87" s="1">
        <v>42441</v>
      </c>
      <c r="H87" s="1">
        <v>42490</v>
      </c>
      <c r="I87" t="s">
        <v>111</v>
      </c>
    </row>
    <row r="88" spans="1:9" x14ac:dyDescent="0.25">
      <c r="A88" t="s">
        <v>265</v>
      </c>
      <c r="B88">
        <v>275</v>
      </c>
      <c r="C88" t="s">
        <v>71</v>
      </c>
      <c r="D88" t="s">
        <v>686</v>
      </c>
      <c r="E88" t="s">
        <v>205</v>
      </c>
      <c r="F88">
        <v>350</v>
      </c>
      <c r="G88" s="1">
        <v>42441</v>
      </c>
      <c r="H88" s="1">
        <v>42490</v>
      </c>
      <c r="I88" t="s">
        <v>112</v>
      </c>
    </row>
    <row r="89" spans="1:9" x14ac:dyDescent="0.25">
      <c r="A89" t="s">
        <v>265</v>
      </c>
      <c r="B89">
        <v>279</v>
      </c>
      <c r="C89" t="s">
        <v>71</v>
      </c>
      <c r="D89" t="s">
        <v>687</v>
      </c>
      <c r="E89" t="s">
        <v>206</v>
      </c>
      <c r="F89">
        <v>43.35</v>
      </c>
      <c r="G89" s="1">
        <v>42464</v>
      </c>
      <c r="H89" s="1">
        <v>42490</v>
      </c>
      <c r="I89" t="s">
        <v>113</v>
      </c>
    </row>
    <row r="90" spans="1:9" x14ac:dyDescent="0.25">
      <c r="A90" t="s">
        <v>265</v>
      </c>
      <c r="B90">
        <v>94</v>
      </c>
      <c r="C90" t="s">
        <v>70</v>
      </c>
      <c r="D90" t="s">
        <v>688</v>
      </c>
      <c r="E90" t="s">
        <v>207</v>
      </c>
      <c r="F90">
        <v>16.68</v>
      </c>
      <c r="G90" s="1">
        <v>42441</v>
      </c>
      <c r="H90" s="1">
        <v>42459</v>
      </c>
      <c r="I90" t="s">
        <v>114</v>
      </c>
    </row>
    <row r="91" spans="1:9" x14ac:dyDescent="0.25">
      <c r="A91" t="s">
        <v>265</v>
      </c>
      <c r="B91">
        <v>94</v>
      </c>
      <c r="C91" t="s">
        <v>70</v>
      </c>
      <c r="D91" t="s">
        <v>688</v>
      </c>
      <c r="E91" t="s">
        <v>207</v>
      </c>
      <c r="F91">
        <v>16.68</v>
      </c>
      <c r="G91" s="1">
        <v>42441</v>
      </c>
      <c r="H91" s="1">
        <v>42459</v>
      </c>
      <c r="I91" t="s">
        <v>115</v>
      </c>
    </row>
    <row r="92" spans="1:9" x14ac:dyDescent="0.25">
      <c r="A92" t="s">
        <v>265</v>
      </c>
      <c r="B92">
        <v>208</v>
      </c>
      <c r="C92" t="s">
        <v>70</v>
      </c>
      <c r="D92" t="s">
        <v>689</v>
      </c>
      <c r="E92" t="s">
        <v>208</v>
      </c>
      <c r="F92">
        <v>14.53</v>
      </c>
      <c r="G92" s="1">
        <v>42441</v>
      </c>
      <c r="H92" s="1">
        <v>42490</v>
      </c>
      <c r="I92" t="s">
        <v>115</v>
      </c>
    </row>
    <row r="93" spans="1:9" x14ac:dyDescent="0.25">
      <c r="A93" t="s">
        <v>265</v>
      </c>
      <c r="B93">
        <v>208</v>
      </c>
      <c r="C93" t="s">
        <v>70</v>
      </c>
      <c r="D93" t="s">
        <v>689</v>
      </c>
      <c r="E93" t="s">
        <v>208</v>
      </c>
      <c r="F93">
        <v>14.53</v>
      </c>
      <c r="G93" s="1">
        <v>42441</v>
      </c>
      <c r="H93" s="1">
        <v>42490</v>
      </c>
      <c r="I93" t="s">
        <v>116</v>
      </c>
    </row>
    <row r="94" spans="1:9" x14ac:dyDescent="0.25">
      <c r="A94" t="s">
        <v>265</v>
      </c>
      <c r="B94">
        <v>208</v>
      </c>
      <c r="C94" t="s">
        <v>70</v>
      </c>
      <c r="D94" t="s">
        <v>689</v>
      </c>
      <c r="E94" t="s">
        <v>208</v>
      </c>
      <c r="F94">
        <v>14.53</v>
      </c>
      <c r="G94" s="1">
        <v>42441</v>
      </c>
      <c r="H94" s="1">
        <v>42490</v>
      </c>
      <c r="I94" t="s">
        <v>117</v>
      </c>
    </row>
    <row r="95" spans="1:9" x14ac:dyDescent="0.25">
      <c r="A95" t="s">
        <v>266</v>
      </c>
      <c r="B95">
        <v>32</v>
      </c>
      <c r="C95" t="s">
        <v>71</v>
      </c>
      <c r="D95" t="s">
        <v>690</v>
      </c>
      <c r="E95" t="s">
        <v>209</v>
      </c>
      <c r="F95">
        <v>54</v>
      </c>
      <c r="G95" s="1">
        <v>42441</v>
      </c>
      <c r="H95" s="1">
        <v>42490</v>
      </c>
      <c r="I95" t="s">
        <v>73</v>
      </c>
    </row>
    <row r="96" spans="1:9" x14ac:dyDescent="0.25">
      <c r="A96" t="s">
        <v>266</v>
      </c>
      <c r="B96">
        <v>32</v>
      </c>
      <c r="C96" t="s">
        <v>71</v>
      </c>
      <c r="D96" t="s">
        <v>690</v>
      </c>
      <c r="E96" t="s">
        <v>209</v>
      </c>
      <c r="F96">
        <v>84</v>
      </c>
      <c r="G96" s="1">
        <v>42443</v>
      </c>
      <c r="H96" s="1">
        <v>42458</v>
      </c>
      <c r="I96" t="s">
        <v>73</v>
      </c>
    </row>
    <row r="97" spans="1:9" x14ac:dyDescent="0.25">
      <c r="A97" t="s">
        <v>266</v>
      </c>
      <c r="B97">
        <v>32</v>
      </c>
      <c r="C97" t="s">
        <v>71</v>
      </c>
      <c r="D97" t="s">
        <v>690</v>
      </c>
      <c r="E97" t="s">
        <v>209</v>
      </c>
      <c r="F97">
        <v>105</v>
      </c>
      <c r="G97" s="1">
        <v>42457</v>
      </c>
      <c r="H97" s="1">
        <v>42457</v>
      </c>
      <c r="I97" t="s">
        <v>118</v>
      </c>
    </row>
    <row r="98" spans="1:9" x14ac:dyDescent="0.25">
      <c r="A98" t="s">
        <v>267</v>
      </c>
      <c r="B98">
        <v>49</v>
      </c>
      <c r="C98" t="s">
        <v>71</v>
      </c>
      <c r="D98" t="s">
        <v>691</v>
      </c>
      <c r="E98" t="s">
        <v>210</v>
      </c>
      <c r="F98">
        <v>103.5</v>
      </c>
      <c r="G98" s="1">
        <v>42441</v>
      </c>
      <c r="H98" s="1">
        <v>42471</v>
      </c>
      <c r="I98" t="s">
        <v>119</v>
      </c>
    </row>
    <row r="99" spans="1:9" x14ac:dyDescent="0.25">
      <c r="A99" t="s">
        <v>267</v>
      </c>
      <c r="B99">
        <v>61</v>
      </c>
      <c r="C99" t="s">
        <v>71</v>
      </c>
      <c r="D99" t="s">
        <v>692</v>
      </c>
      <c r="E99" t="s">
        <v>211</v>
      </c>
      <c r="F99">
        <v>152</v>
      </c>
      <c r="G99" s="1">
        <v>42443</v>
      </c>
      <c r="H99" s="1">
        <v>42455</v>
      </c>
      <c r="I99" t="s">
        <v>120</v>
      </c>
    </row>
    <row r="100" spans="1:9" x14ac:dyDescent="0.25">
      <c r="A100" t="s">
        <v>268</v>
      </c>
      <c r="B100">
        <v>14</v>
      </c>
      <c r="C100" t="s">
        <v>71</v>
      </c>
      <c r="D100" t="s">
        <v>693</v>
      </c>
      <c r="E100" t="s">
        <v>212</v>
      </c>
      <c r="F100">
        <v>39.200000000000003</v>
      </c>
      <c r="G100" s="1">
        <v>42441</v>
      </c>
      <c r="H100" s="1">
        <v>42446</v>
      </c>
      <c r="I100" t="s">
        <v>121</v>
      </c>
    </row>
    <row r="101" spans="1:9" x14ac:dyDescent="0.25">
      <c r="A101" t="s">
        <v>268</v>
      </c>
      <c r="B101">
        <v>18</v>
      </c>
      <c r="C101" t="s">
        <v>71</v>
      </c>
      <c r="D101" t="s">
        <v>694</v>
      </c>
      <c r="E101" t="s">
        <v>213</v>
      </c>
      <c r="F101">
        <v>232.7</v>
      </c>
      <c r="G101" s="1">
        <v>42441</v>
      </c>
      <c r="H101" s="1">
        <v>42490</v>
      </c>
      <c r="I101" t="s">
        <v>122</v>
      </c>
    </row>
    <row r="102" spans="1:9" x14ac:dyDescent="0.25">
      <c r="A102" t="s">
        <v>268</v>
      </c>
      <c r="B102">
        <v>37</v>
      </c>
      <c r="C102" t="s">
        <v>71</v>
      </c>
      <c r="D102" t="s">
        <v>695</v>
      </c>
      <c r="E102" t="s">
        <v>214</v>
      </c>
      <c r="F102">
        <v>35</v>
      </c>
      <c r="G102" s="1">
        <v>42441</v>
      </c>
      <c r="H102" s="1">
        <v>42456</v>
      </c>
      <c r="I102" t="s">
        <v>123</v>
      </c>
    </row>
    <row r="103" spans="1:9" x14ac:dyDescent="0.25">
      <c r="A103" t="s">
        <v>268</v>
      </c>
      <c r="B103">
        <v>40</v>
      </c>
      <c r="C103" t="s">
        <v>71</v>
      </c>
      <c r="D103" t="s">
        <v>696</v>
      </c>
      <c r="E103" t="s">
        <v>215</v>
      </c>
      <c r="F103">
        <v>88</v>
      </c>
      <c r="G103" s="1">
        <v>42452</v>
      </c>
      <c r="H103" s="1">
        <v>42483</v>
      </c>
      <c r="I103" t="s">
        <v>124</v>
      </c>
    </row>
    <row r="104" spans="1:9" x14ac:dyDescent="0.25">
      <c r="A104" t="s">
        <v>269</v>
      </c>
      <c r="B104">
        <v>171</v>
      </c>
      <c r="C104" t="s">
        <v>70</v>
      </c>
      <c r="D104" t="s">
        <v>697</v>
      </c>
      <c r="E104" t="s">
        <v>216</v>
      </c>
      <c r="F104">
        <v>177.7</v>
      </c>
      <c r="G104" s="1">
        <v>42441</v>
      </c>
      <c r="H104" s="1">
        <v>42449</v>
      </c>
      <c r="I104" t="s">
        <v>125</v>
      </c>
    </row>
    <row r="105" spans="1:9" x14ac:dyDescent="0.25">
      <c r="A105" t="s">
        <v>269</v>
      </c>
      <c r="B105">
        <v>171</v>
      </c>
      <c r="C105" t="s">
        <v>70</v>
      </c>
      <c r="D105" t="s">
        <v>697</v>
      </c>
      <c r="E105" t="s">
        <v>216</v>
      </c>
      <c r="F105">
        <v>178.25</v>
      </c>
      <c r="G105" s="1">
        <v>42441</v>
      </c>
      <c r="H105" s="1">
        <v>42449</v>
      </c>
      <c r="I105" t="s">
        <v>125</v>
      </c>
    </row>
    <row r="106" spans="1:9" x14ac:dyDescent="0.25">
      <c r="A106" t="s">
        <v>269</v>
      </c>
      <c r="B106">
        <v>171</v>
      </c>
      <c r="C106" t="s">
        <v>70</v>
      </c>
      <c r="D106" t="s">
        <v>697</v>
      </c>
      <c r="E106" t="s">
        <v>216</v>
      </c>
      <c r="F106">
        <v>179.84</v>
      </c>
      <c r="G106" s="1">
        <v>42441</v>
      </c>
      <c r="H106" s="1">
        <v>42449</v>
      </c>
      <c r="I106" t="s">
        <v>125</v>
      </c>
    </row>
    <row r="107" spans="1:9" x14ac:dyDescent="0.25">
      <c r="A107" t="s">
        <v>269</v>
      </c>
      <c r="B107">
        <v>171</v>
      </c>
      <c r="C107" t="s">
        <v>70</v>
      </c>
      <c r="D107" t="s">
        <v>697</v>
      </c>
      <c r="E107" t="s">
        <v>216</v>
      </c>
      <c r="F107">
        <v>290.99</v>
      </c>
      <c r="G107" s="1">
        <v>42441</v>
      </c>
      <c r="H107" s="1">
        <v>42449</v>
      </c>
      <c r="I107" t="s">
        <v>126</v>
      </c>
    </row>
    <row r="108" spans="1:9" x14ac:dyDescent="0.25">
      <c r="A108" t="s">
        <v>270</v>
      </c>
      <c r="B108">
        <v>58</v>
      </c>
      <c r="C108" t="s">
        <v>70</v>
      </c>
      <c r="D108" t="s">
        <v>698</v>
      </c>
      <c r="E108" t="s">
        <v>217</v>
      </c>
      <c r="F108">
        <v>55</v>
      </c>
      <c r="G108" s="1">
        <v>42441</v>
      </c>
      <c r="H108" s="1">
        <v>42490</v>
      </c>
      <c r="I108" t="s">
        <v>127</v>
      </c>
    </row>
    <row r="109" spans="1:9" x14ac:dyDescent="0.25">
      <c r="A109" t="s">
        <v>270</v>
      </c>
      <c r="B109">
        <v>58</v>
      </c>
      <c r="C109" t="s">
        <v>70</v>
      </c>
      <c r="D109" t="s">
        <v>698</v>
      </c>
      <c r="E109" t="s">
        <v>217</v>
      </c>
      <c r="F109">
        <v>55</v>
      </c>
      <c r="G109" s="1">
        <v>42441</v>
      </c>
      <c r="H109" s="1">
        <v>42490</v>
      </c>
      <c r="I109" t="s">
        <v>127</v>
      </c>
    </row>
    <row r="110" spans="1:9" x14ac:dyDescent="0.25">
      <c r="A110" t="s">
        <v>270</v>
      </c>
      <c r="B110">
        <v>90</v>
      </c>
      <c r="C110" t="s">
        <v>70</v>
      </c>
      <c r="D110" t="s">
        <v>699</v>
      </c>
      <c r="E110" t="s">
        <v>218</v>
      </c>
      <c r="F110">
        <v>46.124000000000002</v>
      </c>
      <c r="G110" s="1">
        <v>42441</v>
      </c>
      <c r="H110" s="1">
        <v>42490</v>
      </c>
      <c r="I110" t="s">
        <v>128</v>
      </c>
    </row>
    <row r="111" spans="1:9" x14ac:dyDescent="0.25">
      <c r="A111" t="s">
        <v>270</v>
      </c>
      <c r="B111">
        <v>110</v>
      </c>
      <c r="C111" t="s">
        <v>70</v>
      </c>
      <c r="D111" t="s">
        <v>700</v>
      </c>
      <c r="E111" t="s">
        <v>219</v>
      </c>
      <c r="F111">
        <v>95</v>
      </c>
      <c r="G111" s="1">
        <v>42441</v>
      </c>
      <c r="H111" s="1">
        <v>42445</v>
      </c>
      <c r="I111" t="s">
        <v>129</v>
      </c>
    </row>
    <row r="112" spans="1:9" x14ac:dyDescent="0.25">
      <c r="A112" t="s">
        <v>270</v>
      </c>
      <c r="B112">
        <v>110</v>
      </c>
      <c r="C112" t="s">
        <v>70</v>
      </c>
      <c r="D112" t="s">
        <v>700</v>
      </c>
      <c r="E112" t="s">
        <v>219</v>
      </c>
      <c r="F112">
        <v>96.364000000000004</v>
      </c>
      <c r="G112" s="1">
        <v>42441</v>
      </c>
      <c r="H112" s="1">
        <v>42446</v>
      </c>
      <c r="I112" t="s">
        <v>130</v>
      </c>
    </row>
    <row r="113" spans="1:9" x14ac:dyDescent="0.25">
      <c r="A113" t="s">
        <v>270</v>
      </c>
      <c r="B113">
        <v>112</v>
      </c>
      <c r="C113" t="s">
        <v>70</v>
      </c>
      <c r="D113" t="s">
        <v>701</v>
      </c>
      <c r="E113" t="s">
        <v>220</v>
      </c>
      <c r="F113">
        <v>10.6</v>
      </c>
      <c r="G113" s="1">
        <v>42450</v>
      </c>
      <c r="H113" s="1">
        <v>42456</v>
      </c>
      <c r="I113" t="s">
        <v>129</v>
      </c>
    </row>
    <row r="114" spans="1:9" x14ac:dyDescent="0.25">
      <c r="A114" t="s">
        <v>270</v>
      </c>
      <c r="B114">
        <v>164</v>
      </c>
      <c r="C114" t="s">
        <v>70</v>
      </c>
      <c r="D114" t="s">
        <v>702</v>
      </c>
      <c r="E114" t="s">
        <v>221</v>
      </c>
      <c r="F114">
        <v>18.271000000000001</v>
      </c>
      <c r="G114" s="1">
        <v>42453</v>
      </c>
      <c r="H114" s="1">
        <v>42457</v>
      </c>
      <c r="I114" t="s">
        <v>129</v>
      </c>
    </row>
    <row r="115" spans="1:9" x14ac:dyDescent="0.25">
      <c r="A115" t="s">
        <v>270</v>
      </c>
      <c r="B115">
        <v>164</v>
      </c>
      <c r="C115" t="s">
        <v>70</v>
      </c>
      <c r="D115" t="s">
        <v>702</v>
      </c>
      <c r="E115" t="s">
        <v>221</v>
      </c>
      <c r="F115">
        <v>18.3521</v>
      </c>
      <c r="G115" s="1">
        <v>42441</v>
      </c>
      <c r="H115" s="1">
        <v>42451</v>
      </c>
      <c r="I115" t="s">
        <v>131</v>
      </c>
    </row>
    <row r="116" spans="1:9" x14ac:dyDescent="0.25">
      <c r="A116" t="s">
        <v>270</v>
      </c>
      <c r="B116">
        <v>164</v>
      </c>
      <c r="C116" t="s">
        <v>70</v>
      </c>
      <c r="D116" t="s">
        <v>702</v>
      </c>
      <c r="E116" t="s">
        <v>221</v>
      </c>
      <c r="F116">
        <v>18.462399999999999</v>
      </c>
      <c r="G116" s="1">
        <v>42459</v>
      </c>
      <c r="H116" s="1">
        <v>42466</v>
      </c>
      <c r="I116" t="s">
        <v>129</v>
      </c>
    </row>
    <row r="117" spans="1:9" x14ac:dyDescent="0.25">
      <c r="A117" t="s">
        <v>270</v>
      </c>
      <c r="B117">
        <v>164</v>
      </c>
      <c r="C117" t="s">
        <v>70</v>
      </c>
      <c r="D117" t="s">
        <v>702</v>
      </c>
      <c r="E117" t="s">
        <v>221</v>
      </c>
      <c r="F117">
        <v>18.4435</v>
      </c>
      <c r="G117" s="1">
        <v>42443</v>
      </c>
      <c r="H117" s="1">
        <v>42451</v>
      </c>
      <c r="I117" t="s">
        <v>129</v>
      </c>
    </row>
    <row r="118" spans="1:9" x14ac:dyDescent="0.25">
      <c r="A118" t="s">
        <v>270</v>
      </c>
      <c r="B118">
        <v>164</v>
      </c>
      <c r="C118" t="s">
        <v>70</v>
      </c>
      <c r="D118" t="s">
        <v>702</v>
      </c>
      <c r="E118" t="s">
        <v>221</v>
      </c>
      <c r="F118">
        <v>18.526599999999998</v>
      </c>
      <c r="G118" s="1">
        <v>42441</v>
      </c>
      <c r="H118" s="1">
        <v>42447</v>
      </c>
      <c r="I118" t="s">
        <v>132</v>
      </c>
    </row>
    <row r="119" spans="1:9" x14ac:dyDescent="0.25">
      <c r="A119" t="s">
        <v>270</v>
      </c>
      <c r="B119">
        <v>166</v>
      </c>
      <c r="C119" t="s">
        <v>70</v>
      </c>
      <c r="D119" t="s">
        <v>703</v>
      </c>
      <c r="E119" t="s">
        <v>222</v>
      </c>
      <c r="F119">
        <v>30</v>
      </c>
      <c r="G119" s="1">
        <v>42441</v>
      </c>
      <c r="H119" s="1">
        <v>42490</v>
      </c>
      <c r="I119" t="s">
        <v>133</v>
      </c>
    </row>
    <row r="120" spans="1:9" x14ac:dyDescent="0.25">
      <c r="A120" t="s">
        <v>270</v>
      </c>
      <c r="B120">
        <v>166</v>
      </c>
      <c r="C120" t="s">
        <v>70</v>
      </c>
      <c r="D120" t="s">
        <v>703</v>
      </c>
      <c r="E120" t="s">
        <v>222</v>
      </c>
      <c r="F120">
        <v>40</v>
      </c>
      <c r="G120" s="1">
        <v>42441</v>
      </c>
      <c r="H120" s="1">
        <v>42490</v>
      </c>
      <c r="I120" t="s">
        <v>133</v>
      </c>
    </row>
    <row r="121" spans="1:9" x14ac:dyDescent="0.25">
      <c r="A121" t="s">
        <v>270</v>
      </c>
      <c r="B121">
        <v>166</v>
      </c>
      <c r="C121" t="s">
        <v>70</v>
      </c>
      <c r="D121" t="s">
        <v>703</v>
      </c>
      <c r="E121" t="s">
        <v>222</v>
      </c>
      <c r="F121">
        <v>40</v>
      </c>
      <c r="G121" s="1">
        <v>42441</v>
      </c>
      <c r="H121" s="1">
        <v>42490</v>
      </c>
      <c r="I121" t="s">
        <v>133</v>
      </c>
    </row>
    <row r="122" spans="1:9" x14ac:dyDescent="0.25">
      <c r="A122" t="s">
        <v>270</v>
      </c>
      <c r="B122">
        <v>166</v>
      </c>
      <c r="C122" t="s">
        <v>70</v>
      </c>
      <c r="D122" t="s">
        <v>703</v>
      </c>
      <c r="E122" t="s">
        <v>222</v>
      </c>
      <c r="F122">
        <v>40</v>
      </c>
      <c r="G122" s="1">
        <v>42441</v>
      </c>
      <c r="H122" s="1">
        <v>42490</v>
      </c>
      <c r="I122" t="s">
        <v>133</v>
      </c>
    </row>
    <row r="123" spans="1:9" x14ac:dyDescent="0.25">
      <c r="A123" t="s">
        <v>270</v>
      </c>
      <c r="B123">
        <v>211</v>
      </c>
      <c r="C123" t="s">
        <v>70</v>
      </c>
      <c r="D123" t="s">
        <v>704</v>
      </c>
      <c r="E123" t="s">
        <v>223</v>
      </c>
      <c r="F123">
        <v>172</v>
      </c>
      <c r="G123" s="1">
        <v>42442</v>
      </c>
      <c r="H123" s="1">
        <v>42451</v>
      </c>
      <c r="I123" t="s">
        <v>134</v>
      </c>
    </row>
    <row r="124" spans="1:9" x14ac:dyDescent="0.25">
      <c r="A124" t="s">
        <v>270</v>
      </c>
      <c r="B124">
        <v>211</v>
      </c>
      <c r="C124" t="s">
        <v>70</v>
      </c>
      <c r="D124" t="s">
        <v>704</v>
      </c>
      <c r="E124" t="s">
        <v>223</v>
      </c>
      <c r="F124">
        <v>172</v>
      </c>
      <c r="G124" s="1">
        <v>42442</v>
      </c>
      <c r="H124" s="1">
        <v>42451</v>
      </c>
      <c r="I124" t="s">
        <v>134</v>
      </c>
    </row>
    <row r="125" spans="1:9" x14ac:dyDescent="0.25">
      <c r="A125" t="s">
        <v>270</v>
      </c>
      <c r="B125">
        <v>211</v>
      </c>
      <c r="C125" t="s">
        <v>70</v>
      </c>
      <c r="D125" t="s">
        <v>704</v>
      </c>
      <c r="E125" t="s">
        <v>223</v>
      </c>
      <c r="F125">
        <v>186</v>
      </c>
      <c r="G125" s="1">
        <v>42442</v>
      </c>
      <c r="H125" s="1">
        <v>42451</v>
      </c>
      <c r="I125" t="s">
        <v>134</v>
      </c>
    </row>
    <row r="126" spans="1:9" x14ac:dyDescent="0.25">
      <c r="A126" t="s">
        <v>270</v>
      </c>
      <c r="B126">
        <v>213</v>
      </c>
      <c r="C126" t="s">
        <v>70</v>
      </c>
      <c r="D126" t="s">
        <v>705</v>
      </c>
      <c r="E126" t="s">
        <v>224</v>
      </c>
      <c r="F126">
        <v>48.24</v>
      </c>
      <c r="G126" s="1">
        <v>42441</v>
      </c>
      <c r="H126" s="1">
        <v>42490</v>
      </c>
      <c r="I126" t="s">
        <v>135</v>
      </c>
    </row>
    <row r="127" spans="1:9" x14ac:dyDescent="0.25">
      <c r="A127" t="s">
        <v>270</v>
      </c>
      <c r="B127">
        <v>213</v>
      </c>
      <c r="C127" t="s">
        <v>70</v>
      </c>
      <c r="D127" t="s">
        <v>705</v>
      </c>
      <c r="E127" t="s">
        <v>224</v>
      </c>
      <c r="F127">
        <v>48.24</v>
      </c>
      <c r="G127" s="1">
        <v>42441</v>
      </c>
      <c r="H127" s="1">
        <v>42490</v>
      </c>
      <c r="I127" t="s">
        <v>129</v>
      </c>
    </row>
    <row r="128" spans="1:9" x14ac:dyDescent="0.25">
      <c r="A128" t="s">
        <v>270</v>
      </c>
      <c r="B128">
        <v>213</v>
      </c>
      <c r="C128" t="s">
        <v>70</v>
      </c>
      <c r="D128" t="s">
        <v>705</v>
      </c>
      <c r="E128" t="s">
        <v>224</v>
      </c>
      <c r="F128">
        <v>48.24</v>
      </c>
      <c r="G128" s="1">
        <v>42441</v>
      </c>
      <c r="H128" s="1">
        <v>42490</v>
      </c>
      <c r="I128" t="s">
        <v>136</v>
      </c>
    </row>
    <row r="129" spans="1:9" x14ac:dyDescent="0.25">
      <c r="A129" t="s">
        <v>270</v>
      </c>
      <c r="B129">
        <v>213</v>
      </c>
      <c r="C129" t="s">
        <v>70</v>
      </c>
      <c r="D129" t="s">
        <v>705</v>
      </c>
      <c r="E129" t="s">
        <v>224</v>
      </c>
      <c r="F129">
        <v>48.24</v>
      </c>
      <c r="G129" s="1">
        <v>42441</v>
      </c>
      <c r="H129" s="1">
        <v>42490</v>
      </c>
      <c r="I129" t="s">
        <v>137</v>
      </c>
    </row>
    <row r="130" spans="1:9" x14ac:dyDescent="0.25">
      <c r="A130" t="s">
        <v>270</v>
      </c>
      <c r="B130">
        <v>215</v>
      </c>
      <c r="C130" t="s">
        <v>70</v>
      </c>
      <c r="D130" t="s">
        <v>706</v>
      </c>
      <c r="E130" t="s">
        <v>225</v>
      </c>
      <c r="F130">
        <v>108.8</v>
      </c>
      <c r="G130" s="1">
        <v>42461</v>
      </c>
      <c r="H130" s="1">
        <v>42490</v>
      </c>
      <c r="I130" t="s">
        <v>138</v>
      </c>
    </row>
    <row r="131" spans="1:9" x14ac:dyDescent="0.25">
      <c r="A131" t="s">
        <v>270</v>
      </c>
      <c r="B131">
        <v>217</v>
      </c>
      <c r="C131" t="s">
        <v>70</v>
      </c>
      <c r="D131" t="s">
        <v>707</v>
      </c>
      <c r="E131" t="s">
        <v>226</v>
      </c>
      <c r="F131">
        <v>64.271000000000001</v>
      </c>
      <c r="G131" s="1">
        <v>42441</v>
      </c>
      <c r="H131" s="1">
        <v>42442</v>
      </c>
      <c r="I131" t="s">
        <v>139</v>
      </c>
    </row>
    <row r="132" spans="1:9" x14ac:dyDescent="0.25">
      <c r="A132" t="s">
        <v>271</v>
      </c>
      <c r="B132">
        <v>261</v>
      </c>
      <c r="C132" t="s">
        <v>71</v>
      </c>
      <c r="D132" t="s">
        <v>708</v>
      </c>
      <c r="E132" t="s">
        <v>227</v>
      </c>
      <c r="F132">
        <v>180.5</v>
      </c>
      <c r="G132" s="1">
        <v>42450</v>
      </c>
      <c r="H132" s="1">
        <v>42450</v>
      </c>
      <c r="I132" t="s">
        <v>73</v>
      </c>
    </row>
    <row r="133" spans="1:9" x14ac:dyDescent="0.25">
      <c r="A133" t="s">
        <v>272</v>
      </c>
      <c r="B133">
        <v>189</v>
      </c>
      <c r="C133" t="s">
        <v>71</v>
      </c>
      <c r="D133" t="s">
        <v>709</v>
      </c>
      <c r="E133" t="s">
        <v>228</v>
      </c>
      <c r="F133">
        <v>80</v>
      </c>
      <c r="G133" s="1">
        <v>42450</v>
      </c>
      <c r="H133" s="1">
        <v>42451</v>
      </c>
      <c r="I133" t="s">
        <v>140</v>
      </c>
    </row>
    <row r="134" spans="1:9" x14ac:dyDescent="0.25">
      <c r="A134" t="s">
        <v>273</v>
      </c>
      <c r="B134">
        <v>152</v>
      </c>
      <c r="C134" t="s">
        <v>70</v>
      </c>
      <c r="D134" t="s">
        <v>710</v>
      </c>
      <c r="E134" t="s">
        <v>229</v>
      </c>
      <c r="F134">
        <v>16.574999999999999</v>
      </c>
      <c r="G134" s="1">
        <v>42441</v>
      </c>
      <c r="H134" s="1">
        <v>42444</v>
      </c>
      <c r="I134" t="s">
        <v>73</v>
      </c>
    </row>
    <row r="135" spans="1:9" x14ac:dyDescent="0.25">
      <c r="A135" t="s">
        <v>273</v>
      </c>
      <c r="B135">
        <v>152</v>
      </c>
      <c r="C135" t="s">
        <v>70</v>
      </c>
      <c r="D135" t="s">
        <v>710</v>
      </c>
      <c r="E135" t="s">
        <v>229</v>
      </c>
      <c r="F135">
        <v>16.574999999999999</v>
      </c>
      <c r="G135" s="1">
        <v>42450</v>
      </c>
      <c r="H135" s="1">
        <v>42474</v>
      </c>
      <c r="I135" t="s">
        <v>73</v>
      </c>
    </row>
    <row r="136" spans="1:9" x14ac:dyDescent="0.25">
      <c r="A136" t="s">
        <v>274</v>
      </c>
      <c r="B136">
        <v>215</v>
      </c>
      <c r="C136" t="s">
        <v>71</v>
      </c>
      <c r="D136" t="s">
        <v>711</v>
      </c>
      <c r="E136" t="s">
        <v>230</v>
      </c>
      <c r="F136">
        <v>95.94</v>
      </c>
      <c r="G136" s="1">
        <v>42465</v>
      </c>
      <c r="H136" s="1">
        <v>42475</v>
      </c>
      <c r="I136" t="s">
        <v>141</v>
      </c>
    </row>
    <row r="137" spans="1:9" x14ac:dyDescent="0.25">
      <c r="A137" t="s">
        <v>274</v>
      </c>
      <c r="B137">
        <v>215</v>
      </c>
      <c r="C137" t="s">
        <v>71</v>
      </c>
      <c r="D137" t="s">
        <v>711</v>
      </c>
      <c r="E137" t="s">
        <v>230</v>
      </c>
      <c r="F137">
        <v>95.94</v>
      </c>
      <c r="G137" s="1">
        <v>42472</v>
      </c>
      <c r="H137" s="1">
        <v>42472</v>
      </c>
      <c r="I137" t="s">
        <v>142</v>
      </c>
    </row>
    <row r="138" spans="1:9" x14ac:dyDescent="0.25">
      <c r="A138" t="s">
        <v>275</v>
      </c>
      <c r="B138">
        <v>21</v>
      </c>
      <c r="C138" t="s">
        <v>71</v>
      </c>
      <c r="D138" t="s">
        <v>712</v>
      </c>
      <c r="E138" t="s">
        <v>231</v>
      </c>
      <c r="F138">
        <v>106.3</v>
      </c>
      <c r="G138" s="1">
        <v>42444</v>
      </c>
      <c r="H138" s="1">
        <v>42445</v>
      </c>
      <c r="I138" t="s">
        <v>73</v>
      </c>
    </row>
    <row r="139" spans="1:9" x14ac:dyDescent="0.25">
      <c r="A139" t="s">
        <v>276</v>
      </c>
      <c r="B139">
        <v>139</v>
      </c>
      <c r="C139" t="s">
        <v>71</v>
      </c>
      <c r="D139" t="s">
        <v>713</v>
      </c>
      <c r="E139" t="s">
        <v>232</v>
      </c>
      <c r="F139">
        <v>46.7</v>
      </c>
      <c r="G139" s="1">
        <v>42441</v>
      </c>
      <c r="H139" s="1">
        <v>42448</v>
      </c>
      <c r="I139" t="s">
        <v>143</v>
      </c>
    </row>
    <row r="140" spans="1:9" x14ac:dyDescent="0.25">
      <c r="A140" t="s">
        <v>276</v>
      </c>
      <c r="B140">
        <v>139</v>
      </c>
      <c r="C140" t="s">
        <v>71</v>
      </c>
      <c r="D140" t="s">
        <v>713</v>
      </c>
      <c r="E140" t="s">
        <v>232</v>
      </c>
      <c r="F140">
        <v>46.7</v>
      </c>
      <c r="G140" s="1">
        <v>42441</v>
      </c>
      <c r="H140" s="1">
        <v>42448</v>
      </c>
      <c r="I140" t="s">
        <v>143</v>
      </c>
    </row>
    <row r="141" spans="1:9" x14ac:dyDescent="0.25">
      <c r="A141" t="s">
        <v>276</v>
      </c>
      <c r="B141">
        <v>139</v>
      </c>
      <c r="C141" t="s">
        <v>71</v>
      </c>
      <c r="D141" t="s">
        <v>713</v>
      </c>
      <c r="E141" t="s">
        <v>232</v>
      </c>
      <c r="F141">
        <v>46.7</v>
      </c>
      <c r="G141" s="1">
        <v>42441</v>
      </c>
      <c r="H141" s="1">
        <v>42448</v>
      </c>
      <c r="I141" t="s">
        <v>143</v>
      </c>
    </row>
    <row r="142" spans="1:9" x14ac:dyDescent="0.25">
      <c r="A142" t="s">
        <v>277</v>
      </c>
      <c r="B142">
        <v>144</v>
      </c>
      <c r="C142" t="s">
        <v>71</v>
      </c>
      <c r="D142" t="s">
        <v>714</v>
      </c>
      <c r="E142" t="s">
        <v>233</v>
      </c>
      <c r="F142">
        <v>49.5</v>
      </c>
      <c r="G142" s="1">
        <v>42443</v>
      </c>
      <c r="H142" s="1">
        <v>42445</v>
      </c>
      <c r="I142" t="s">
        <v>144</v>
      </c>
    </row>
    <row r="143" spans="1:9" x14ac:dyDescent="0.25">
      <c r="A143" t="s">
        <v>278</v>
      </c>
      <c r="B143">
        <v>109</v>
      </c>
      <c r="C143" t="s">
        <v>70</v>
      </c>
      <c r="D143" t="s">
        <v>715</v>
      </c>
      <c r="E143" t="s">
        <v>234</v>
      </c>
      <c r="F143">
        <v>13.12</v>
      </c>
      <c r="G143" s="1">
        <v>42441</v>
      </c>
      <c r="H143" s="1">
        <v>42490</v>
      </c>
      <c r="I143" t="s">
        <v>145</v>
      </c>
    </row>
    <row r="144" spans="1:9" x14ac:dyDescent="0.25">
      <c r="A144" t="s">
        <v>278</v>
      </c>
      <c r="B144">
        <v>111</v>
      </c>
      <c r="C144" t="s">
        <v>70</v>
      </c>
      <c r="D144" t="s">
        <v>716</v>
      </c>
      <c r="E144" t="s">
        <v>235</v>
      </c>
      <c r="F144">
        <v>11.48</v>
      </c>
      <c r="G144" s="1">
        <v>42441</v>
      </c>
      <c r="H144" s="1">
        <v>42490</v>
      </c>
      <c r="I144" t="s">
        <v>145</v>
      </c>
    </row>
    <row r="145" spans="1:9" x14ac:dyDescent="0.25">
      <c r="A145" t="s">
        <v>278</v>
      </c>
      <c r="B145">
        <v>113</v>
      </c>
      <c r="C145" t="s">
        <v>70</v>
      </c>
      <c r="D145" t="s">
        <v>717</v>
      </c>
      <c r="E145" t="s">
        <v>236</v>
      </c>
      <c r="F145">
        <v>11.48</v>
      </c>
      <c r="G145" s="1">
        <v>42441</v>
      </c>
      <c r="H145" s="1">
        <v>42490</v>
      </c>
      <c r="I145" t="s">
        <v>145</v>
      </c>
    </row>
    <row r="146" spans="1:9" x14ac:dyDescent="0.25">
      <c r="A146" t="s">
        <v>278</v>
      </c>
      <c r="B146">
        <v>117</v>
      </c>
      <c r="C146" t="s">
        <v>70</v>
      </c>
      <c r="D146" t="s">
        <v>718</v>
      </c>
      <c r="E146" t="s">
        <v>237</v>
      </c>
      <c r="F146">
        <v>13.12</v>
      </c>
      <c r="G146" s="1">
        <v>42441</v>
      </c>
      <c r="H146" s="1">
        <v>42490</v>
      </c>
      <c r="I146" t="s">
        <v>145</v>
      </c>
    </row>
    <row r="147" spans="1:9" x14ac:dyDescent="0.25">
      <c r="A147" t="s">
        <v>278</v>
      </c>
      <c r="B147">
        <v>119</v>
      </c>
      <c r="C147" t="s">
        <v>70</v>
      </c>
      <c r="D147" t="s">
        <v>719</v>
      </c>
      <c r="E147" t="s">
        <v>238</v>
      </c>
      <c r="F147">
        <v>14.76</v>
      </c>
      <c r="G147" s="1">
        <v>42441</v>
      </c>
      <c r="H147" s="1">
        <v>42490</v>
      </c>
      <c r="I147" t="s">
        <v>145</v>
      </c>
    </row>
    <row r="148" spans="1:9" x14ac:dyDescent="0.25">
      <c r="A148" t="s">
        <v>278</v>
      </c>
      <c r="B148">
        <v>121</v>
      </c>
      <c r="C148" t="s">
        <v>70</v>
      </c>
      <c r="D148" t="s">
        <v>720</v>
      </c>
      <c r="E148" t="s">
        <v>239</v>
      </c>
      <c r="F148">
        <v>13.12</v>
      </c>
      <c r="G148" s="1">
        <v>42441</v>
      </c>
      <c r="H148" s="1">
        <v>42490</v>
      </c>
      <c r="I148" t="s">
        <v>145</v>
      </c>
    </row>
    <row r="149" spans="1:9" x14ac:dyDescent="0.25">
      <c r="A149" t="s">
        <v>278</v>
      </c>
      <c r="B149">
        <v>125</v>
      </c>
      <c r="C149" t="s">
        <v>70</v>
      </c>
      <c r="D149" t="s">
        <v>721</v>
      </c>
      <c r="E149" t="s">
        <v>240</v>
      </c>
      <c r="F149">
        <v>14.76</v>
      </c>
      <c r="G149" s="1">
        <v>42441</v>
      </c>
      <c r="H149" s="1">
        <v>42490</v>
      </c>
      <c r="I149" t="s">
        <v>145</v>
      </c>
    </row>
    <row r="150" spans="1:9" x14ac:dyDescent="0.25">
      <c r="A150" t="s">
        <v>278</v>
      </c>
      <c r="B150">
        <v>127</v>
      </c>
      <c r="C150" t="s">
        <v>70</v>
      </c>
      <c r="D150" t="s">
        <v>722</v>
      </c>
      <c r="E150" t="s">
        <v>241</v>
      </c>
      <c r="F150">
        <v>14.76</v>
      </c>
      <c r="G150" s="1">
        <v>42441</v>
      </c>
      <c r="H150" s="1">
        <v>42490</v>
      </c>
      <c r="I150" t="s">
        <v>145</v>
      </c>
    </row>
    <row r="151" spans="1:9" x14ac:dyDescent="0.25">
      <c r="A151" t="s">
        <v>278</v>
      </c>
      <c r="B151">
        <v>133</v>
      </c>
      <c r="C151" t="s">
        <v>70</v>
      </c>
      <c r="D151" t="s">
        <v>723</v>
      </c>
      <c r="E151" t="s">
        <v>242</v>
      </c>
      <c r="F151">
        <v>14.76</v>
      </c>
      <c r="G151" s="1">
        <v>42441</v>
      </c>
      <c r="H151" s="1">
        <v>42490</v>
      </c>
      <c r="I151" t="s">
        <v>145</v>
      </c>
    </row>
    <row r="152" spans="1:9" x14ac:dyDescent="0.25">
      <c r="A152" t="s">
        <v>278</v>
      </c>
      <c r="B152">
        <v>135</v>
      </c>
      <c r="C152" t="s">
        <v>70</v>
      </c>
      <c r="D152" t="s">
        <v>724</v>
      </c>
      <c r="E152" t="s">
        <v>243</v>
      </c>
      <c r="F152">
        <v>13.12</v>
      </c>
      <c r="G152" s="1">
        <v>42441</v>
      </c>
      <c r="H152" s="1">
        <v>42490</v>
      </c>
      <c r="I152" t="s">
        <v>145</v>
      </c>
    </row>
    <row r="153" spans="1:9" x14ac:dyDescent="0.25">
      <c r="A153" t="s">
        <v>278</v>
      </c>
      <c r="B153">
        <v>138</v>
      </c>
      <c r="C153" t="s">
        <v>70</v>
      </c>
      <c r="D153" t="s">
        <v>725</v>
      </c>
      <c r="E153" t="s">
        <v>244</v>
      </c>
      <c r="F153">
        <v>13.12</v>
      </c>
      <c r="G153" s="1">
        <v>42441</v>
      </c>
      <c r="H153" s="1">
        <v>42490</v>
      </c>
      <c r="I153" t="s">
        <v>145</v>
      </c>
    </row>
    <row r="154" spans="1:9" x14ac:dyDescent="0.25">
      <c r="A154" t="s">
        <v>279</v>
      </c>
      <c r="B154">
        <v>287</v>
      </c>
      <c r="C154" t="s">
        <v>71</v>
      </c>
      <c r="D154" t="s">
        <v>726</v>
      </c>
      <c r="E154" t="s">
        <v>245</v>
      </c>
      <c r="F154">
        <v>69.59</v>
      </c>
      <c r="G154" s="1">
        <v>42441</v>
      </c>
      <c r="H154" s="1">
        <v>42456</v>
      </c>
      <c r="I154" t="s">
        <v>73</v>
      </c>
    </row>
    <row r="155" spans="1:9" x14ac:dyDescent="0.25">
      <c r="A155" t="s">
        <v>279</v>
      </c>
      <c r="B155">
        <v>287</v>
      </c>
      <c r="C155" t="s">
        <v>71</v>
      </c>
      <c r="D155" t="s">
        <v>726</v>
      </c>
      <c r="E155" t="s">
        <v>245</v>
      </c>
      <c r="F155">
        <v>73.290000000000006</v>
      </c>
      <c r="G155" s="1">
        <v>42441</v>
      </c>
      <c r="H155" s="1">
        <v>42471</v>
      </c>
      <c r="I155" t="s">
        <v>73</v>
      </c>
    </row>
    <row r="156" spans="1:9" x14ac:dyDescent="0.25">
      <c r="A156" t="s">
        <v>279</v>
      </c>
      <c r="B156">
        <v>287</v>
      </c>
      <c r="C156" t="s">
        <v>71</v>
      </c>
      <c r="D156" t="s">
        <v>726</v>
      </c>
      <c r="E156" t="s">
        <v>245</v>
      </c>
      <c r="F156">
        <v>73.290000000000006</v>
      </c>
      <c r="G156" s="1">
        <v>42441</v>
      </c>
      <c r="H156" s="1">
        <v>42445</v>
      </c>
      <c r="I156" t="s">
        <v>146</v>
      </c>
    </row>
    <row r="157" spans="1:9" x14ac:dyDescent="0.25">
      <c r="A157" t="s">
        <v>279</v>
      </c>
      <c r="B157">
        <v>287</v>
      </c>
      <c r="C157" t="s">
        <v>71</v>
      </c>
      <c r="D157" t="s">
        <v>726</v>
      </c>
      <c r="E157" t="s">
        <v>245</v>
      </c>
      <c r="F157">
        <v>73.290000000000006</v>
      </c>
      <c r="G157" s="1">
        <v>42441</v>
      </c>
      <c r="H157" s="1">
        <v>42442</v>
      </c>
      <c r="I157" t="s">
        <v>147</v>
      </c>
    </row>
    <row r="158" spans="1:9" x14ac:dyDescent="0.25">
      <c r="A158" t="s">
        <v>279</v>
      </c>
      <c r="B158">
        <v>287</v>
      </c>
      <c r="C158" t="s">
        <v>71</v>
      </c>
      <c r="D158" t="s">
        <v>726</v>
      </c>
      <c r="E158" t="s">
        <v>245</v>
      </c>
      <c r="F158">
        <v>73.290000000000006</v>
      </c>
      <c r="G158" s="1">
        <v>42441</v>
      </c>
      <c r="H158" s="1">
        <v>42443</v>
      </c>
      <c r="I158" t="s">
        <v>148</v>
      </c>
    </row>
    <row r="159" spans="1:9" x14ac:dyDescent="0.25">
      <c r="A159" t="s">
        <v>280</v>
      </c>
      <c r="B159">
        <v>96</v>
      </c>
      <c r="C159" t="s">
        <v>70</v>
      </c>
      <c r="D159" t="s">
        <v>727</v>
      </c>
      <c r="E159" t="s">
        <v>246</v>
      </c>
      <c r="F159">
        <v>160.29</v>
      </c>
      <c r="G159" s="1">
        <v>42489</v>
      </c>
      <c r="H159" s="1">
        <v>42490</v>
      </c>
      <c r="I159" t="s">
        <v>73</v>
      </c>
    </row>
    <row r="160" spans="1:9" x14ac:dyDescent="0.25">
      <c r="A160" t="s">
        <v>280</v>
      </c>
      <c r="B160">
        <v>96</v>
      </c>
      <c r="C160" t="s">
        <v>70</v>
      </c>
      <c r="D160" t="s">
        <v>727</v>
      </c>
      <c r="E160" t="s">
        <v>246</v>
      </c>
      <c r="F160">
        <v>164.68</v>
      </c>
      <c r="G160" s="1">
        <v>42481</v>
      </c>
      <c r="H160" s="1">
        <v>42488</v>
      </c>
      <c r="I160" t="s">
        <v>73</v>
      </c>
    </row>
    <row r="161" spans="1:9" x14ac:dyDescent="0.25">
      <c r="A161" t="s">
        <v>281</v>
      </c>
      <c r="B161">
        <v>141</v>
      </c>
      <c r="C161" t="s">
        <v>70</v>
      </c>
      <c r="D161" t="s">
        <v>728</v>
      </c>
      <c r="E161" t="s">
        <v>247</v>
      </c>
      <c r="F161">
        <v>15</v>
      </c>
      <c r="G161" s="1">
        <v>42441</v>
      </c>
      <c r="H161" s="1">
        <v>42460</v>
      </c>
      <c r="I161" t="s">
        <v>149</v>
      </c>
    </row>
    <row r="162" spans="1:9" x14ac:dyDescent="0.25">
      <c r="A162" t="s">
        <v>281</v>
      </c>
      <c r="B162">
        <v>141</v>
      </c>
      <c r="C162" t="s">
        <v>70</v>
      </c>
      <c r="D162" t="s">
        <v>728</v>
      </c>
      <c r="E162" t="s">
        <v>247</v>
      </c>
      <c r="F162">
        <v>15</v>
      </c>
      <c r="G162" s="1">
        <v>42441</v>
      </c>
      <c r="H162" s="1">
        <v>42460</v>
      </c>
      <c r="I162" t="s">
        <v>150</v>
      </c>
    </row>
    <row r="163" spans="1:9" x14ac:dyDescent="0.25">
      <c r="A163" t="s">
        <v>281</v>
      </c>
      <c r="B163">
        <v>141</v>
      </c>
      <c r="C163" t="s">
        <v>70</v>
      </c>
      <c r="D163" t="s">
        <v>728</v>
      </c>
      <c r="E163" t="s">
        <v>247</v>
      </c>
      <c r="F163">
        <v>15</v>
      </c>
      <c r="G163" s="1">
        <v>42441</v>
      </c>
      <c r="H163" s="1">
        <v>42460</v>
      </c>
      <c r="I163" t="s">
        <v>151</v>
      </c>
    </row>
    <row r="164" spans="1:9" x14ac:dyDescent="0.25">
      <c r="A164" t="s">
        <v>281</v>
      </c>
      <c r="B164">
        <v>141</v>
      </c>
      <c r="C164" t="s">
        <v>70</v>
      </c>
      <c r="D164" t="s">
        <v>728</v>
      </c>
      <c r="E164" t="s">
        <v>247</v>
      </c>
      <c r="F164">
        <v>15</v>
      </c>
      <c r="G164" s="1">
        <v>42441</v>
      </c>
      <c r="H164" s="1">
        <v>42490</v>
      </c>
      <c r="I164" t="s">
        <v>152</v>
      </c>
    </row>
    <row r="165" spans="1:9" x14ac:dyDescent="0.25">
      <c r="A165" t="s">
        <v>281</v>
      </c>
      <c r="B165">
        <v>141</v>
      </c>
      <c r="C165" t="s">
        <v>70</v>
      </c>
      <c r="D165" t="s">
        <v>728</v>
      </c>
      <c r="E165" t="s">
        <v>247</v>
      </c>
      <c r="F165">
        <v>15</v>
      </c>
      <c r="G165" s="1">
        <v>42441</v>
      </c>
      <c r="H165" s="1">
        <v>42460</v>
      </c>
      <c r="I165" t="s">
        <v>151</v>
      </c>
    </row>
    <row r="166" spans="1:9" x14ac:dyDescent="0.25">
      <c r="A166" t="s">
        <v>281</v>
      </c>
      <c r="B166">
        <v>141</v>
      </c>
      <c r="C166" t="s">
        <v>70</v>
      </c>
      <c r="D166" t="s">
        <v>728</v>
      </c>
      <c r="E166" t="s">
        <v>247</v>
      </c>
      <c r="F166">
        <v>15</v>
      </c>
      <c r="G166" s="1">
        <v>42441</v>
      </c>
      <c r="H166" s="1">
        <v>42460</v>
      </c>
      <c r="I166" t="s">
        <v>153</v>
      </c>
    </row>
    <row r="167" spans="1:9" x14ac:dyDescent="0.25">
      <c r="A167" t="s">
        <v>281</v>
      </c>
      <c r="B167">
        <v>141</v>
      </c>
      <c r="C167" t="s">
        <v>70</v>
      </c>
      <c r="D167" t="s">
        <v>728</v>
      </c>
      <c r="E167" t="s">
        <v>247</v>
      </c>
      <c r="F167">
        <v>15</v>
      </c>
      <c r="G167" s="1">
        <v>42441</v>
      </c>
      <c r="H167" s="1">
        <v>42460</v>
      </c>
      <c r="I167" t="s">
        <v>154</v>
      </c>
    </row>
    <row r="168" spans="1:9" x14ac:dyDescent="0.25">
      <c r="A168" t="s">
        <v>281</v>
      </c>
      <c r="B168">
        <v>141</v>
      </c>
      <c r="C168" t="s">
        <v>70</v>
      </c>
      <c r="D168" t="s">
        <v>728</v>
      </c>
      <c r="E168" t="s">
        <v>247</v>
      </c>
      <c r="F168">
        <v>15</v>
      </c>
      <c r="G168" s="1">
        <v>42441</v>
      </c>
      <c r="H168" s="1">
        <v>42460</v>
      </c>
      <c r="I168" t="s">
        <v>155</v>
      </c>
    </row>
    <row r="169" spans="1:9" x14ac:dyDescent="0.25">
      <c r="A169" t="s">
        <v>281</v>
      </c>
      <c r="B169">
        <v>141</v>
      </c>
      <c r="C169" t="s">
        <v>70</v>
      </c>
      <c r="D169" t="s">
        <v>728</v>
      </c>
      <c r="E169" t="s">
        <v>247</v>
      </c>
      <c r="F169">
        <v>15</v>
      </c>
      <c r="G169" s="1">
        <v>42441</v>
      </c>
      <c r="H169" s="1">
        <v>42460</v>
      </c>
      <c r="I169" t="s">
        <v>151</v>
      </c>
    </row>
    <row r="170" spans="1:9" x14ac:dyDescent="0.25">
      <c r="A170" t="s">
        <v>281</v>
      </c>
      <c r="B170">
        <v>141</v>
      </c>
      <c r="C170" t="s">
        <v>70</v>
      </c>
      <c r="D170" t="s">
        <v>728</v>
      </c>
      <c r="E170" t="s">
        <v>247</v>
      </c>
      <c r="F170">
        <v>15</v>
      </c>
      <c r="G170" s="1">
        <v>42441</v>
      </c>
      <c r="H170" s="1">
        <v>42460</v>
      </c>
      <c r="I170" t="s">
        <v>156</v>
      </c>
    </row>
    <row r="171" spans="1:9" x14ac:dyDescent="0.25">
      <c r="A171" t="s">
        <v>281</v>
      </c>
      <c r="B171">
        <v>201</v>
      </c>
      <c r="C171" t="s">
        <v>70</v>
      </c>
      <c r="D171" t="s">
        <v>729</v>
      </c>
      <c r="E171" t="s">
        <v>248</v>
      </c>
      <c r="F171">
        <v>40</v>
      </c>
      <c r="G171" s="1">
        <v>42441</v>
      </c>
      <c r="H171" s="1">
        <v>42490</v>
      </c>
      <c r="I171" t="s">
        <v>157</v>
      </c>
    </row>
    <row r="172" spans="1:9" x14ac:dyDescent="0.25">
      <c r="A172" t="s">
        <v>281</v>
      </c>
      <c r="B172">
        <v>201</v>
      </c>
      <c r="C172" t="s">
        <v>70</v>
      </c>
      <c r="D172" t="s">
        <v>729</v>
      </c>
      <c r="E172" t="s">
        <v>248</v>
      </c>
      <c r="F172">
        <v>43</v>
      </c>
      <c r="G172" s="1">
        <v>42458</v>
      </c>
      <c r="H172" s="1">
        <v>42458</v>
      </c>
      <c r="I172" t="s">
        <v>73</v>
      </c>
    </row>
    <row r="173" spans="1:9" x14ac:dyDescent="0.25">
      <c r="A173" t="s">
        <v>281</v>
      </c>
      <c r="B173">
        <v>206</v>
      </c>
      <c r="C173" t="s">
        <v>70</v>
      </c>
      <c r="D173" t="s">
        <v>730</v>
      </c>
      <c r="E173" t="s">
        <v>249</v>
      </c>
      <c r="F173">
        <v>55</v>
      </c>
      <c r="G173" s="1">
        <v>42462</v>
      </c>
      <c r="H173" s="1">
        <v>42463</v>
      </c>
      <c r="I173" t="s">
        <v>73</v>
      </c>
    </row>
    <row r="174" spans="1:9" x14ac:dyDescent="0.25">
      <c r="A174" t="s">
        <v>282</v>
      </c>
      <c r="B174">
        <v>285</v>
      </c>
      <c r="C174" t="s">
        <v>71</v>
      </c>
      <c r="D174" t="s">
        <v>731</v>
      </c>
      <c r="E174" t="s">
        <v>250</v>
      </c>
      <c r="F174">
        <v>75</v>
      </c>
      <c r="G174" s="1">
        <v>42441</v>
      </c>
      <c r="H174" s="1">
        <v>42445</v>
      </c>
      <c r="I174" t="s">
        <v>73</v>
      </c>
    </row>
    <row r="175" spans="1:9" x14ac:dyDescent="0.25">
      <c r="A175" t="s">
        <v>282</v>
      </c>
      <c r="B175">
        <v>285</v>
      </c>
      <c r="C175" t="s">
        <v>71</v>
      </c>
      <c r="D175" t="s">
        <v>731</v>
      </c>
      <c r="E175" t="s">
        <v>250</v>
      </c>
      <c r="F175">
        <v>75</v>
      </c>
      <c r="G175" s="1">
        <v>42441</v>
      </c>
      <c r="H175" s="1">
        <v>42450</v>
      </c>
      <c r="I175" t="s">
        <v>73</v>
      </c>
    </row>
    <row r="176" spans="1:9" x14ac:dyDescent="0.25">
      <c r="A176" t="s">
        <v>282</v>
      </c>
      <c r="B176">
        <v>285</v>
      </c>
      <c r="C176" t="s">
        <v>71</v>
      </c>
      <c r="D176" t="s">
        <v>731</v>
      </c>
      <c r="E176" t="s">
        <v>250</v>
      </c>
      <c r="F176">
        <v>75</v>
      </c>
      <c r="G176" s="1">
        <v>42441</v>
      </c>
      <c r="H176" s="1">
        <v>42475</v>
      </c>
      <c r="I176" t="s">
        <v>73</v>
      </c>
    </row>
    <row r="177" spans="1:9" x14ac:dyDescent="0.25">
      <c r="A177" t="s">
        <v>283</v>
      </c>
      <c r="B177">
        <v>284</v>
      </c>
      <c r="C177" t="s">
        <v>71</v>
      </c>
      <c r="D177" t="s">
        <v>732</v>
      </c>
      <c r="E177" t="s">
        <v>251</v>
      </c>
      <c r="F177">
        <v>84</v>
      </c>
      <c r="G177" s="1">
        <v>42441</v>
      </c>
      <c r="H177" s="1">
        <v>42459</v>
      </c>
      <c r="I177" t="s">
        <v>73</v>
      </c>
    </row>
    <row r="178" spans="1:9" x14ac:dyDescent="0.25">
      <c r="A178" t="s">
        <v>283</v>
      </c>
      <c r="B178">
        <v>284</v>
      </c>
      <c r="C178" t="s">
        <v>71</v>
      </c>
      <c r="D178" t="s">
        <v>732</v>
      </c>
      <c r="E178" t="s">
        <v>251</v>
      </c>
      <c r="F178">
        <v>84</v>
      </c>
      <c r="G178" s="1">
        <v>42464</v>
      </c>
      <c r="H178" s="1">
        <v>42490</v>
      </c>
      <c r="I178" t="s">
        <v>73</v>
      </c>
    </row>
    <row r="179" spans="1:9" x14ac:dyDescent="0.25">
      <c r="A179" t="s">
        <v>284</v>
      </c>
      <c r="B179">
        <v>182</v>
      </c>
      <c r="C179" t="s">
        <v>70</v>
      </c>
      <c r="D179" t="s">
        <v>733</v>
      </c>
      <c r="E179" t="s">
        <v>252</v>
      </c>
      <c r="F179">
        <v>88.22</v>
      </c>
      <c r="G179" s="1">
        <v>42441</v>
      </c>
      <c r="H179" s="1">
        <v>42463</v>
      </c>
      <c r="I179" t="s">
        <v>158</v>
      </c>
    </row>
    <row r="180" spans="1:9" x14ac:dyDescent="0.25">
      <c r="A180" t="s">
        <v>285</v>
      </c>
      <c r="B180">
        <v>89</v>
      </c>
      <c r="C180" t="s">
        <v>71</v>
      </c>
      <c r="D180" t="s">
        <v>734</v>
      </c>
      <c r="E180" t="s">
        <v>253</v>
      </c>
      <c r="F180">
        <v>63</v>
      </c>
      <c r="G180" s="1">
        <v>42457</v>
      </c>
      <c r="H180" s="1">
        <v>42465</v>
      </c>
      <c r="I180" t="s">
        <v>73</v>
      </c>
    </row>
    <row r="181" spans="1:9" x14ac:dyDescent="0.25">
      <c r="A181" t="s">
        <v>285</v>
      </c>
      <c r="B181">
        <v>89</v>
      </c>
      <c r="C181" t="s">
        <v>71</v>
      </c>
      <c r="D181" t="s">
        <v>734</v>
      </c>
      <c r="E181" t="s">
        <v>253</v>
      </c>
      <c r="F181">
        <v>63</v>
      </c>
      <c r="G181" s="1">
        <v>42467</v>
      </c>
      <c r="H181" s="1">
        <v>42475</v>
      </c>
      <c r="I181" t="s">
        <v>73</v>
      </c>
    </row>
    <row r="182" spans="1:9" x14ac:dyDescent="0.25">
      <c r="A182" t="s">
        <v>285</v>
      </c>
      <c r="B182">
        <v>89</v>
      </c>
      <c r="C182" t="s">
        <v>71</v>
      </c>
      <c r="D182" t="s">
        <v>734</v>
      </c>
      <c r="E182" t="s">
        <v>253</v>
      </c>
      <c r="F182">
        <v>63</v>
      </c>
      <c r="G182" s="1">
        <v>42478</v>
      </c>
      <c r="H182" s="1">
        <v>42485</v>
      </c>
      <c r="I182" t="s">
        <v>73</v>
      </c>
    </row>
    <row r="183" spans="1:9" x14ac:dyDescent="0.25">
      <c r="A183" t="s">
        <v>286</v>
      </c>
      <c r="B183">
        <v>95</v>
      </c>
      <c r="C183" t="s">
        <v>71</v>
      </c>
      <c r="D183" t="s">
        <v>735</v>
      </c>
      <c r="E183" t="s">
        <v>254</v>
      </c>
      <c r="F183">
        <v>40.5</v>
      </c>
      <c r="G183" s="1">
        <v>42441</v>
      </c>
      <c r="H183" s="1">
        <v>42460</v>
      </c>
      <c r="I183" t="s">
        <v>159</v>
      </c>
    </row>
    <row r="184" spans="1:9" x14ac:dyDescent="0.25">
      <c r="A184" t="s">
        <v>286</v>
      </c>
    </row>
  </sheetData>
  <autoFilter ref="A1:I18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81"/>
  <sheetViews>
    <sheetView workbookViewId="0">
      <selection activeCell="C18" sqref="C18"/>
    </sheetView>
  </sheetViews>
  <sheetFormatPr defaultRowHeight="15" x14ac:dyDescent="0.25"/>
  <cols>
    <col min="2" max="2" width="6" bestFit="1" customWidth="1"/>
    <col min="10" max="10" width="1.5703125" customWidth="1"/>
    <col min="12" max="12" width="10.140625" bestFit="1" customWidth="1"/>
  </cols>
  <sheetData>
    <row r="1" spans="1:16" x14ac:dyDescent="0.25">
      <c r="C1" s="9">
        <v>42455</v>
      </c>
      <c r="D1" s="7">
        <f>+C2+1</f>
        <v>42462</v>
      </c>
      <c r="E1" s="7">
        <f t="shared" ref="E1:H1" si="0">+D2+1</f>
        <v>42469</v>
      </c>
      <c r="F1" s="7">
        <f t="shared" si="0"/>
        <v>42476</v>
      </c>
      <c r="G1" s="7">
        <f t="shared" si="0"/>
        <v>42483</v>
      </c>
      <c r="H1" s="7">
        <f t="shared" si="0"/>
        <v>42490</v>
      </c>
      <c r="I1" s="7">
        <f>H2+1</f>
        <v>42497</v>
      </c>
      <c r="J1" t="str">
        <f>""</f>
        <v/>
      </c>
      <c r="L1" s="12" t="s">
        <v>736</v>
      </c>
      <c r="M1" s="12">
        <v>1</v>
      </c>
      <c r="O1" s="12" t="s">
        <v>737</v>
      </c>
      <c r="P1" s="12">
        <v>7</v>
      </c>
    </row>
    <row r="2" spans="1:16" x14ac:dyDescent="0.25">
      <c r="A2" s="8" t="s">
        <v>639</v>
      </c>
      <c r="C2" s="7">
        <f>+C1+6</f>
        <v>42461</v>
      </c>
      <c r="D2" s="7">
        <f>+D1+6</f>
        <v>42468</v>
      </c>
      <c r="E2" s="7">
        <f t="shared" ref="E2:H2" si="1">+E1+6</f>
        <v>42475</v>
      </c>
      <c r="F2" s="7">
        <f t="shared" si="1"/>
        <v>42482</v>
      </c>
      <c r="G2" s="7">
        <f t="shared" si="1"/>
        <v>42489</v>
      </c>
      <c r="H2" s="7">
        <f t="shared" si="1"/>
        <v>42496</v>
      </c>
      <c r="I2" s="7">
        <f>EOMONTH(H2,0)</f>
        <v>42521</v>
      </c>
      <c r="J2" t="str">
        <f>""</f>
        <v/>
      </c>
    </row>
    <row r="3" spans="1:16" x14ac:dyDescent="0.25">
      <c r="A3" t="s">
        <v>295</v>
      </c>
      <c r="B3" t="str">
        <f>IF(LEFT(A3,1)="&amp;","",MID(A3,5,3)&amp;"-H")</f>
        <v/>
      </c>
      <c r="C3" s="11" t="str">
        <f>IF($B3&lt;&gt;"",TEXT(1-manut_MP($B3,C$1,C$2)/VLOOKUP(VALUE(MID($A3,5,3)),BASE_Pot!$A$2:$B$321,2,FALSE),"0.000"),"")</f>
        <v/>
      </c>
      <c r="D3" s="11" t="str">
        <f>IF($B3&lt;&gt;"",TEXT(1-manut_MP($B3,D$1,D$2)/VLOOKUP(VALUE(MID($A3,5,3)),BASE_Pot!$A$2:$B$321,2,FALSE),"0.000"),"")</f>
        <v/>
      </c>
      <c r="E3" s="11" t="str">
        <f>IF($B3&lt;&gt;"",TEXT(1-manut_MP($B3,E$1,E$2)/VLOOKUP(VALUE(MID($A3,5,3)),BASE_Pot!$A$2:$B$321,2,FALSE),"0.000"),"")</f>
        <v/>
      </c>
      <c r="F3" s="11" t="str">
        <f>IF($B3&lt;&gt;"",TEXT(1-manut_MP($B3,F$1,F$2)/VLOOKUP(VALUE(MID($A3,5,3)),BASE_Pot!$A$2:$B$321,2,FALSE),"0.000"),"")</f>
        <v/>
      </c>
      <c r="G3" s="11" t="str">
        <f>IF($B3&lt;&gt;"",TEXT(1-manut_MP($B3,G$1,G$2)/VLOOKUP(VALUE(MID($A3,5,3)),BASE_Pot!$A$2:$B$321,2,FALSE),"0.000"),"")</f>
        <v/>
      </c>
      <c r="H3" s="11" t="str">
        <f>IF($B3&lt;&gt;"",TEXT(1-manut_MP($B3,H$1,H$2)/VLOOKUP(VALUE(MID($A3,5,3)),BASE_Pot!$A$2:$B$321,2,FALSE),"0.000"),"")</f>
        <v/>
      </c>
      <c r="I3" s="11" t="str">
        <f>IF($B3&lt;&gt;"",TEXT(1-manut_MP($B3,I$1,I$2)/VLOOKUP(VALUE(MID($A3,5,3)),BASE_Pot!$A$2:$B$321,2,FALSE),"0.000"),"")</f>
        <v/>
      </c>
      <c r="J3" t="str">
        <f>""</f>
        <v/>
      </c>
      <c r="L3" t="str">
        <f t="shared" ref="L3:L17" si="2">IF(LEFT(A3,1)="&amp;",A3,A3&amp;"  "&amp;LEFT(INDEX($C3:$J3,1,MIN($M$1,8))&amp;INDEX($C3:$J3,1,MIN($M$1+1,8))&amp;INDEX($C3:$J3,1,MIN($M$1+2,8))&amp;INDEX($C3:$J3,1,MIN($M$1+3,8))&amp;INDEX($C3:$J3,1,MIN($M$1+4,8))&amp;INDEX($C3:$J3,1,MIN($M$1+5,8))&amp;INDEX($C3:$J3,1,MIN($M$1+6,8))&amp;INDEX($C3:$J3,1,MIN($M$1+7,8)),5*($P$1-1))&amp;"1.000")</f>
        <v>&amp;----------------------------------------------------------------------------------------------</v>
      </c>
    </row>
    <row r="4" spans="1:16" x14ac:dyDescent="0.25">
      <c r="A4" t="s">
        <v>296</v>
      </c>
      <c r="B4" t="str">
        <f t="shared" ref="B4:B67" si="3">IF(LEFT(A4,1)="&amp;","",MID(A4,5,3)&amp;"-H")</f>
        <v/>
      </c>
      <c r="C4" s="11" t="str">
        <f>IF($B4&lt;&gt;"",TEXT(1-manut_MP($B4,C$1,C$2)/VLOOKUP(VALUE(MID($A4,5,3)),BASE_Pot!$A$2:$B$321,2,FALSE),"0.000"),"")</f>
        <v/>
      </c>
      <c r="D4" s="11" t="str">
        <f>IF($B4&lt;&gt;"",TEXT(1-manut_MP($B4,D$1,D$2)/VLOOKUP(VALUE(MID($A4,5,3)),BASE_Pot!$A$2:$B$321,2,FALSE),"0.000"),"")</f>
        <v/>
      </c>
      <c r="E4" s="11" t="str">
        <f>IF($B4&lt;&gt;"",TEXT(1-manut_MP($B4,E$1,E$2)/VLOOKUP(VALUE(MID($A4,5,3)),BASE_Pot!$A$2:$B$321,2,FALSE),"0.000"),"")</f>
        <v/>
      </c>
      <c r="F4" s="11" t="str">
        <f>IF($B4&lt;&gt;"",TEXT(1-manut_MP($B4,F$1,F$2)/VLOOKUP(VALUE(MID($A4,5,3)),BASE_Pot!$A$2:$B$321,2,FALSE),"0.000"),"")</f>
        <v/>
      </c>
      <c r="G4" s="11" t="str">
        <f>IF($B4&lt;&gt;"",TEXT(1-manut_MP($B4,G$1,G$2)/VLOOKUP(VALUE(MID($A4,5,3)),BASE_Pot!$A$2:$B$321,2,FALSE),"0.000"),"")</f>
        <v/>
      </c>
      <c r="H4" s="11" t="str">
        <f>IF($B4&lt;&gt;"",TEXT(1-manut_MP($B4,H$1,H$2)/VLOOKUP(VALUE(MID($A4,5,3)),BASE_Pot!$A$2:$B$321,2,FALSE),"0.000"),"")</f>
        <v/>
      </c>
      <c r="I4" s="11" t="str">
        <f>IF($B4&lt;&gt;"",TEXT(1-manut_MP($B4,I$1,I$2)/VLOOKUP(VALUE(MID($A4,5,3)),BASE_Pot!$A$2:$B$321,2,FALSE),"0.000"),"")</f>
        <v/>
      </c>
      <c r="J4" t="str">
        <f>""</f>
        <v/>
      </c>
      <c r="L4" t="str">
        <f t="shared" si="2"/>
        <v>&amp;         BLOCO 19 *** MANUTENÇÕES PROGRAMADAS ***</v>
      </c>
    </row>
    <row r="5" spans="1:16" x14ac:dyDescent="0.25">
      <c r="A5" t="s">
        <v>297</v>
      </c>
      <c r="B5" t="str">
        <f t="shared" si="3"/>
        <v/>
      </c>
      <c r="C5" s="11" t="str">
        <f>IF($B5&lt;&gt;"",TEXT(1-manut_MP($B5,C$1,C$2)/VLOOKUP(VALUE(MID($A5,5,3)),BASE_Pot!$A$2:$B$321,2,FALSE),"0.000"),"")</f>
        <v/>
      </c>
      <c r="D5" s="11" t="str">
        <f>IF($B5&lt;&gt;"",TEXT(1-manut_MP($B5,D$1,D$2)/VLOOKUP(VALUE(MID($A5,5,3)),BASE_Pot!$A$2:$B$321,2,FALSE),"0.000"),"")</f>
        <v/>
      </c>
      <c r="E5" s="11" t="str">
        <f>IF($B5&lt;&gt;"",TEXT(1-manut_MP($B5,E$1,E$2)/VLOOKUP(VALUE(MID($A5,5,3)),BASE_Pot!$A$2:$B$321,2,FALSE),"0.000"),"")</f>
        <v/>
      </c>
      <c r="F5" s="11" t="str">
        <f>IF($B5&lt;&gt;"",TEXT(1-manut_MP($B5,F$1,F$2)/VLOOKUP(VALUE(MID($A5,5,3)),BASE_Pot!$A$2:$B$321,2,FALSE),"0.000"),"")</f>
        <v/>
      </c>
      <c r="G5" s="11" t="str">
        <f>IF($B5&lt;&gt;"",TEXT(1-manut_MP($B5,G$1,G$2)/VLOOKUP(VALUE(MID($A5,5,3)),BASE_Pot!$A$2:$B$321,2,FALSE),"0.000"),"")</f>
        <v/>
      </c>
      <c r="H5" s="11" t="str">
        <f>IF($B5&lt;&gt;"",TEXT(1-manut_MP($B5,H$1,H$2)/VLOOKUP(VALUE(MID($A5,5,3)),BASE_Pot!$A$2:$B$321,2,FALSE),"0.000"),"")</f>
        <v/>
      </c>
      <c r="I5" s="11" t="str">
        <f>IF($B5&lt;&gt;"",TEXT(1-manut_MP($B5,I$1,I$2)/VLOOKUP(VALUE(MID($A5,5,3)),BASE_Pot!$A$2:$B$321,2,FALSE),"0.000"),"")</f>
        <v/>
      </c>
      <c r="J5" t="str">
        <f>""</f>
        <v/>
      </c>
      <c r="L5" t="str">
        <f t="shared" si="2"/>
        <v>&amp;         (REGISTROS MP E MT)</v>
      </c>
    </row>
    <row r="6" spans="1:16" x14ac:dyDescent="0.25">
      <c r="A6" t="s">
        <v>295</v>
      </c>
      <c r="B6" t="str">
        <f t="shared" si="3"/>
        <v/>
      </c>
      <c r="C6" s="11" t="str">
        <f>IF($B6&lt;&gt;"",TEXT(1-manut_MP($B6,C$1,C$2)/VLOOKUP(VALUE(MID($A6,5,3)),BASE_Pot!$A$2:$B$321,2,FALSE),"0.000"),"")</f>
        <v/>
      </c>
      <c r="D6" s="11" t="str">
        <f>IF($B6&lt;&gt;"",TEXT(1-manut_MP($B6,D$1,D$2)/VLOOKUP(VALUE(MID($A6,5,3)),BASE_Pot!$A$2:$B$321,2,FALSE),"0.000"),"")</f>
        <v/>
      </c>
      <c r="E6" s="11" t="str">
        <f>IF($B6&lt;&gt;"",TEXT(1-manut_MP($B6,E$1,E$2)/VLOOKUP(VALUE(MID($A6,5,3)),BASE_Pot!$A$2:$B$321,2,FALSE),"0.000"),"")</f>
        <v/>
      </c>
      <c r="F6" s="11" t="str">
        <f>IF($B6&lt;&gt;"",TEXT(1-manut_MP($B6,F$1,F$2)/VLOOKUP(VALUE(MID($A6,5,3)),BASE_Pot!$A$2:$B$321,2,FALSE),"0.000"),"")</f>
        <v/>
      </c>
      <c r="G6" s="11" t="str">
        <f>IF($B6&lt;&gt;"",TEXT(1-manut_MP($B6,G$1,G$2)/VLOOKUP(VALUE(MID($A6,5,3)),BASE_Pot!$A$2:$B$321,2,FALSE),"0.000"),"")</f>
        <v/>
      </c>
      <c r="H6" s="11" t="str">
        <f>IF($B6&lt;&gt;"",TEXT(1-manut_MP($B6,H$1,H$2)/VLOOKUP(VALUE(MID($A6,5,3)),BASE_Pot!$A$2:$B$321,2,FALSE),"0.000"),"")</f>
        <v/>
      </c>
      <c r="I6" s="11" t="str">
        <f>IF($B6&lt;&gt;"",TEXT(1-manut_MP($B6,I$1,I$2)/VLOOKUP(VALUE(MID($A6,5,3)),BASE_Pot!$A$2:$B$321,2,FALSE),"0.000"),"")</f>
        <v/>
      </c>
      <c r="J6" t="str">
        <f>""</f>
        <v/>
      </c>
      <c r="L6" t="str">
        <f t="shared" si="2"/>
        <v>&amp;----------------------------------------------------------------------------------------------</v>
      </c>
    </row>
    <row r="7" spans="1:16" x14ac:dyDescent="0.25">
      <c r="A7" t="s">
        <v>298</v>
      </c>
      <c r="B7" t="str">
        <f t="shared" si="3"/>
        <v/>
      </c>
      <c r="C7" s="11" t="str">
        <f>IF($B7&lt;&gt;"",TEXT(1-manut_MP($B7,C$1,C$2)/VLOOKUP(VALUE(MID($A7,5,3)),BASE_Pot!$A$2:$B$321,2,FALSE),"0.000"),"")</f>
        <v/>
      </c>
      <c r="D7" s="11" t="str">
        <f>IF($B7&lt;&gt;"",TEXT(1-manut_MP($B7,D$1,D$2)/VLOOKUP(VALUE(MID($A7,5,3)),BASE_Pot!$A$2:$B$321,2,FALSE),"0.000"),"")</f>
        <v/>
      </c>
      <c r="E7" s="11" t="str">
        <f>IF($B7&lt;&gt;"",TEXT(1-manut_MP($B7,E$1,E$2)/VLOOKUP(VALUE(MID($A7,5,3)),BASE_Pot!$A$2:$B$321,2,FALSE),"0.000"),"")</f>
        <v/>
      </c>
      <c r="F7" s="11" t="str">
        <f>IF($B7&lt;&gt;"",TEXT(1-manut_MP($B7,F$1,F$2)/VLOOKUP(VALUE(MID($A7,5,3)),BASE_Pot!$A$2:$B$321,2,FALSE),"0.000"),"")</f>
        <v/>
      </c>
      <c r="G7" s="11" t="str">
        <f>IF($B7&lt;&gt;"",TEXT(1-manut_MP($B7,G$1,G$2)/VLOOKUP(VALUE(MID($A7,5,3)),BASE_Pot!$A$2:$B$321,2,FALSE),"0.000"),"")</f>
        <v/>
      </c>
      <c r="H7" s="11" t="str">
        <f>IF($B7&lt;&gt;"",TEXT(1-manut_MP($B7,H$1,H$2)/VLOOKUP(VALUE(MID($A7,5,3)),BASE_Pot!$A$2:$B$321,2,FALSE),"0.000"),"")</f>
        <v/>
      </c>
      <c r="I7" s="11" t="str">
        <f>IF($B7&lt;&gt;"",TEXT(1-manut_MP($B7,I$1,I$2)/VLOOKUP(VALUE(MID($A7,5,3)),BASE_Pot!$A$2:$B$321,2,FALSE),"0.000"),"")</f>
        <v/>
      </c>
      <c r="J7" t="str">
        <f>""</f>
        <v/>
      </c>
      <c r="L7" t="str">
        <f t="shared" si="2"/>
        <v>&amp;..........................................................</v>
      </c>
    </row>
    <row r="8" spans="1:16" x14ac:dyDescent="0.25">
      <c r="A8" t="s">
        <v>299</v>
      </c>
      <c r="B8" t="str">
        <f t="shared" si="3"/>
        <v/>
      </c>
      <c r="C8" s="11" t="str">
        <f>IF($B8&lt;&gt;"",TEXT(1-manut_MP($B8,C$1,C$2)/VLOOKUP(VALUE(MID($A8,5,3)),BASE_Pot!$A$2:$B$321,2,FALSE),"0.000"),"")</f>
        <v/>
      </c>
      <c r="D8" s="11" t="str">
        <f>IF($B8&lt;&gt;"",TEXT(1-manut_MP($B8,D$1,D$2)/VLOOKUP(VALUE(MID($A8,5,3)),BASE_Pot!$A$2:$B$321,2,FALSE),"0.000"),"")</f>
        <v/>
      </c>
      <c r="E8" s="11" t="str">
        <f>IF($B8&lt;&gt;"",TEXT(1-manut_MP($B8,E$1,E$2)/VLOOKUP(VALUE(MID($A8,5,3)),BASE_Pot!$A$2:$B$321,2,FALSE),"0.000"),"")</f>
        <v/>
      </c>
      <c r="F8" s="11" t="str">
        <f>IF($B8&lt;&gt;"",TEXT(1-manut_MP($B8,F$1,F$2)/VLOOKUP(VALUE(MID($A8,5,3)),BASE_Pot!$A$2:$B$321,2,FALSE),"0.000"),"")</f>
        <v/>
      </c>
      <c r="G8" s="11" t="str">
        <f>IF($B8&lt;&gt;"",TEXT(1-manut_MP($B8,G$1,G$2)/VLOOKUP(VALUE(MID($A8,5,3)),BASE_Pot!$A$2:$B$321,2,FALSE),"0.000"),"")</f>
        <v/>
      </c>
      <c r="H8" s="11" t="str">
        <f>IF($B8&lt;&gt;"",TEXT(1-manut_MP($B8,H$1,H$2)/VLOOKUP(VALUE(MID($A8,5,3)),BASE_Pot!$A$2:$B$321,2,FALSE),"0.000"),"")</f>
        <v/>
      </c>
      <c r="I8" s="11" t="str">
        <f>IF($B8&lt;&gt;"",TEXT(1-manut_MP($B8,I$1,I$2)/VLOOKUP(VALUE(MID($A8,5,3)),BASE_Pot!$A$2:$B$321,2,FALSE),"0.000"),"")</f>
        <v/>
      </c>
      <c r="J8" t="str">
        <f>""</f>
        <v/>
      </c>
      <c r="L8" t="str">
        <f t="shared" si="2"/>
        <v xml:space="preserve">&amp; MANUTENCAO PROGRAMADA DE USINAS HIDRAULICAS (REGISTRO MP)   </v>
      </c>
    </row>
    <row r="9" spans="1:16" x14ac:dyDescent="0.25">
      <c r="A9" t="s">
        <v>298</v>
      </c>
      <c r="B9" t="str">
        <f t="shared" si="3"/>
        <v/>
      </c>
      <c r="C9" s="11" t="str">
        <f>IF($B9&lt;&gt;"",TEXT(1-manut_MP($B9,C$1,C$2)/VLOOKUP(VALUE(MID($A9,5,3)),BASE_Pot!$A$2:$B$321,2,FALSE),"0.000"),"")</f>
        <v/>
      </c>
      <c r="D9" s="11" t="str">
        <f>IF($B9&lt;&gt;"",TEXT(1-manut_MP($B9,D$1,D$2)/VLOOKUP(VALUE(MID($A9,5,3)),BASE_Pot!$A$2:$B$321,2,FALSE),"0.000"),"")</f>
        <v/>
      </c>
      <c r="E9" s="11" t="str">
        <f>IF($B9&lt;&gt;"",TEXT(1-manut_MP($B9,E$1,E$2)/VLOOKUP(VALUE(MID($A9,5,3)),BASE_Pot!$A$2:$B$321,2,FALSE),"0.000"),"")</f>
        <v/>
      </c>
      <c r="F9" s="11" t="str">
        <f>IF($B9&lt;&gt;"",TEXT(1-manut_MP($B9,F$1,F$2)/VLOOKUP(VALUE(MID($A9,5,3)),BASE_Pot!$A$2:$B$321,2,FALSE),"0.000"),"")</f>
        <v/>
      </c>
      <c r="G9" s="11" t="str">
        <f>IF($B9&lt;&gt;"",TEXT(1-manut_MP($B9,G$1,G$2)/VLOOKUP(VALUE(MID($A9,5,3)),BASE_Pot!$A$2:$B$321,2,FALSE),"0.000"),"")</f>
        <v/>
      </c>
      <c r="H9" s="11" t="str">
        <f>IF($B9&lt;&gt;"",TEXT(1-manut_MP($B9,H$1,H$2)/VLOOKUP(VALUE(MID($A9,5,3)),BASE_Pot!$A$2:$B$321,2,FALSE),"0.000"),"")</f>
        <v/>
      </c>
      <c r="I9" s="11" t="str">
        <f>IF($B9&lt;&gt;"",TEXT(1-manut_MP($B9,I$1,I$2)/VLOOKUP(VALUE(MID($A9,5,3)),BASE_Pot!$A$2:$B$321,2,FALSE),"0.000"),"")</f>
        <v/>
      </c>
      <c r="J9" t="str">
        <f>""</f>
        <v/>
      </c>
      <c r="L9" t="str">
        <f t="shared" si="2"/>
        <v>&amp;..........................................................</v>
      </c>
    </row>
    <row r="10" spans="1:16" x14ac:dyDescent="0.25">
      <c r="A10" t="s">
        <v>300</v>
      </c>
      <c r="B10" t="str">
        <f t="shared" si="3"/>
        <v/>
      </c>
      <c r="C10" s="11" t="str">
        <f>IF($B10&lt;&gt;"",TEXT(1-manut_MP($B10,C$1,C$2)/VLOOKUP(VALUE(MID($A10,5,3)),BASE_Pot!$A$2:$B$321,2,FALSE),"0.000"),"")</f>
        <v/>
      </c>
      <c r="D10" s="11" t="str">
        <f>IF($B10&lt;&gt;"",TEXT(1-manut_MP($B10,D$1,D$2)/VLOOKUP(VALUE(MID($A10,5,3)),BASE_Pot!$A$2:$B$321,2,FALSE),"0.000"),"")</f>
        <v/>
      </c>
      <c r="E10" s="11" t="str">
        <f>IF($B10&lt;&gt;"",TEXT(1-manut_MP($B10,E$1,E$2)/VLOOKUP(VALUE(MID($A10,5,3)),BASE_Pot!$A$2:$B$321,2,FALSE),"0.000"),"")</f>
        <v/>
      </c>
      <c r="F10" s="11" t="str">
        <f>IF($B10&lt;&gt;"",TEXT(1-manut_MP($B10,F$1,F$2)/VLOOKUP(VALUE(MID($A10,5,3)),BASE_Pot!$A$2:$B$321,2,FALSE),"0.000"),"")</f>
        <v/>
      </c>
      <c r="G10" s="11" t="str">
        <f>IF($B10&lt;&gt;"",TEXT(1-manut_MP($B10,G$1,G$2)/VLOOKUP(VALUE(MID($A10,5,3)),BASE_Pot!$A$2:$B$321,2,FALSE),"0.000"),"")</f>
        <v/>
      </c>
      <c r="H10" s="11" t="str">
        <f>IF($B10&lt;&gt;"",TEXT(1-manut_MP($B10,H$1,H$2)/VLOOKUP(VALUE(MID($A10,5,3)),BASE_Pot!$A$2:$B$321,2,FALSE),"0.000"),"")</f>
        <v/>
      </c>
      <c r="I10" s="11" t="str">
        <f>IF($B10&lt;&gt;"",TEXT(1-manut_MP($B10,I$1,I$2)/VLOOKUP(VALUE(MID($A10,5,3)),BASE_Pot!$A$2:$B$321,2,FALSE),"0.000"),"")</f>
        <v/>
      </c>
      <c r="J10" t="str">
        <f>""</f>
        <v/>
      </c>
      <c r="L10" t="str">
        <f t="shared" si="2"/>
        <v>&amp;        EST1|EST2|EST3| ...</v>
      </c>
    </row>
    <row r="11" spans="1:16" x14ac:dyDescent="0.25">
      <c r="A11" t="s">
        <v>301</v>
      </c>
      <c r="B11" t="str">
        <f t="shared" si="3"/>
        <v/>
      </c>
      <c r="C11" s="11" t="str">
        <f>IF($B11&lt;&gt;"",TEXT(1-manut_MP($B11,C$1,C$2)/VLOOKUP(VALUE(MID($A11,5,3)),BASE_Pot!$A$2:$B$321,2,FALSE),"0.000"),"")</f>
        <v/>
      </c>
      <c r="D11" s="11" t="str">
        <f>IF($B11&lt;&gt;"",TEXT(1-manut_MP($B11,D$1,D$2)/VLOOKUP(VALUE(MID($A11,5,3)),BASE_Pot!$A$2:$B$321,2,FALSE),"0.000"),"")</f>
        <v/>
      </c>
      <c r="E11" s="11" t="str">
        <f>IF($B11&lt;&gt;"",TEXT(1-manut_MP($B11,E$1,E$2)/VLOOKUP(VALUE(MID($A11,5,3)),BASE_Pot!$A$2:$B$321,2,FALSE),"0.000"),"")</f>
        <v/>
      </c>
      <c r="F11" s="11" t="str">
        <f>IF($B11&lt;&gt;"",TEXT(1-manut_MP($B11,F$1,F$2)/VLOOKUP(VALUE(MID($A11,5,3)),BASE_Pot!$A$2:$B$321,2,FALSE),"0.000"),"")</f>
        <v/>
      </c>
      <c r="G11" s="11" t="str">
        <f>IF($B11&lt;&gt;"",TEXT(1-manut_MP($B11,G$1,G$2)/VLOOKUP(VALUE(MID($A11,5,3)),BASE_Pot!$A$2:$B$321,2,FALSE),"0.000"),"")</f>
        <v/>
      </c>
      <c r="H11" s="11" t="str">
        <f>IF($B11&lt;&gt;"",TEXT(1-manut_MP($B11,H$1,H$2)/VLOOKUP(VALUE(MID($A11,5,3)),BASE_Pot!$A$2:$B$321,2,FALSE),"0.000"),"")</f>
        <v/>
      </c>
      <c r="I11" s="11" t="str">
        <f>IF($B11&lt;&gt;"",TEXT(1-manut_MP($B11,I$1,I$2)/VLOOKUP(VALUE(MID($A11,5,3)),BASE_Pot!$A$2:$B$321,2,FALSE),"0.000"),"")</f>
        <v/>
      </c>
      <c r="J11" t="str">
        <f>""</f>
        <v/>
      </c>
      <c r="L11" t="str">
        <f t="shared" si="2"/>
        <v>&amp;   USI  FDISP</v>
      </c>
    </row>
    <row r="12" spans="1:16" x14ac:dyDescent="0.25">
      <c r="A12" t="s">
        <v>302</v>
      </c>
      <c r="B12" t="str">
        <f t="shared" si="3"/>
        <v/>
      </c>
      <c r="C12" s="11" t="str">
        <f>IF($B12&lt;&gt;"",TEXT(1-manut_MP($B12,C$1,C$2)/VLOOKUP(VALUE(MID($A12,5,3)),BASE_Pot!$A$2:$B$321,2,FALSE),"0.000"),"")</f>
        <v/>
      </c>
      <c r="D12" s="11" t="str">
        <f>IF($B12&lt;&gt;"",TEXT(1-manut_MP($B12,D$1,D$2)/VLOOKUP(VALUE(MID($A12,5,3)),BASE_Pot!$A$2:$B$321,2,FALSE),"0.000"),"")</f>
        <v/>
      </c>
      <c r="E12" s="11" t="str">
        <f>IF($B12&lt;&gt;"",TEXT(1-manut_MP($B12,E$1,E$2)/VLOOKUP(VALUE(MID($A12,5,3)),BASE_Pot!$A$2:$B$321,2,FALSE),"0.000"),"")</f>
        <v/>
      </c>
      <c r="F12" s="11" t="str">
        <f>IF($B12&lt;&gt;"",TEXT(1-manut_MP($B12,F$1,F$2)/VLOOKUP(VALUE(MID($A12,5,3)),BASE_Pot!$A$2:$B$321,2,FALSE),"0.000"),"")</f>
        <v/>
      </c>
      <c r="G12" s="11" t="str">
        <f>IF($B12&lt;&gt;"",TEXT(1-manut_MP($B12,G$1,G$2)/VLOOKUP(VALUE(MID($A12,5,3)),BASE_Pot!$A$2:$B$321,2,FALSE),"0.000"),"")</f>
        <v/>
      </c>
      <c r="H12" s="11" t="str">
        <f>IF($B12&lt;&gt;"",TEXT(1-manut_MP($B12,H$1,H$2)/VLOOKUP(VALUE(MID($A12,5,3)),BASE_Pot!$A$2:$B$321,2,FALSE),"0.000"),"")</f>
        <v/>
      </c>
      <c r="I12" s="11" t="str">
        <f>IF($B12&lt;&gt;"",TEXT(1-manut_MP($B12,I$1,I$2)/VLOOKUP(VALUE(MID($A12,5,3)),BASE_Pot!$A$2:$B$321,2,FALSE),"0.000"),"")</f>
        <v/>
      </c>
      <c r="J12" t="str">
        <f>""</f>
        <v/>
      </c>
      <c r="L12" t="str">
        <f t="shared" si="2"/>
        <v>&amp;   xxx  XXXXXxxxxxXXXXXxxxxxXXXXXxxxxxXXXXXxxxxxXXXXXxxxxxXXXXXxxxxxXXXXXxxxxxXXXXXxxxxxXXXXX</v>
      </c>
    </row>
    <row r="13" spans="1:16" x14ac:dyDescent="0.25">
      <c r="A13" t="s">
        <v>303</v>
      </c>
      <c r="B13" t="str">
        <f t="shared" si="3"/>
        <v/>
      </c>
      <c r="C13" s="11" t="str">
        <f>IF($B13&lt;&gt;"",TEXT(1-manut_MP($B13,C$1,C$2)/VLOOKUP(VALUE(MID($A13,5,3)),BASE_Pot!$A$2:$B$321,2,FALSE),"0.000"),"")</f>
        <v/>
      </c>
      <c r="D13" s="11" t="str">
        <f>IF($B13&lt;&gt;"",TEXT(1-manut_MP($B13,D$1,D$2)/VLOOKUP(VALUE(MID($A13,5,3)),BASE_Pot!$A$2:$B$321,2,FALSE),"0.000"),"")</f>
        <v/>
      </c>
      <c r="E13" s="11" t="str">
        <f>IF($B13&lt;&gt;"",TEXT(1-manut_MP($B13,E$1,E$2)/VLOOKUP(VALUE(MID($A13,5,3)),BASE_Pot!$A$2:$B$321,2,FALSE),"0.000"),"")</f>
        <v/>
      </c>
      <c r="F13" s="11" t="str">
        <f>IF($B13&lt;&gt;"",TEXT(1-manut_MP($B13,F$1,F$2)/VLOOKUP(VALUE(MID($A13,5,3)),BASE_Pot!$A$2:$B$321,2,FALSE),"0.000"),"")</f>
        <v/>
      </c>
      <c r="G13" s="11" t="str">
        <f>IF($B13&lt;&gt;"",TEXT(1-manut_MP($B13,G$1,G$2)/VLOOKUP(VALUE(MID($A13,5,3)),BASE_Pot!$A$2:$B$321,2,FALSE),"0.000"),"")</f>
        <v/>
      </c>
      <c r="H13" s="11" t="str">
        <f>IF($B13&lt;&gt;"",TEXT(1-manut_MP($B13,H$1,H$2)/VLOOKUP(VALUE(MID($A13,5,3)),BASE_Pot!$A$2:$B$321,2,FALSE),"0.000"),"")</f>
        <v/>
      </c>
      <c r="I13" s="11" t="str">
        <f>IF($B13&lt;&gt;"",TEXT(1-manut_MP($B13,I$1,I$2)/VLOOKUP(VALUE(MID($A13,5,3)),BASE_Pot!$A$2:$B$321,2,FALSE),"0.000"),"")</f>
        <v/>
      </c>
      <c r="J13" t="str">
        <f>""</f>
        <v/>
      </c>
      <c r="L13" t="str">
        <f t="shared" si="2"/>
        <v>&amp;MP</v>
      </c>
    </row>
    <row r="14" spans="1:16" x14ac:dyDescent="0.25">
      <c r="A14" t="s">
        <v>304</v>
      </c>
      <c r="B14" t="str">
        <f t="shared" si="3"/>
        <v/>
      </c>
      <c r="C14" s="11" t="str">
        <f>IF($B14&lt;&gt;"",TEXT(1-manut_MP($B14,C$1,C$2)/VLOOKUP(VALUE(MID($A14,5,3)),BASE_Pot!$A$2:$B$321,2,FALSE),"0.000"),"")</f>
        <v/>
      </c>
      <c r="D14" s="11" t="str">
        <f>IF($B14&lt;&gt;"",TEXT(1-manut_MP($B14,D$1,D$2)/VLOOKUP(VALUE(MID($A14,5,3)),BASE_Pot!$A$2:$B$321,2,FALSE),"0.000"),"")</f>
        <v/>
      </c>
      <c r="E14" s="11" t="str">
        <f>IF($B14&lt;&gt;"",TEXT(1-manut_MP($B14,E$1,E$2)/VLOOKUP(VALUE(MID($A14,5,3)),BASE_Pot!$A$2:$B$321,2,FALSE),"0.000"),"")</f>
        <v/>
      </c>
      <c r="F14" s="11" t="str">
        <f>IF($B14&lt;&gt;"",TEXT(1-manut_MP($B14,F$1,F$2)/VLOOKUP(VALUE(MID($A14,5,3)),BASE_Pot!$A$2:$B$321,2,FALSE),"0.000"),"")</f>
        <v/>
      </c>
      <c r="G14" s="11" t="str">
        <f>IF($B14&lt;&gt;"",TEXT(1-manut_MP($B14,G$1,G$2)/VLOOKUP(VALUE(MID($A14,5,3)),BASE_Pot!$A$2:$B$321,2,FALSE),"0.000"),"")</f>
        <v/>
      </c>
      <c r="H14" s="11" t="str">
        <f>IF($B14&lt;&gt;"",TEXT(1-manut_MP($B14,H$1,H$2)/VLOOKUP(VALUE(MID($A14,5,3)),BASE_Pot!$A$2:$B$321,2,FALSE),"0.000"),"")</f>
        <v/>
      </c>
      <c r="I14" s="11" t="str">
        <f>IF($B14&lt;&gt;"",TEXT(1-manut_MP($B14,I$1,I$2)/VLOOKUP(VALUE(MID($A14,5,3)),BASE_Pot!$A$2:$B$321,2,FALSE),"0.000"),"")</f>
        <v/>
      </c>
      <c r="J14" t="str">
        <f>""</f>
        <v/>
      </c>
      <c r="L14" t="str">
        <f t="shared" si="2"/>
        <v>&amp;.................................</v>
      </c>
    </row>
    <row r="15" spans="1:16" x14ac:dyDescent="0.25">
      <c r="A15" t="s">
        <v>305</v>
      </c>
      <c r="B15" t="str">
        <f t="shared" si="3"/>
        <v/>
      </c>
      <c r="C15" s="11" t="str">
        <f>IF($B15&lt;&gt;"",TEXT(1-manut_MP($B15,C$1,C$2)/VLOOKUP(VALUE(MID($A15,5,3)),BASE_Pot!$A$2:$B$321,2,FALSE),"0.000"),"")</f>
        <v/>
      </c>
      <c r="D15" s="11" t="str">
        <f>IF($B15&lt;&gt;"",TEXT(1-manut_MP($B15,D$1,D$2)/VLOOKUP(VALUE(MID($A15,5,3)),BASE_Pot!$A$2:$B$321,2,FALSE),"0.000"),"")</f>
        <v/>
      </c>
      <c r="E15" s="11" t="str">
        <f>IF($B15&lt;&gt;"",TEXT(1-manut_MP($B15,E$1,E$2)/VLOOKUP(VALUE(MID($A15,5,3)),BASE_Pot!$A$2:$B$321,2,FALSE),"0.000"),"")</f>
        <v/>
      </c>
      <c r="F15" s="11" t="str">
        <f>IF($B15&lt;&gt;"",TEXT(1-manut_MP($B15,F$1,F$2)/VLOOKUP(VALUE(MID($A15,5,3)),BASE_Pot!$A$2:$B$321,2,FALSE),"0.000"),"")</f>
        <v/>
      </c>
      <c r="G15" s="11" t="str">
        <f>IF($B15&lt;&gt;"",TEXT(1-manut_MP($B15,G$1,G$2)/VLOOKUP(VALUE(MID($A15,5,3)),BASE_Pot!$A$2:$B$321,2,FALSE),"0.000"),"")</f>
        <v/>
      </c>
      <c r="H15" s="11" t="str">
        <f>IF($B15&lt;&gt;"",TEXT(1-manut_MP($B15,H$1,H$2)/VLOOKUP(VALUE(MID($A15,5,3)),BASE_Pot!$A$2:$B$321,2,FALSE),"0.000"),"")</f>
        <v/>
      </c>
      <c r="I15" s="11" t="str">
        <f>IF($B15&lt;&gt;"",TEXT(1-manut_MP($B15,I$1,I$2)/VLOOKUP(VALUE(MID($A15,5,3)),BASE_Pot!$A$2:$B$321,2,FALSE),"0.000"),"")</f>
        <v/>
      </c>
      <c r="J15" t="str">
        <f>""</f>
        <v/>
      </c>
      <c r="L15" t="str">
        <f t="shared" si="2"/>
        <v>&amp;         EMAE</v>
      </c>
    </row>
    <row r="16" spans="1:16" x14ac:dyDescent="0.25">
      <c r="A16" t="s">
        <v>304</v>
      </c>
      <c r="B16" t="str">
        <f t="shared" si="3"/>
        <v/>
      </c>
      <c r="C16" s="11" t="str">
        <f>IF($B16&lt;&gt;"",TEXT(1-manut_MP($B16,C$1,C$2)/VLOOKUP(VALUE(MID($A16,5,3)),BASE_Pot!$A$2:$B$321,2,FALSE),"0.000"),"")</f>
        <v/>
      </c>
      <c r="D16" s="11" t="str">
        <f>IF($B16&lt;&gt;"",TEXT(1-manut_MP($B16,D$1,D$2)/VLOOKUP(VALUE(MID($A16,5,3)),BASE_Pot!$A$2:$B$321,2,FALSE),"0.000"),"")</f>
        <v/>
      </c>
      <c r="E16" s="11" t="str">
        <f>IF($B16&lt;&gt;"",TEXT(1-manut_MP($B16,E$1,E$2)/VLOOKUP(VALUE(MID($A16,5,3)),BASE_Pot!$A$2:$B$321,2,FALSE),"0.000"),"")</f>
        <v/>
      </c>
      <c r="F16" s="11" t="str">
        <f>IF($B16&lt;&gt;"",TEXT(1-manut_MP($B16,F$1,F$2)/VLOOKUP(VALUE(MID($A16,5,3)),BASE_Pot!$A$2:$B$321,2,FALSE),"0.000"),"")</f>
        <v/>
      </c>
      <c r="G16" s="11" t="str">
        <f>IF($B16&lt;&gt;"",TEXT(1-manut_MP($B16,G$1,G$2)/VLOOKUP(VALUE(MID($A16,5,3)),BASE_Pot!$A$2:$B$321,2,FALSE),"0.000"),"")</f>
        <v/>
      </c>
      <c r="H16" s="11" t="str">
        <f>IF($B16&lt;&gt;"",TEXT(1-manut_MP($B16,H$1,H$2)/VLOOKUP(VALUE(MID($A16,5,3)),BASE_Pot!$A$2:$B$321,2,FALSE),"0.000"),"")</f>
        <v/>
      </c>
      <c r="I16" s="11" t="str">
        <f>IF($B16&lt;&gt;"",TEXT(1-manut_MP($B16,I$1,I$2)/VLOOKUP(VALUE(MID($A16,5,3)),BASE_Pot!$A$2:$B$321,2,FALSE),"0.000"),"")</f>
        <v/>
      </c>
      <c r="J16" t="str">
        <f>""</f>
        <v/>
      </c>
      <c r="L16" t="str">
        <f t="shared" si="2"/>
        <v>&amp;.................................</v>
      </c>
    </row>
    <row r="17" spans="1:12" x14ac:dyDescent="0.25">
      <c r="A17" t="s">
        <v>306</v>
      </c>
      <c r="B17" t="str">
        <f t="shared" si="3"/>
        <v/>
      </c>
      <c r="C17" s="11" t="str">
        <f>IF($B17&lt;&gt;"",TEXT(1-manut_MP($B17,C$1,C$2)/VLOOKUP(VALUE(MID($A17,5,3)),BASE_Pot!$A$2:$B$321,2,FALSE),"0.000"),"")</f>
        <v/>
      </c>
      <c r="D17" s="11" t="str">
        <f>IF($B17&lt;&gt;"",TEXT(1-manut_MP($B17,D$1,D$2)/VLOOKUP(VALUE(MID($A17,5,3)),BASE_Pot!$A$2:$B$321,2,FALSE),"0.000"),"")</f>
        <v/>
      </c>
      <c r="E17" s="11" t="str">
        <f>IF($B17&lt;&gt;"",TEXT(1-manut_MP($B17,E$1,E$2)/VLOOKUP(VALUE(MID($A17,5,3)),BASE_Pot!$A$2:$B$321,2,FALSE),"0.000"),"")</f>
        <v/>
      </c>
      <c r="F17" s="11" t="str">
        <f>IF($B17&lt;&gt;"",TEXT(1-manut_MP($B17,F$1,F$2)/VLOOKUP(VALUE(MID($A17,5,3)),BASE_Pot!$A$2:$B$321,2,FALSE),"0.000"),"")</f>
        <v/>
      </c>
      <c r="G17" s="11" t="str">
        <f>IF($B17&lt;&gt;"",TEXT(1-manut_MP($B17,G$1,G$2)/VLOOKUP(VALUE(MID($A17,5,3)),BASE_Pot!$A$2:$B$321,2,FALSE),"0.000"),"")</f>
        <v/>
      </c>
      <c r="H17" s="11" t="str">
        <f>IF($B17&lt;&gt;"",TEXT(1-manut_MP($B17,H$1,H$2)/VLOOKUP(VALUE(MID($A17,5,3)),BASE_Pot!$A$2:$B$321,2,FALSE),"0.000"),"")</f>
        <v/>
      </c>
      <c r="I17" s="11" t="str">
        <f>IF($B17&lt;&gt;"",TEXT(1-manut_MP($B17,I$1,I$2)/VLOOKUP(VALUE(MID($A17,5,3)),BASE_Pot!$A$2:$B$321,2,FALSE),"0.000"),"")</f>
        <v/>
      </c>
      <c r="J17" t="str">
        <f>""</f>
        <v/>
      </c>
      <c r="L17" t="str">
        <f t="shared" si="2"/>
        <v>&amp;HENRY BORDEN</v>
      </c>
    </row>
    <row r="18" spans="1:12" x14ac:dyDescent="0.25">
      <c r="A18" t="s">
        <v>498</v>
      </c>
      <c r="B18" t="str">
        <f t="shared" si="3"/>
        <v>119-H</v>
      </c>
      <c r="C18" s="11" t="str">
        <f>IF($B18&lt;&gt;"",TEXT(1-manut_MP($B18,C$1,C$2)/VLOOKUP(VALUE(MID($A18,5,3)),BASE_Pot!$A$2:$B$321,2,FALSE),"0.000"),"")</f>
        <v>0.864</v>
      </c>
      <c r="D18" s="11" t="str">
        <f>IF($B18&lt;&gt;"",TEXT(1-manut_MP($B18,D$1,D$2)/VLOOKUP(VALUE(MID($A18,5,3)),BASE_Pot!$A$2:$B$321,2,FALSE),"0.000"),"")</f>
        <v>0.927</v>
      </c>
      <c r="E18" s="11" t="str">
        <f>IF($B18&lt;&gt;"",TEXT(1-manut_MP($B18,E$1,E$2)/VLOOKUP(VALUE(MID($A18,5,3)),BASE_Pot!$A$2:$B$321,2,FALSE),"0.000"),"")</f>
        <v>0.927</v>
      </c>
      <c r="F18" s="11" t="str">
        <f>IF($B18&lt;&gt;"",TEXT(1-manut_MP($B18,F$1,F$2)/VLOOKUP(VALUE(MID($A18,5,3)),BASE_Pot!$A$2:$B$321,2,FALSE),"0.000"),"")</f>
        <v>0.927</v>
      </c>
      <c r="G18" s="11" t="str">
        <f>IF($B18&lt;&gt;"",TEXT(1-manut_MP($B18,G$1,G$2)/VLOOKUP(VALUE(MID($A18,5,3)),BASE_Pot!$A$2:$B$321,2,FALSE),"0.000"),"")</f>
        <v>0.927</v>
      </c>
      <c r="H18" s="11" t="str">
        <f>IF($B18&lt;&gt;"",TEXT(1-manut_MP($B18,H$1,H$2)/VLOOKUP(VALUE(MID($A18,5,3)),BASE_Pot!$A$2:$B$321,2,FALSE),"0.000"),"")</f>
        <v>0.990</v>
      </c>
      <c r="I18" s="11" t="str">
        <f>IF($B18&lt;&gt;"",TEXT(1-manut_MP($B18,I$1,I$2)/VLOOKUP(VALUE(MID($A18,5,3)),BASE_Pot!$A$2:$B$321,2,FALSE),"0.000"),"")</f>
        <v>1.000</v>
      </c>
      <c r="J18" t="str">
        <f>""</f>
        <v/>
      </c>
      <c r="L18" t="str">
        <f>IF(LEFT(A18,1)="&amp;",A18,A18&amp;"  "&amp;LEFT(INDEX($C18:$J18,1,MIN($M$1,8))&amp;INDEX($C18:$J18,1,MIN($M$1+1,8))&amp;INDEX($C18:$J18,1,MIN($M$1+2,8))&amp;INDEX($C18:$J18,1,MIN($M$1+3,8))&amp;INDEX($C18:$J18,1,MIN($M$1+4,8))&amp;INDEX($C18:$J18,1,MIN($M$1+5,8))&amp;INDEX($C18:$J18,1,MIN($M$1+6,8))&amp;INDEX($C18:$J18,1,MIN($M$1+7,8)),5*($P$1-1))&amp;"1.000")</f>
        <v>MP  119  0.8640.9270.9270.9270.9270.9901.000</v>
      </c>
    </row>
    <row r="19" spans="1:12" x14ac:dyDescent="0.25">
      <c r="A19" t="s">
        <v>304</v>
      </c>
      <c r="B19" t="str">
        <f t="shared" si="3"/>
        <v/>
      </c>
      <c r="C19" s="11" t="str">
        <f>IF($B19&lt;&gt;"",TEXT(1-manut_MP($B19,C$1,C$2)/VLOOKUP(VALUE(MID($A19,5,3)),BASE_Pot!$A$2:$B$321,2,FALSE),"0.000"),"")</f>
        <v/>
      </c>
      <c r="D19" s="11" t="str">
        <f>IF($B19&lt;&gt;"",TEXT(1-manut_MP($B19,D$1,D$2)/VLOOKUP(VALUE(MID($A19,5,3)),BASE_Pot!$A$2:$B$321,2,FALSE),"0.000"),"")</f>
        <v/>
      </c>
      <c r="E19" s="11" t="str">
        <f>IF($B19&lt;&gt;"",TEXT(1-manut_MP($B19,E$1,E$2)/VLOOKUP(VALUE(MID($A19,5,3)),BASE_Pot!$A$2:$B$321,2,FALSE),"0.000"),"")</f>
        <v/>
      </c>
      <c r="F19" s="11" t="str">
        <f>IF($B19&lt;&gt;"",TEXT(1-manut_MP($B19,F$1,F$2)/VLOOKUP(VALUE(MID($A19,5,3)),BASE_Pot!$A$2:$B$321,2,FALSE),"0.000"),"")</f>
        <v/>
      </c>
      <c r="G19" s="11" t="str">
        <f>IF($B19&lt;&gt;"",TEXT(1-manut_MP($B19,G$1,G$2)/VLOOKUP(VALUE(MID($A19,5,3)),BASE_Pot!$A$2:$B$321,2,FALSE),"0.000"),"")</f>
        <v/>
      </c>
      <c r="H19" s="11" t="str">
        <f>IF($B19&lt;&gt;"",TEXT(1-manut_MP($B19,H$1,H$2)/VLOOKUP(VALUE(MID($A19,5,3)),BASE_Pot!$A$2:$B$321,2,FALSE),"0.000"),"")</f>
        <v/>
      </c>
      <c r="I19" s="11" t="str">
        <f>IF($B19&lt;&gt;"",TEXT(1-manut_MP($B19,I$1,I$2)/VLOOKUP(VALUE(MID($A19,5,3)),BASE_Pot!$A$2:$B$321,2,FALSE),"0.000"),"")</f>
        <v/>
      </c>
      <c r="J19" t="str">
        <f>""</f>
        <v/>
      </c>
      <c r="L19" t="str">
        <f t="shared" ref="L19:L82" si="4">IF(LEFT(A19,1)="&amp;",A19,A19&amp;"  "&amp;LEFT(INDEX($C19:$J19,1,MIN($M$1,8))&amp;INDEX($C19:$J19,1,MIN($M$1+1,8))&amp;INDEX($C19:$J19,1,MIN($M$1+2,8))&amp;INDEX($C19:$J19,1,MIN($M$1+3,8))&amp;INDEX($C19:$J19,1,MIN($M$1+4,8))&amp;INDEX($C19:$J19,1,MIN($M$1+5,8))&amp;INDEX($C19:$J19,1,MIN($M$1+6,8))&amp;INDEX($C19:$J19,1,MIN($M$1+7,8)),5*($P$1-1))&amp;"1.000")</f>
        <v>&amp;.................................</v>
      </c>
    </row>
    <row r="20" spans="1:12" x14ac:dyDescent="0.25">
      <c r="A20" t="s">
        <v>307</v>
      </c>
      <c r="B20" t="str">
        <f t="shared" si="3"/>
        <v/>
      </c>
      <c r="C20" s="11" t="str">
        <f>IF($B20&lt;&gt;"",TEXT(1-manut_MP($B20,C$1,C$2)/VLOOKUP(VALUE(MID($A20,5,3)),BASE_Pot!$A$2:$B$321,2,FALSE),"0.000"),"")</f>
        <v/>
      </c>
      <c r="D20" s="11" t="str">
        <f>IF($B20&lt;&gt;"",TEXT(1-manut_MP($B20,D$1,D$2)/VLOOKUP(VALUE(MID($A20,5,3)),BASE_Pot!$A$2:$B$321,2,FALSE),"0.000"),"")</f>
        <v/>
      </c>
      <c r="E20" s="11" t="str">
        <f>IF($B20&lt;&gt;"",TEXT(1-manut_MP($B20,E$1,E$2)/VLOOKUP(VALUE(MID($A20,5,3)),BASE_Pot!$A$2:$B$321,2,FALSE),"0.000"),"")</f>
        <v/>
      </c>
      <c r="F20" s="11" t="str">
        <f>IF($B20&lt;&gt;"",TEXT(1-manut_MP($B20,F$1,F$2)/VLOOKUP(VALUE(MID($A20,5,3)),BASE_Pot!$A$2:$B$321,2,FALSE),"0.000"),"")</f>
        <v/>
      </c>
      <c r="G20" s="11" t="str">
        <f>IF($B20&lt;&gt;"",TEXT(1-manut_MP($B20,G$1,G$2)/VLOOKUP(VALUE(MID($A20,5,3)),BASE_Pot!$A$2:$B$321,2,FALSE),"0.000"),"")</f>
        <v/>
      </c>
      <c r="H20" s="11" t="str">
        <f>IF($B20&lt;&gt;"",TEXT(1-manut_MP($B20,H$1,H$2)/VLOOKUP(VALUE(MID($A20,5,3)),BASE_Pot!$A$2:$B$321,2,FALSE),"0.000"),"")</f>
        <v/>
      </c>
      <c r="I20" s="11" t="str">
        <f>IF($B20&lt;&gt;"",TEXT(1-manut_MP($B20,I$1,I$2)/VLOOKUP(VALUE(MID($A20,5,3)),BASE_Pot!$A$2:$B$321,2,FALSE),"0.000"),"")</f>
        <v/>
      </c>
      <c r="J20" t="str">
        <f>""</f>
        <v/>
      </c>
      <c r="L20" t="str">
        <f t="shared" si="4"/>
        <v>&amp;         CESP</v>
      </c>
    </row>
    <row r="21" spans="1:12" x14ac:dyDescent="0.25">
      <c r="A21" t="s">
        <v>304</v>
      </c>
      <c r="B21" t="str">
        <f t="shared" si="3"/>
        <v/>
      </c>
      <c r="C21" s="11" t="str">
        <f>IF($B21&lt;&gt;"",TEXT(1-manut_MP($B21,C$1,C$2)/VLOOKUP(VALUE(MID($A21,5,3)),BASE_Pot!$A$2:$B$321,2,FALSE),"0.000"),"")</f>
        <v/>
      </c>
      <c r="D21" s="11" t="str">
        <f>IF($B21&lt;&gt;"",TEXT(1-manut_MP($B21,D$1,D$2)/VLOOKUP(VALUE(MID($A21,5,3)),BASE_Pot!$A$2:$B$321,2,FALSE),"0.000"),"")</f>
        <v/>
      </c>
      <c r="E21" s="11" t="str">
        <f>IF($B21&lt;&gt;"",TEXT(1-manut_MP($B21,E$1,E$2)/VLOOKUP(VALUE(MID($A21,5,3)),BASE_Pot!$A$2:$B$321,2,FALSE),"0.000"),"")</f>
        <v/>
      </c>
      <c r="F21" s="11" t="str">
        <f>IF($B21&lt;&gt;"",TEXT(1-manut_MP($B21,F$1,F$2)/VLOOKUP(VALUE(MID($A21,5,3)),BASE_Pot!$A$2:$B$321,2,FALSE),"0.000"),"")</f>
        <v/>
      </c>
      <c r="G21" s="11" t="str">
        <f>IF($B21&lt;&gt;"",TEXT(1-manut_MP($B21,G$1,G$2)/VLOOKUP(VALUE(MID($A21,5,3)),BASE_Pot!$A$2:$B$321,2,FALSE),"0.000"),"")</f>
        <v/>
      </c>
      <c r="H21" s="11" t="str">
        <f>IF($B21&lt;&gt;"",TEXT(1-manut_MP($B21,H$1,H$2)/VLOOKUP(VALUE(MID($A21,5,3)),BASE_Pot!$A$2:$B$321,2,FALSE),"0.000"),"")</f>
        <v/>
      </c>
      <c r="I21" s="11" t="str">
        <f>IF($B21&lt;&gt;"",TEXT(1-manut_MP($B21,I$1,I$2)/VLOOKUP(VALUE(MID($A21,5,3)),BASE_Pot!$A$2:$B$321,2,FALSE),"0.000"),"")</f>
        <v/>
      </c>
      <c r="J21" t="str">
        <f>""</f>
        <v/>
      </c>
      <c r="L21" t="str">
        <f t="shared" si="4"/>
        <v>&amp;.................................</v>
      </c>
    </row>
    <row r="22" spans="1:12" x14ac:dyDescent="0.25">
      <c r="A22" t="s">
        <v>308</v>
      </c>
      <c r="B22" t="str">
        <f t="shared" si="3"/>
        <v/>
      </c>
      <c r="C22" s="11" t="str">
        <f>IF($B22&lt;&gt;"",TEXT(1-manut_MP($B22,C$1,C$2)/VLOOKUP(VALUE(MID($A22,5,3)),BASE_Pot!$A$2:$B$321,2,FALSE),"0.000"),"")</f>
        <v/>
      </c>
      <c r="D22" s="11" t="str">
        <f>IF($B22&lt;&gt;"",TEXT(1-manut_MP($B22,D$1,D$2)/VLOOKUP(VALUE(MID($A22,5,3)),BASE_Pot!$A$2:$B$321,2,FALSE),"0.000"),"")</f>
        <v/>
      </c>
      <c r="E22" s="11" t="str">
        <f>IF($B22&lt;&gt;"",TEXT(1-manut_MP($B22,E$1,E$2)/VLOOKUP(VALUE(MID($A22,5,3)),BASE_Pot!$A$2:$B$321,2,FALSE),"0.000"),"")</f>
        <v/>
      </c>
      <c r="F22" s="11" t="str">
        <f>IF($B22&lt;&gt;"",TEXT(1-manut_MP($B22,F$1,F$2)/VLOOKUP(VALUE(MID($A22,5,3)),BASE_Pot!$A$2:$B$321,2,FALSE),"0.000"),"")</f>
        <v/>
      </c>
      <c r="G22" s="11" t="str">
        <f>IF($B22&lt;&gt;"",TEXT(1-manut_MP($B22,G$1,G$2)/VLOOKUP(VALUE(MID($A22,5,3)),BASE_Pot!$A$2:$B$321,2,FALSE),"0.000"),"")</f>
        <v/>
      </c>
      <c r="H22" s="11" t="str">
        <f>IF($B22&lt;&gt;"",TEXT(1-manut_MP($B22,H$1,H$2)/VLOOKUP(VALUE(MID($A22,5,3)),BASE_Pot!$A$2:$B$321,2,FALSE),"0.000"),"")</f>
        <v/>
      </c>
      <c r="I22" s="11" t="str">
        <f>IF($B22&lt;&gt;"",TEXT(1-manut_MP($B22,I$1,I$2)/VLOOKUP(VALUE(MID($A22,5,3)),BASE_Pot!$A$2:$B$321,2,FALSE),"0.000"),"")</f>
        <v/>
      </c>
      <c r="J22" t="str">
        <f>""</f>
        <v/>
      </c>
      <c r="L22" t="str">
        <f t="shared" si="4"/>
        <v>&amp;I. SOLT. EQV</v>
      </c>
    </row>
    <row r="23" spans="1:12" x14ac:dyDescent="0.25">
      <c r="A23" t="s">
        <v>499</v>
      </c>
      <c r="B23" t="str">
        <f t="shared" si="3"/>
        <v xml:space="preserve"> 44-H</v>
      </c>
      <c r="C23" s="11" t="str">
        <f>IF($B23&lt;&gt;"",TEXT(1-manut_MP($B23,C$1,C$2)/VLOOKUP(VALUE(MID($A23,5,3)),BASE_Pot!$A$2:$B$321,2,FALSE),"0.000"),"")</f>
        <v>0.939</v>
      </c>
      <c r="D23" s="11" t="str">
        <f>IF($B23&lt;&gt;"",TEXT(1-manut_MP($B23,D$1,D$2)/VLOOKUP(VALUE(MID($A23,5,3)),BASE_Pot!$A$2:$B$321,2,FALSE),"0.000"),"")</f>
        <v>0.962</v>
      </c>
      <c r="E23" s="11" t="str">
        <f>IF($B23&lt;&gt;"",TEXT(1-manut_MP($B23,E$1,E$2)/VLOOKUP(VALUE(MID($A23,5,3)),BASE_Pot!$A$2:$B$321,2,FALSE),"0.000"),"")</f>
        <v>0.962</v>
      </c>
      <c r="F23" s="11" t="str">
        <f>IF($B23&lt;&gt;"",TEXT(1-manut_MP($B23,F$1,F$2)/VLOOKUP(VALUE(MID($A23,5,3)),BASE_Pot!$A$2:$B$321,2,FALSE),"0.000"),"")</f>
        <v>0.962</v>
      </c>
      <c r="G23" s="11" t="str">
        <f>IF($B23&lt;&gt;"",TEXT(1-manut_MP($B23,G$1,G$2)/VLOOKUP(VALUE(MID($A23,5,3)),BASE_Pot!$A$2:$B$321,2,FALSE),"0.000"),"")</f>
        <v>0.962</v>
      </c>
      <c r="H23" s="11" t="str">
        <f>IF($B23&lt;&gt;"",TEXT(1-manut_MP($B23,H$1,H$2)/VLOOKUP(VALUE(MID($A23,5,3)),BASE_Pot!$A$2:$B$321,2,FALSE),"0.000"),"")</f>
        <v>0.995</v>
      </c>
      <c r="I23" s="11" t="str">
        <f>IF($B23&lt;&gt;"",TEXT(1-manut_MP($B23,I$1,I$2)/VLOOKUP(VALUE(MID($A23,5,3)),BASE_Pot!$A$2:$B$321,2,FALSE),"0.000"),"")</f>
        <v>1.000</v>
      </c>
      <c r="J23" t="str">
        <f>""</f>
        <v/>
      </c>
      <c r="L23" t="str">
        <f t="shared" si="4"/>
        <v>MP   44  0.9390.9620.9620.9620.9620.9951.000</v>
      </c>
    </row>
    <row r="24" spans="1:12" x14ac:dyDescent="0.25">
      <c r="A24" t="s">
        <v>309</v>
      </c>
      <c r="B24" t="str">
        <f t="shared" si="3"/>
        <v/>
      </c>
      <c r="C24" s="11" t="str">
        <f>IF($B24&lt;&gt;"",TEXT(1-manut_MP($B24,C$1,C$2)/VLOOKUP(VALUE(MID($A24,5,3)),BASE_Pot!$A$2:$B$321,2,FALSE),"0.000"),"")</f>
        <v/>
      </c>
      <c r="D24" s="11" t="str">
        <f>IF($B24&lt;&gt;"",TEXT(1-manut_MP($B24,D$1,D$2)/VLOOKUP(VALUE(MID($A24,5,3)),BASE_Pot!$A$2:$B$321,2,FALSE),"0.000"),"")</f>
        <v/>
      </c>
      <c r="E24" s="11" t="str">
        <f>IF($B24&lt;&gt;"",TEXT(1-manut_MP($B24,E$1,E$2)/VLOOKUP(VALUE(MID($A24,5,3)),BASE_Pot!$A$2:$B$321,2,FALSE),"0.000"),"")</f>
        <v/>
      </c>
      <c r="F24" s="11" t="str">
        <f>IF($B24&lt;&gt;"",TEXT(1-manut_MP($B24,F$1,F$2)/VLOOKUP(VALUE(MID($A24,5,3)),BASE_Pot!$A$2:$B$321,2,FALSE),"0.000"),"")</f>
        <v/>
      </c>
      <c r="G24" s="11" t="str">
        <f>IF($B24&lt;&gt;"",TEXT(1-manut_MP($B24,G$1,G$2)/VLOOKUP(VALUE(MID($A24,5,3)),BASE_Pot!$A$2:$B$321,2,FALSE),"0.000"),"")</f>
        <v/>
      </c>
      <c r="H24" s="11" t="str">
        <f>IF($B24&lt;&gt;"",TEXT(1-manut_MP($B24,H$1,H$2)/VLOOKUP(VALUE(MID($A24,5,3)),BASE_Pot!$A$2:$B$321,2,FALSE),"0.000"),"")</f>
        <v/>
      </c>
      <c r="I24" s="11" t="str">
        <f>IF($B24&lt;&gt;"",TEXT(1-manut_MP($B24,I$1,I$2)/VLOOKUP(VALUE(MID($A24,5,3)),BASE_Pot!$A$2:$B$321,2,FALSE),"0.000"),"")</f>
        <v/>
      </c>
      <c r="J24" t="str">
        <f>""</f>
        <v/>
      </c>
      <c r="L24" t="str">
        <f t="shared" si="4"/>
        <v>&amp;JUPIA</v>
      </c>
    </row>
    <row r="25" spans="1:12" x14ac:dyDescent="0.25">
      <c r="A25" t="s">
        <v>500</v>
      </c>
      <c r="B25" t="str">
        <f t="shared" si="3"/>
        <v xml:space="preserve"> 45-H</v>
      </c>
      <c r="C25" s="11" t="str">
        <f>IF($B25&lt;&gt;"",TEXT(1-manut_MP($B25,C$1,C$2)/VLOOKUP(VALUE(MID($A25,5,3)),BASE_Pot!$A$2:$B$321,2,FALSE),"0.000"),"")</f>
        <v>1.000</v>
      </c>
      <c r="D25" s="11" t="str">
        <f>IF($B25&lt;&gt;"",TEXT(1-manut_MP($B25,D$1,D$2)/VLOOKUP(VALUE(MID($A25,5,3)),BASE_Pot!$A$2:$B$321,2,FALSE),"0.000"),"")</f>
        <v>1.000</v>
      </c>
      <c r="E25" s="11" t="str">
        <f>IF($B25&lt;&gt;"",TEXT(1-manut_MP($B25,E$1,E$2)/VLOOKUP(VALUE(MID($A25,5,3)),BASE_Pot!$A$2:$B$321,2,FALSE),"0.000"),"")</f>
        <v>1.000</v>
      </c>
      <c r="F25" s="11" t="str">
        <f>IF($B25&lt;&gt;"",TEXT(1-manut_MP($B25,F$1,F$2)/VLOOKUP(VALUE(MID($A25,5,3)),BASE_Pot!$A$2:$B$321,2,FALSE),"0.000"),"")</f>
        <v>1.000</v>
      </c>
      <c r="G25" s="11" t="str">
        <f>IF($B25&lt;&gt;"",TEXT(1-manut_MP($B25,G$1,G$2)/VLOOKUP(VALUE(MID($A25,5,3)),BASE_Pot!$A$2:$B$321,2,FALSE),"0.000"),"")</f>
        <v>1.000</v>
      </c>
      <c r="H25" s="11" t="str">
        <f>IF($B25&lt;&gt;"",TEXT(1-manut_MP($B25,H$1,H$2)/VLOOKUP(VALUE(MID($A25,5,3)),BASE_Pot!$A$2:$B$321,2,FALSE),"0.000"),"")</f>
        <v>1.000</v>
      </c>
      <c r="I25" s="11" t="str">
        <f>IF($B25&lt;&gt;"",TEXT(1-manut_MP($B25,I$1,I$2)/VLOOKUP(VALUE(MID($A25,5,3)),BASE_Pot!$A$2:$B$321,2,FALSE),"0.000"),"")</f>
        <v>1.000</v>
      </c>
      <c r="J25" t="str">
        <f>""</f>
        <v/>
      </c>
      <c r="L25" t="str">
        <f t="shared" si="4"/>
        <v>MP   45  1.0001.0001.0001.0001.0001.0001.000</v>
      </c>
    </row>
    <row r="26" spans="1:12" x14ac:dyDescent="0.25">
      <c r="A26" t="s">
        <v>310</v>
      </c>
      <c r="B26" t="str">
        <f t="shared" si="3"/>
        <v/>
      </c>
      <c r="C26" s="11" t="str">
        <f>IF($B26&lt;&gt;"",TEXT(1-manut_MP($B26,C$1,C$2)/VLOOKUP(VALUE(MID($A26,5,3)),BASE_Pot!$A$2:$B$321,2,FALSE),"0.000"),"")</f>
        <v/>
      </c>
      <c r="D26" s="11" t="str">
        <f>IF($B26&lt;&gt;"",TEXT(1-manut_MP($B26,D$1,D$2)/VLOOKUP(VALUE(MID($A26,5,3)),BASE_Pot!$A$2:$B$321,2,FALSE),"0.000"),"")</f>
        <v/>
      </c>
      <c r="E26" s="11" t="str">
        <f>IF($B26&lt;&gt;"",TEXT(1-manut_MP($B26,E$1,E$2)/VLOOKUP(VALUE(MID($A26,5,3)),BASE_Pot!$A$2:$B$321,2,FALSE),"0.000"),"")</f>
        <v/>
      </c>
      <c r="F26" s="11" t="str">
        <f>IF($B26&lt;&gt;"",TEXT(1-manut_MP($B26,F$1,F$2)/VLOOKUP(VALUE(MID($A26,5,3)),BASE_Pot!$A$2:$B$321,2,FALSE),"0.000"),"")</f>
        <v/>
      </c>
      <c r="G26" s="11" t="str">
        <f>IF($B26&lt;&gt;"",TEXT(1-manut_MP($B26,G$1,G$2)/VLOOKUP(VALUE(MID($A26,5,3)),BASE_Pot!$A$2:$B$321,2,FALSE),"0.000"),"")</f>
        <v/>
      </c>
      <c r="H26" s="11" t="str">
        <f>IF($B26&lt;&gt;"",TEXT(1-manut_MP($B26,H$1,H$2)/VLOOKUP(VALUE(MID($A26,5,3)),BASE_Pot!$A$2:$B$321,2,FALSE),"0.000"),"")</f>
        <v/>
      </c>
      <c r="I26" s="11" t="str">
        <f>IF($B26&lt;&gt;"",TEXT(1-manut_MP($B26,I$1,I$2)/VLOOKUP(VALUE(MID($A26,5,3)),BASE_Pot!$A$2:$B$321,2,FALSE),"0.000"),"")</f>
        <v/>
      </c>
      <c r="J26" t="str">
        <f>""</f>
        <v/>
      </c>
      <c r="L26" t="str">
        <f t="shared" si="4"/>
        <v>&amp;P. PRIMAVERA</v>
      </c>
    </row>
    <row r="27" spans="1:12" x14ac:dyDescent="0.25">
      <c r="A27" t="s">
        <v>501</v>
      </c>
      <c r="B27" t="str">
        <f t="shared" si="3"/>
        <v xml:space="preserve"> 46-H</v>
      </c>
      <c r="C27" s="11" t="str">
        <f>IF($B27&lt;&gt;"",TEXT(1-manut_MP($B27,C$1,C$2)/VLOOKUP(VALUE(MID($A27,5,3)),BASE_Pot!$A$2:$B$321,2,FALSE),"0.000"),"")</f>
        <v>0.929</v>
      </c>
      <c r="D27" s="11" t="str">
        <f>IF($B27&lt;&gt;"",TEXT(1-manut_MP($B27,D$1,D$2)/VLOOKUP(VALUE(MID($A27,5,3)),BASE_Pot!$A$2:$B$321,2,FALSE),"0.000"),"")</f>
        <v>0.929</v>
      </c>
      <c r="E27" s="11" t="str">
        <f>IF($B27&lt;&gt;"",TEXT(1-manut_MP($B27,E$1,E$2)/VLOOKUP(VALUE(MID($A27,5,3)),BASE_Pot!$A$2:$B$321,2,FALSE),"0.000"),"")</f>
        <v>0.959</v>
      </c>
      <c r="F27" s="11" t="str">
        <f>IF($B27&lt;&gt;"",TEXT(1-manut_MP($B27,F$1,F$2)/VLOOKUP(VALUE(MID($A27,5,3)),BASE_Pot!$A$2:$B$321,2,FALSE),"0.000"),"")</f>
        <v>1.000</v>
      </c>
      <c r="G27" s="11" t="str">
        <f>IF($B27&lt;&gt;"",TEXT(1-manut_MP($B27,G$1,G$2)/VLOOKUP(VALUE(MID($A27,5,3)),BASE_Pot!$A$2:$B$321,2,FALSE),"0.000"),"")</f>
        <v>1.000</v>
      </c>
      <c r="H27" s="11" t="str">
        <f>IF($B27&lt;&gt;"",TEXT(1-manut_MP($B27,H$1,H$2)/VLOOKUP(VALUE(MID($A27,5,3)),BASE_Pot!$A$2:$B$321,2,FALSE),"0.000"),"")</f>
        <v>1.000</v>
      </c>
      <c r="I27" s="11" t="str">
        <f>IF($B27&lt;&gt;"",TEXT(1-manut_MP($B27,I$1,I$2)/VLOOKUP(VALUE(MID($A27,5,3)),BASE_Pot!$A$2:$B$321,2,FALSE),"0.000"),"")</f>
        <v>1.000</v>
      </c>
      <c r="J27" t="str">
        <f>""</f>
        <v/>
      </c>
      <c r="L27" t="str">
        <f t="shared" si="4"/>
        <v>MP   46  0.9290.9290.9591.0001.0001.0001.000</v>
      </c>
    </row>
    <row r="28" spans="1:12" x14ac:dyDescent="0.25">
      <c r="A28" t="s">
        <v>311</v>
      </c>
      <c r="B28" t="str">
        <f t="shared" si="3"/>
        <v/>
      </c>
      <c r="C28" s="11" t="str">
        <f>IF($B28&lt;&gt;"",TEXT(1-manut_MP($B28,C$1,C$2)/VLOOKUP(VALUE(MID($A28,5,3)),BASE_Pot!$A$2:$B$321,2,FALSE),"0.000"),"")</f>
        <v/>
      </c>
      <c r="D28" s="11" t="str">
        <f>IF($B28&lt;&gt;"",TEXT(1-manut_MP($B28,D$1,D$2)/VLOOKUP(VALUE(MID($A28,5,3)),BASE_Pot!$A$2:$B$321,2,FALSE),"0.000"),"")</f>
        <v/>
      </c>
      <c r="E28" s="11" t="str">
        <f>IF($B28&lt;&gt;"",TEXT(1-manut_MP($B28,E$1,E$2)/VLOOKUP(VALUE(MID($A28,5,3)),BASE_Pot!$A$2:$B$321,2,FALSE),"0.000"),"")</f>
        <v/>
      </c>
      <c r="F28" s="11" t="str">
        <f>IF($B28&lt;&gt;"",TEXT(1-manut_MP($B28,F$1,F$2)/VLOOKUP(VALUE(MID($A28,5,3)),BASE_Pot!$A$2:$B$321,2,FALSE),"0.000"),"")</f>
        <v/>
      </c>
      <c r="G28" s="11" t="str">
        <f>IF($B28&lt;&gt;"",TEXT(1-manut_MP($B28,G$1,G$2)/VLOOKUP(VALUE(MID($A28,5,3)),BASE_Pot!$A$2:$B$321,2,FALSE),"0.000"),"")</f>
        <v/>
      </c>
      <c r="H28" s="11" t="str">
        <f>IF($B28&lt;&gt;"",TEXT(1-manut_MP($B28,H$1,H$2)/VLOOKUP(VALUE(MID($A28,5,3)),BASE_Pot!$A$2:$B$321,2,FALSE),"0.000"),"")</f>
        <v/>
      </c>
      <c r="I28" s="11" t="str">
        <f>IF($B28&lt;&gt;"",TEXT(1-manut_MP($B28,I$1,I$2)/VLOOKUP(VALUE(MID($A28,5,3)),BASE_Pot!$A$2:$B$321,2,FALSE),"0.000"),"")</f>
        <v/>
      </c>
      <c r="J28" t="str">
        <f>""</f>
        <v/>
      </c>
      <c r="L28" t="str">
        <f t="shared" si="4"/>
        <v>&amp;JAGUARI</v>
      </c>
    </row>
    <row r="29" spans="1:12" x14ac:dyDescent="0.25">
      <c r="A29" t="s">
        <v>502</v>
      </c>
      <c r="B29" t="str">
        <f t="shared" si="3"/>
        <v>120-H</v>
      </c>
      <c r="C29" s="11" t="str">
        <f>IF($B29&lt;&gt;"",TEXT(1-manut_MP($B29,C$1,C$2)/VLOOKUP(VALUE(MID($A29,5,3)),BASE_Pot!$A$2:$B$321,2,FALSE),"0.000"),"")</f>
        <v>1.000</v>
      </c>
      <c r="D29" s="11" t="str">
        <f>IF($B29&lt;&gt;"",TEXT(1-manut_MP($B29,D$1,D$2)/VLOOKUP(VALUE(MID($A29,5,3)),BASE_Pot!$A$2:$B$321,2,FALSE),"0.000"),"")</f>
        <v>1.000</v>
      </c>
      <c r="E29" s="11" t="str">
        <f>IF($B29&lt;&gt;"",TEXT(1-manut_MP($B29,E$1,E$2)/VLOOKUP(VALUE(MID($A29,5,3)),BASE_Pot!$A$2:$B$321,2,FALSE),"0.000"),"")</f>
        <v>1.000</v>
      </c>
      <c r="F29" s="11" t="str">
        <f>IF($B29&lt;&gt;"",TEXT(1-manut_MP($B29,F$1,F$2)/VLOOKUP(VALUE(MID($A29,5,3)),BASE_Pot!$A$2:$B$321,2,FALSE),"0.000"),"")</f>
        <v>1.000</v>
      </c>
      <c r="G29" s="11" t="str">
        <f>IF($B29&lt;&gt;"",TEXT(1-manut_MP($B29,G$1,G$2)/VLOOKUP(VALUE(MID($A29,5,3)),BASE_Pot!$A$2:$B$321,2,FALSE),"0.000"),"")</f>
        <v>1.000</v>
      </c>
      <c r="H29" s="11" t="str">
        <f>IF($B29&lt;&gt;"",TEXT(1-manut_MP($B29,H$1,H$2)/VLOOKUP(VALUE(MID($A29,5,3)),BASE_Pot!$A$2:$B$321,2,FALSE),"0.000"),"")</f>
        <v>1.000</v>
      </c>
      <c r="I29" s="11" t="str">
        <f>IF($B29&lt;&gt;"",TEXT(1-manut_MP($B29,I$1,I$2)/VLOOKUP(VALUE(MID($A29,5,3)),BASE_Pot!$A$2:$B$321,2,FALSE),"0.000"),"")</f>
        <v>1.000</v>
      </c>
      <c r="J29" t="str">
        <f>""</f>
        <v/>
      </c>
      <c r="L29" t="str">
        <f t="shared" si="4"/>
        <v>MP  120  1.0001.0001.0001.0001.0001.0001.000</v>
      </c>
    </row>
    <row r="30" spans="1:12" x14ac:dyDescent="0.25">
      <c r="A30" t="s">
        <v>312</v>
      </c>
      <c r="B30" t="str">
        <f t="shared" si="3"/>
        <v/>
      </c>
      <c r="C30" s="11" t="str">
        <f>IF($B30&lt;&gt;"",TEXT(1-manut_MP($B30,C$1,C$2)/VLOOKUP(VALUE(MID($A30,5,3)),BASE_Pot!$A$2:$B$321,2,FALSE),"0.000"),"")</f>
        <v/>
      </c>
      <c r="D30" s="11" t="str">
        <f>IF($B30&lt;&gt;"",TEXT(1-manut_MP($B30,D$1,D$2)/VLOOKUP(VALUE(MID($A30,5,3)),BASE_Pot!$A$2:$B$321,2,FALSE),"0.000"),"")</f>
        <v/>
      </c>
      <c r="E30" s="11" t="str">
        <f>IF($B30&lt;&gt;"",TEXT(1-manut_MP($B30,E$1,E$2)/VLOOKUP(VALUE(MID($A30,5,3)),BASE_Pot!$A$2:$B$321,2,FALSE),"0.000"),"")</f>
        <v/>
      </c>
      <c r="F30" s="11" t="str">
        <f>IF($B30&lt;&gt;"",TEXT(1-manut_MP($B30,F$1,F$2)/VLOOKUP(VALUE(MID($A30,5,3)),BASE_Pot!$A$2:$B$321,2,FALSE),"0.000"),"")</f>
        <v/>
      </c>
      <c r="G30" s="11" t="str">
        <f>IF($B30&lt;&gt;"",TEXT(1-manut_MP($B30,G$1,G$2)/VLOOKUP(VALUE(MID($A30,5,3)),BASE_Pot!$A$2:$B$321,2,FALSE),"0.000"),"")</f>
        <v/>
      </c>
      <c r="H30" s="11" t="str">
        <f>IF($B30&lt;&gt;"",TEXT(1-manut_MP($B30,H$1,H$2)/VLOOKUP(VALUE(MID($A30,5,3)),BASE_Pot!$A$2:$B$321,2,FALSE),"0.000"),"")</f>
        <v/>
      </c>
      <c r="I30" s="11" t="str">
        <f>IF($B30&lt;&gt;"",TEXT(1-manut_MP($B30,I$1,I$2)/VLOOKUP(VALUE(MID($A30,5,3)),BASE_Pot!$A$2:$B$321,2,FALSE),"0.000"),"")</f>
        <v/>
      </c>
      <c r="J30" t="str">
        <f>""</f>
        <v/>
      </c>
      <c r="L30" t="str">
        <f t="shared" si="4"/>
        <v>&amp;PARAIBUNA</v>
      </c>
    </row>
    <row r="31" spans="1:12" x14ac:dyDescent="0.25">
      <c r="A31" t="s">
        <v>503</v>
      </c>
      <c r="B31" t="str">
        <f t="shared" si="3"/>
        <v>121-H</v>
      </c>
      <c r="C31" s="11" t="str">
        <f>IF($B31&lt;&gt;"",TEXT(1-manut_MP($B31,C$1,C$2)/VLOOKUP(VALUE(MID($A31,5,3)),BASE_Pot!$A$2:$B$321,2,FALSE),"0.000"),"")</f>
        <v>1.000</v>
      </c>
      <c r="D31" s="11" t="str">
        <f>IF($B31&lt;&gt;"",TEXT(1-manut_MP($B31,D$1,D$2)/VLOOKUP(VALUE(MID($A31,5,3)),BASE_Pot!$A$2:$B$321,2,FALSE),"0.000"),"")</f>
        <v>1.000</v>
      </c>
      <c r="E31" s="11" t="str">
        <f>IF($B31&lt;&gt;"",TEXT(1-manut_MP($B31,E$1,E$2)/VLOOKUP(VALUE(MID($A31,5,3)),BASE_Pot!$A$2:$B$321,2,FALSE),"0.000"),"")</f>
        <v>1.000</v>
      </c>
      <c r="F31" s="11" t="str">
        <f>IF($B31&lt;&gt;"",TEXT(1-manut_MP($B31,F$1,F$2)/VLOOKUP(VALUE(MID($A31,5,3)),BASE_Pot!$A$2:$B$321,2,FALSE),"0.000"),"")</f>
        <v>1.000</v>
      </c>
      <c r="G31" s="11" t="str">
        <f>IF($B31&lt;&gt;"",TEXT(1-manut_MP($B31,G$1,G$2)/VLOOKUP(VALUE(MID($A31,5,3)),BASE_Pot!$A$2:$B$321,2,FALSE),"0.000"),"")</f>
        <v>1.000</v>
      </c>
      <c r="H31" s="11" t="str">
        <f>IF($B31&lt;&gt;"",TEXT(1-manut_MP($B31,H$1,H$2)/VLOOKUP(VALUE(MID($A31,5,3)),BASE_Pot!$A$2:$B$321,2,FALSE),"0.000"),"")</f>
        <v>1.000</v>
      </c>
      <c r="I31" s="11" t="str">
        <f>IF($B31&lt;&gt;"",TEXT(1-manut_MP($B31,I$1,I$2)/VLOOKUP(VALUE(MID($A31,5,3)),BASE_Pot!$A$2:$B$321,2,FALSE),"0.000"),"")</f>
        <v>1.000</v>
      </c>
      <c r="J31" t="str">
        <f>""</f>
        <v/>
      </c>
      <c r="L31" t="str">
        <f t="shared" si="4"/>
        <v>MP  121  1.0001.0001.0001.0001.0001.0001.000</v>
      </c>
    </row>
    <row r="32" spans="1:12" x14ac:dyDescent="0.25">
      <c r="A32" t="s">
        <v>304</v>
      </c>
      <c r="B32" t="str">
        <f t="shared" si="3"/>
        <v/>
      </c>
      <c r="C32" s="11" t="str">
        <f>IF($B32&lt;&gt;"",TEXT(1-manut_MP($B32,C$1,C$2)/VLOOKUP(VALUE(MID($A32,5,3)),BASE_Pot!$A$2:$B$321,2,FALSE),"0.000"),"")</f>
        <v/>
      </c>
      <c r="D32" s="11" t="str">
        <f>IF($B32&lt;&gt;"",TEXT(1-manut_MP($B32,D$1,D$2)/VLOOKUP(VALUE(MID($A32,5,3)),BASE_Pot!$A$2:$B$321,2,FALSE),"0.000"),"")</f>
        <v/>
      </c>
      <c r="E32" s="11" t="str">
        <f>IF($B32&lt;&gt;"",TEXT(1-manut_MP($B32,E$1,E$2)/VLOOKUP(VALUE(MID($A32,5,3)),BASE_Pot!$A$2:$B$321,2,FALSE),"0.000"),"")</f>
        <v/>
      </c>
      <c r="F32" s="11" t="str">
        <f>IF($B32&lt;&gt;"",TEXT(1-manut_MP($B32,F$1,F$2)/VLOOKUP(VALUE(MID($A32,5,3)),BASE_Pot!$A$2:$B$321,2,FALSE),"0.000"),"")</f>
        <v/>
      </c>
      <c r="G32" s="11" t="str">
        <f>IF($B32&lt;&gt;"",TEXT(1-manut_MP($B32,G$1,G$2)/VLOOKUP(VALUE(MID($A32,5,3)),BASE_Pot!$A$2:$B$321,2,FALSE),"0.000"),"")</f>
        <v/>
      </c>
      <c r="H32" s="11" t="str">
        <f>IF($B32&lt;&gt;"",TEXT(1-manut_MP($B32,H$1,H$2)/VLOOKUP(VALUE(MID($A32,5,3)),BASE_Pot!$A$2:$B$321,2,FALSE),"0.000"),"")</f>
        <v/>
      </c>
      <c r="I32" s="11" t="str">
        <f>IF($B32&lt;&gt;"",TEXT(1-manut_MP($B32,I$1,I$2)/VLOOKUP(VALUE(MID($A32,5,3)),BASE_Pot!$A$2:$B$321,2,FALSE),"0.000"),"")</f>
        <v/>
      </c>
      <c r="J32" t="str">
        <f>""</f>
        <v/>
      </c>
      <c r="L32" t="str">
        <f t="shared" si="4"/>
        <v>&amp;.................................</v>
      </c>
    </row>
    <row r="33" spans="1:12" x14ac:dyDescent="0.25">
      <c r="A33" t="s">
        <v>313</v>
      </c>
      <c r="B33" t="str">
        <f t="shared" si="3"/>
        <v/>
      </c>
      <c r="C33" s="11" t="str">
        <f>IF($B33&lt;&gt;"",TEXT(1-manut_MP($B33,C$1,C$2)/VLOOKUP(VALUE(MID($A33,5,3)),BASE_Pot!$A$2:$B$321,2,FALSE),"0.000"),"")</f>
        <v/>
      </c>
      <c r="D33" s="11" t="str">
        <f>IF($B33&lt;&gt;"",TEXT(1-manut_MP($B33,D$1,D$2)/VLOOKUP(VALUE(MID($A33,5,3)),BASE_Pot!$A$2:$B$321,2,FALSE),"0.000"),"")</f>
        <v/>
      </c>
      <c r="E33" s="11" t="str">
        <f>IF($B33&lt;&gt;"",TEXT(1-manut_MP($B33,E$1,E$2)/VLOOKUP(VALUE(MID($A33,5,3)),BASE_Pot!$A$2:$B$321,2,FALSE),"0.000"),"")</f>
        <v/>
      </c>
      <c r="F33" s="11" t="str">
        <f>IF($B33&lt;&gt;"",TEXT(1-manut_MP($B33,F$1,F$2)/VLOOKUP(VALUE(MID($A33,5,3)),BASE_Pot!$A$2:$B$321,2,FALSE),"0.000"),"")</f>
        <v/>
      </c>
      <c r="G33" s="11" t="str">
        <f>IF($B33&lt;&gt;"",TEXT(1-manut_MP($B33,G$1,G$2)/VLOOKUP(VALUE(MID($A33,5,3)),BASE_Pot!$A$2:$B$321,2,FALSE),"0.000"),"")</f>
        <v/>
      </c>
      <c r="H33" s="11" t="str">
        <f>IF($B33&lt;&gt;"",TEXT(1-manut_MP($B33,H$1,H$2)/VLOOKUP(VALUE(MID($A33,5,3)),BASE_Pot!$A$2:$B$321,2,FALSE),"0.000"),"")</f>
        <v/>
      </c>
      <c r="I33" s="11" t="str">
        <f>IF($B33&lt;&gt;"",TEXT(1-manut_MP($B33,I$1,I$2)/VLOOKUP(VALUE(MID($A33,5,3)),BASE_Pot!$A$2:$B$321,2,FALSE),"0.000"),"")</f>
        <v/>
      </c>
      <c r="J33" t="str">
        <f>""</f>
        <v/>
      </c>
      <c r="L33" t="str">
        <f t="shared" si="4"/>
        <v>&amp;         LIGHT</v>
      </c>
    </row>
    <row r="34" spans="1:12" x14ac:dyDescent="0.25">
      <c r="A34" t="s">
        <v>304</v>
      </c>
      <c r="B34" t="str">
        <f t="shared" si="3"/>
        <v/>
      </c>
      <c r="C34" s="11" t="str">
        <f>IF($B34&lt;&gt;"",TEXT(1-manut_MP($B34,C$1,C$2)/VLOOKUP(VALUE(MID($A34,5,3)),BASE_Pot!$A$2:$B$321,2,FALSE),"0.000"),"")</f>
        <v/>
      </c>
      <c r="D34" s="11" t="str">
        <f>IF($B34&lt;&gt;"",TEXT(1-manut_MP($B34,D$1,D$2)/VLOOKUP(VALUE(MID($A34,5,3)),BASE_Pot!$A$2:$B$321,2,FALSE),"0.000"),"")</f>
        <v/>
      </c>
      <c r="E34" s="11" t="str">
        <f>IF($B34&lt;&gt;"",TEXT(1-manut_MP($B34,E$1,E$2)/VLOOKUP(VALUE(MID($A34,5,3)),BASE_Pot!$A$2:$B$321,2,FALSE),"0.000"),"")</f>
        <v/>
      </c>
      <c r="F34" s="11" t="str">
        <f>IF($B34&lt;&gt;"",TEXT(1-manut_MP($B34,F$1,F$2)/VLOOKUP(VALUE(MID($A34,5,3)),BASE_Pot!$A$2:$B$321,2,FALSE),"0.000"),"")</f>
        <v/>
      </c>
      <c r="G34" s="11" t="str">
        <f>IF($B34&lt;&gt;"",TEXT(1-manut_MP($B34,G$1,G$2)/VLOOKUP(VALUE(MID($A34,5,3)),BASE_Pot!$A$2:$B$321,2,FALSE),"0.000"),"")</f>
        <v/>
      </c>
      <c r="H34" s="11" t="str">
        <f>IF($B34&lt;&gt;"",TEXT(1-manut_MP($B34,H$1,H$2)/VLOOKUP(VALUE(MID($A34,5,3)),BASE_Pot!$A$2:$B$321,2,FALSE),"0.000"),"")</f>
        <v/>
      </c>
      <c r="I34" s="11" t="str">
        <f>IF($B34&lt;&gt;"",TEXT(1-manut_MP($B34,I$1,I$2)/VLOOKUP(VALUE(MID($A34,5,3)),BASE_Pot!$A$2:$B$321,2,FALSE),"0.000"),"")</f>
        <v/>
      </c>
      <c r="J34" t="str">
        <f>""</f>
        <v/>
      </c>
      <c r="L34" t="str">
        <f t="shared" si="4"/>
        <v>&amp;.................................</v>
      </c>
    </row>
    <row r="35" spans="1:12" x14ac:dyDescent="0.25">
      <c r="A35" t="s">
        <v>314</v>
      </c>
      <c r="B35" t="str">
        <f t="shared" si="3"/>
        <v/>
      </c>
      <c r="C35" s="11" t="str">
        <f>IF($B35&lt;&gt;"",TEXT(1-manut_MP($B35,C$1,C$2)/VLOOKUP(VALUE(MID($A35,5,3)),BASE_Pot!$A$2:$B$321,2,FALSE),"0.000"),"")</f>
        <v/>
      </c>
      <c r="D35" s="11" t="str">
        <f>IF($B35&lt;&gt;"",TEXT(1-manut_MP($B35,D$1,D$2)/VLOOKUP(VALUE(MID($A35,5,3)),BASE_Pot!$A$2:$B$321,2,FALSE),"0.000"),"")</f>
        <v/>
      </c>
      <c r="E35" s="11" t="str">
        <f>IF($B35&lt;&gt;"",TEXT(1-manut_MP($B35,E$1,E$2)/VLOOKUP(VALUE(MID($A35,5,3)),BASE_Pot!$A$2:$B$321,2,FALSE),"0.000"),"")</f>
        <v/>
      </c>
      <c r="F35" s="11" t="str">
        <f>IF($B35&lt;&gt;"",TEXT(1-manut_MP($B35,F$1,F$2)/VLOOKUP(VALUE(MID($A35,5,3)),BASE_Pot!$A$2:$B$321,2,FALSE),"0.000"),"")</f>
        <v/>
      </c>
      <c r="G35" s="11" t="str">
        <f>IF($B35&lt;&gt;"",TEXT(1-manut_MP($B35,G$1,G$2)/VLOOKUP(VALUE(MID($A35,5,3)),BASE_Pot!$A$2:$B$321,2,FALSE),"0.000"),"")</f>
        <v/>
      </c>
      <c r="H35" s="11" t="str">
        <f>IF($B35&lt;&gt;"",TEXT(1-manut_MP($B35,H$1,H$2)/VLOOKUP(VALUE(MID($A35,5,3)),BASE_Pot!$A$2:$B$321,2,FALSE),"0.000"),"")</f>
        <v/>
      </c>
      <c r="I35" s="11" t="str">
        <f>IF($B35&lt;&gt;"",TEXT(1-manut_MP($B35,I$1,I$2)/VLOOKUP(VALUE(MID($A35,5,3)),BASE_Pot!$A$2:$B$321,2,FALSE),"0.000"),"")</f>
        <v/>
      </c>
      <c r="J35" t="str">
        <f>""</f>
        <v/>
      </c>
      <c r="L35" t="str">
        <f t="shared" si="4"/>
        <v>&amp;SANTA BRANCA</v>
      </c>
    </row>
    <row r="36" spans="1:12" x14ac:dyDescent="0.25">
      <c r="A36" t="s">
        <v>504</v>
      </c>
      <c r="B36" t="str">
        <f t="shared" si="3"/>
        <v>122-H</v>
      </c>
      <c r="C36" s="11" t="str">
        <f>IF($B36&lt;&gt;"",TEXT(1-manut_MP($B36,C$1,C$2)/VLOOKUP(VALUE(MID($A36,5,3)),BASE_Pot!$A$2:$B$321,2,FALSE),"0.000"),"")</f>
        <v>1.000</v>
      </c>
      <c r="D36" s="11" t="str">
        <f>IF($B36&lt;&gt;"",TEXT(1-manut_MP($B36,D$1,D$2)/VLOOKUP(VALUE(MID($A36,5,3)),BASE_Pot!$A$2:$B$321,2,FALSE),"0.000"),"")</f>
        <v>1.000</v>
      </c>
      <c r="E36" s="11" t="str">
        <f>IF($B36&lt;&gt;"",TEXT(1-manut_MP($B36,E$1,E$2)/VLOOKUP(VALUE(MID($A36,5,3)),BASE_Pot!$A$2:$B$321,2,FALSE),"0.000"),"")</f>
        <v>1.000</v>
      </c>
      <c r="F36" s="11" t="str">
        <f>IF($B36&lt;&gt;"",TEXT(1-manut_MP($B36,F$1,F$2)/VLOOKUP(VALUE(MID($A36,5,3)),BASE_Pot!$A$2:$B$321,2,FALSE),"0.000"),"")</f>
        <v>1.000</v>
      </c>
      <c r="G36" s="11" t="str">
        <f>IF($B36&lt;&gt;"",TEXT(1-manut_MP($B36,G$1,G$2)/VLOOKUP(VALUE(MID($A36,5,3)),BASE_Pot!$A$2:$B$321,2,FALSE),"0.000"),"")</f>
        <v>1.000</v>
      </c>
      <c r="H36" s="11" t="str">
        <f>IF($B36&lt;&gt;"",TEXT(1-manut_MP($B36,H$1,H$2)/VLOOKUP(VALUE(MID($A36,5,3)),BASE_Pot!$A$2:$B$321,2,FALSE),"0.000"),"")</f>
        <v>1.000</v>
      </c>
      <c r="I36" s="11" t="str">
        <f>IF($B36&lt;&gt;"",TEXT(1-manut_MP($B36,I$1,I$2)/VLOOKUP(VALUE(MID($A36,5,3)),BASE_Pot!$A$2:$B$321,2,FALSE),"0.000"),"")</f>
        <v>1.000</v>
      </c>
      <c r="J36" t="str">
        <f>""</f>
        <v/>
      </c>
      <c r="L36" t="str">
        <f t="shared" si="4"/>
        <v>MP  122  1.0001.0001.0001.0001.0001.0001.000</v>
      </c>
    </row>
    <row r="37" spans="1:12" x14ac:dyDescent="0.25">
      <c r="A37" t="s">
        <v>315</v>
      </c>
      <c r="B37" t="str">
        <f t="shared" si="3"/>
        <v/>
      </c>
      <c r="C37" s="11" t="str">
        <f>IF($B37&lt;&gt;"",TEXT(1-manut_MP($B37,C$1,C$2)/VLOOKUP(VALUE(MID($A37,5,3)),BASE_Pot!$A$2:$B$321,2,FALSE),"0.000"),"")</f>
        <v/>
      </c>
      <c r="D37" s="11" t="str">
        <f>IF($B37&lt;&gt;"",TEXT(1-manut_MP($B37,D$1,D$2)/VLOOKUP(VALUE(MID($A37,5,3)),BASE_Pot!$A$2:$B$321,2,FALSE),"0.000"),"")</f>
        <v/>
      </c>
      <c r="E37" s="11" t="str">
        <f>IF($B37&lt;&gt;"",TEXT(1-manut_MP($B37,E$1,E$2)/VLOOKUP(VALUE(MID($A37,5,3)),BASE_Pot!$A$2:$B$321,2,FALSE),"0.000"),"")</f>
        <v/>
      </c>
      <c r="F37" s="11" t="str">
        <f>IF($B37&lt;&gt;"",TEXT(1-manut_MP($B37,F$1,F$2)/VLOOKUP(VALUE(MID($A37,5,3)),BASE_Pot!$A$2:$B$321,2,FALSE),"0.000"),"")</f>
        <v/>
      </c>
      <c r="G37" s="11" t="str">
        <f>IF($B37&lt;&gt;"",TEXT(1-manut_MP($B37,G$1,G$2)/VLOOKUP(VALUE(MID($A37,5,3)),BASE_Pot!$A$2:$B$321,2,FALSE),"0.000"),"")</f>
        <v/>
      </c>
      <c r="H37" s="11" t="str">
        <f>IF($B37&lt;&gt;"",TEXT(1-manut_MP($B37,H$1,H$2)/VLOOKUP(VALUE(MID($A37,5,3)),BASE_Pot!$A$2:$B$321,2,FALSE),"0.000"),"")</f>
        <v/>
      </c>
      <c r="I37" s="11" t="str">
        <f>IF($B37&lt;&gt;"",TEXT(1-manut_MP($B37,I$1,I$2)/VLOOKUP(VALUE(MID($A37,5,3)),BASE_Pot!$A$2:$B$321,2,FALSE),"0.000"),"")</f>
        <v/>
      </c>
      <c r="J37" t="str">
        <f>""</f>
        <v/>
      </c>
      <c r="L37" t="str">
        <f t="shared" si="4"/>
        <v>&amp;ILHA POMBOS</v>
      </c>
    </row>
    <row r="38" spans="1:12" x14ac:dyDescent="0.25">
      <c r="A38" t="s">
        <v>505</v>
      </c>
      <c r="B38" t="str">
        <f t="shared" si="3"/>
        <v>130-H</v>
      </c>
      <c r="C38" s="11" t="str">
        <f>IF($B38&lt;&gt;"",TEXT(1-manut_MP($B38,C$1,C$2)/VLOOKUP(VALUE(MID($A38,5,3)),BASE_Pot!$A$2:$B$321,2,FALSE),"0.000"),"")</f>
        <v>1.000</v>
      </c>
      <c r="D38" s="11" t="str">
        <f>IF($B38&lt;&gt;"",TEXT(1-manut_MP($B38,D$1,D$2)/VLOOKUP(VALUE(MID($A38,5,3)),BASE_Pot!$A$2:$B$321,2,FALSE),"0.000"),"")</f>
        <v>1.000</v>
      </c>
      <c r="E38" s="11" t="str">
        <f>IF($B38&lt;&gt;"",TEXT(1-manut_MP($B38,E$1,E$2)/VLOOKUP(VALUE(MID($A38,5,3)),BASE_Pot!$A$2:$B$321,2,FALSE),"0.000"),"")</f>
        <v>1.000</v>
      </c>
      <c r="F38" s="11" t="str">
        <f>IF($B38&lt;&gt;"",TEXT(1-manut_MP($B38,F$1,F$2)/VLOOKUP(VALUE(MID($A38,5,3)),BASE_Pot!$A$2:$B$321,2,FALSE),"0.000"),"")</f>
        <v>1.000</v>
      </c>
      <c r="G38" s="11" t="str">
        <f>IF($B38&lt;&gt;"",TEXT(1-manut_MP($B38,G$1,G$2)/VLOOKUP(VALUE(MID($A38,5,3)),BASE_Pot!$A$2:$B$321,2,FALSE),"0.000"),"")</f>
        <v>1.000</v>
      </c>
      <c r="H38" s="11" t="str">
        <f>IF($B38&lt;&gt;"",TEXT(1-manut_MP($B38,H$1,H$2)/VLOOKUP(VALUE(MID($A38,5,3)),BASE_Pot!$A$2:$B$321,2,FALSE),"0.000"),"")</f>
        <v>1.000</v>
      </c>
      <c r="I38" s="11" t="str">
        <f>IF($B38&lt;&gt;"",TEXT(1-manut_MP($B38,I$1,I$2)/VLOOKUP(VALUE(MID($A38,5,3)),BASE_Pot!$A$2:$B$321,2,FALSE),"0.000"),"")</f>
        <v>1.000</v>
      </c>
      <c r="J38" t="str">
        <f>""</f>
        <v/>
      </c>
      <c r="L38" t="str">
        <f t="shared" si="4"/>
        <v>MP  130  1.0001.0001.0001.0001.0001.0001.000</v>
      </c>
    </row>
    <row r="39" spans="1:12" x14ac:dyDescent="0.25">
      <c r="A39" t="s">
        <v>316</v>
      </c>
      <c r="B39" t="str">
        <f t="shared" si="3"/>
        <v/>
      </c>
      <c r="C39" s="11" t="str">
        <f>IF($B39&lt;&gt;"",TEXT(1-manut_MP($B39,C$1,C$2)/VLOOKUP(VALUE(MID($A39,5,3)),BASE_Pot!$A$2:$B$321,2,FALSE),"0.000"),"")</f>
        <v/>
      </c>
      <c r="D39" s="11" t="str">
        <f>IF($B39&lt;&gt;"",TEXT(1-manut_MP($B39,D$1,D$2)/VLOOKUP(VALUE(MID($A39,5,3)),BASE_Pot!$A$2:$B$321,2,FALSE),"0.000"),"")</f>
        <v/>
      </c>
      <c r="E39" s="11" t="str">
        <f>IF($B39&lt;&gt;"",TEXT(1-manut_MP($B39,E$1,E$2)/VLOOKUP(VALUE(MID($A39,5,3)),BASE_Pot!$A$2:$B$321,2,FALSE),"0.000"),"")</f>
        <v/>
      </c>
      <c r="F39" s="11" t="str">
        <f>IF($B39&lt;&gt;"",TEXT(1-manut_MP($B39,F$1,F$2)/VLOOKUP(VALUE(MID($A39,5,3)),BASE_Pot!$A$2:$B$321,2,FALSE),"0.000"),"")</f>
        <v/>
      </c>
      <c r="G39" s="11" t="str">
        <f>IF($B39&lt;&gt;"",TEXT(1-manut_MP($B39,G$1,G$2)/VLOOKUP(VALUE(MID($A39,5,3)),BASE_Pot!$A$2:$B$321,2,FALSE),"0.000"),"")</f>
        <v/>
      </c>
      <c r="H39" s="11" t="str">
        <f>IF($B39&lt;&gt;"",TEXT(1-manut_MP($B39,H$1,H$2)/VLOOKUP(VALUE(MID($A39,5,3)),BASE_Pot!$A$2:$B$321,2,FALSE),"0.000"),"")</f>
        <v/>
      </c>
      <c r="I39" s="11" t="str">
        <f>IF($B39&lt;&gt;"",TEXT(1-manut_MP($B39,I$1,I$2)/VLOOKUP(VALUE(MID($A39,5,3)),BASE_Pot!$A$2:$B$321,2,FALSE),"0.000"),"")</f>
        <v/>
      </c>
      <c r="J39" t="str">
        <f>""</f>
        <v/>
      </c>
      <c r="L39" t="str">
        <f t="shared" si="4"/>
        <v>&amp;NILO PECANHA</v>
      </c>
    </row>
    <row r="40" spans="1:12" x14ac:dyDescent="0.25">
      <c r="A40" t="s">
        <v>506</v>
      </c>
      <c r="B40" t="str">
        <f t="shared" si="3"/>
        <v>131-H</v>
      </c>
      <c r="C40" s="11" t="str">
        <f>IF($B40&lt;&gt;"",TEXT(1-manut_MP($B40,C$1,C$2)/VLOOKUP(VALUE(MID($A40,5,3)),BASE_Pot!$A$2:$B$321,2,FALSE),"0.000"),"")</f>
        <v>1.000</v>
      </c>
      <c r="D40" s="11" t="str">
        <f>IF($B40&lt;&gt;"",TEXT(1-manut_MP($B40,D$1,D$2)/VLOOKUP(VALUE(MID($A40,5,3)),BASE_Pot!$A$2:$B$321,2,FALSE),"0.000"),"")</f>
        <v>1.000</v>
      </c>
      <c r="E40" s="11" t="str">
        <f>IF($B40&lt;&gt;"",TEXT(1-manut_MP($B40,E$1,E$2)/VLOOKUP(VALUE(MID($A40,5,3)),BASE_Pot!$A$2:$B$321,2,FALSE),"0.000"),"")</f>
        <v>1.000</v>
      </c>
      <c r="F40" s="11" t="str">
        <f>IF($B40&lt;&gt;"",TEXT(1-manut_MP($B40,F$1,F$2)/VLOOKUP(VALUE(MID($A40,5,3)),BASE_Pot!$A$2:$B$321,2,FALSE),"0.000"),"")</f>
        <v>1.000</v>
      </c>
      <c r="G40" s="11" t="str">
        <f>IF($B40&lt;&gt;"",TEXT(1-manut_MP($B40,G$1,G$2)/VLOOKUP(VALUE(MID($A40,5,3)),BASE_Pot!$A$2:$B$321,2,FALSE),"0.000"),"")</f>
        <v>1.000</v>
      </c>
      <c r="H40" s="11" t="str">
        <f>IF($B40&lt;&gt;"",TEXT(1-manut_MP($B40,H$1,H$2)/VLOOKUP(VALUE(MID($A40,5,3)),BASE_Pot!$A$2:$B$321,2,FALSE),"0.000"),"")</f>
        <v>1.000</v>
      </c>
      <c r="I40" s="11" t="str">
        <f>IF($B40&lt;&gt;"",TEXT(1-manut_MP($B40,I$1,I$2)/VLOOKUP(VALUE(MID($A40,5,3)),BASE_Pot!$A$2:$B$321,2,FALSE),"0.000"),"")</f>
        <v>1.000</v>
      </c>
      <c r="J40" t="str">
        <f>""</f>
        <v/>
      </c>
      <c r="L40" t="str">
        <f t="shared" si="4"/>
        <v>MP  131  1.0001.0001.0001.0001.0001.0001.000</v>
      </c>
    </row>
    <row r="41" spans="1:12" x14ac:dyDescent="0.25">
      <c r="A41" t="s">
        <v>317</v>
      </c>
      <c r="B41" t="str">
        <f t="shared" si="3"/>
        <v/>
      </c>
      <c r="C41" s="11" t="str">
        <f>IF($B41&lt;&gt;"",TEXT(1-manut_MP($B41,C$1,C$2)/VLOOKUP(VALUE(MID($A41,5,3)),BASE_Pot!$A$2:$B$321,2,FALSE),"0.000"),"")</f>
        <v/>
      </c>
      <c r="D41" s="11" t="str">
        <f>IF($B41&lt;&gt;"",TEXT(1-manut_MP($B41,D$1,D$2)/VLOOKUP(VALUE(MID($A41,5,3)),BASE_Pot!$A$2:$B$321,2,FALSE),"0.000"),"")</f>
        <v/>
      </c>
      <c r="E41" s="11" t="str">
        <f>IF($B41&lt;&gt;"",TEXT(1-manut_MP($B41,E$1,E$2)/VLOOKUP(VALUE(MID($A41,5,3)),BASE_Pot!$A$2:$B$321,2,FALSE),"0.000"),"")</f>
        <v/>
      </c>
      <c r="F41" s="11" t="str">
        <f>IF($B41&lt;&gt;"",TEXT(1-manut_MP($B41,F$1,F$2)/VLOOKUP(VALUE(MID($A41,5,3)),BASE_Pot!$A$2:$B$321,2,FALSE),"0.000"),"")</f>
        <v/>
      </c>
      <c r="G41" s="11" t="str">
        <f>IF($B41&lt;&gt;"",TEXT(1-manut_MP($B41,G$1,G$2)/VLOOKUP(VALUE(MID($A41,5,3)),BASE_Pot!$A$2:$B$321,2,FALSE),"0.000"),"")</f>
        <v/>
      </c>
      <c r="H41" s="11" t="str">
        <f>IF($B41&lt;&gt;"",TEXT(1-manut_MP($B41,H$1,H$2)/VLOOKUP(VALUE(MID($A41,5,3)),BASE_Pot!$A$2:$B$321,2,FALSE),"0.000"),"")</f>
        <v/>
      </c>
      <c r="I41" s="11" t="str">
        <f>IF($B41&lt;&gt;"",TEXT(1-manut_MP($B41,I$1,I$2)/VLOOKUP(VALUE(MID($A41,5,3)),BASE_Pot!$A$2:$B$321,2,FALSE),"0.000"),"")</f>
        <v/>
      </c>
      <c r="J41" t="str">
        <f>""</f>
        <v/>
      </c>
      <c r="L41" t="str">
        <f t="shared" si="4"/>
        <v>&amp;P. PASSOS</v>
      </c>
    </row>
    <row r="42" spans="1:12" x14ac:dyDescent="0.25">
      <c r="A42" t="s">
        <v>507</v>
      </c>
      <c r="B42" t="str">
        <f t="shared" si="3"/>
        <v>133-H</v>
      </c>
      <c r="C42" s="11" t="str">
        <f>IF($B42&lt;&gt;"",TEXT(1-manut_MP($B42,C$1,C$2)/VLOOKUP(VALUE(MID($A42,5,3)),BASE_Pot!$A$2:$B$321,2,FALSE),"0.000"),"")</f>
        <v>1.000</v>
      </c>
      <c r="D42" s="11" t="str">
        <f>IF($B42&lt;&gt;"",TEXT(1-manut_MP($B42,D$1,D$2)/VLOOKUP(VALUE(MID($A42,5,3)),BASE_Pot!$A$2:$B$321,2,FALSE),"0.000"),"")</f>
        <v>1.000</v>
      </c>
      <c r="E42" s="11" t="str">
        <f>IF($B42&lt;&gt;"",TEXT(1-manut_MP($B42,E$1,E$2)/VLOOKUP(VALUE(MID($A42,5,3)),BASE_Pot!$A$2:$B$321,2,FALSE),"0.000"),"")</f>
        <v>1.000</v>
      </c>
      <c r="F42" s="11" t="str">
        <f>IF($B42&lt;&gt;"",TEXT(1-manut_MP($B42,F$1,F$2)/VLOOKUP(VALUE(MID($A42,5,3)),BASE_Pot!$A$2:$B$321,2,FALSE),"0.000"),"")</f>
        <v>1.000</v>
      </c>
      <c r="G42" s="11" t="str">
        <f>IF($B42&lt;&gt;"",TEXT(1-manut_MP($B42,G$1,G$2)/VLOOKUP(VALUE(MID($A42,5,3)),BASE_Pot!$A$2:$B$321,2,FALSE),"0.000"),"")</f>
        <v>1.000</v>
      </c>
      <c r="H42" s="11" t="str">
        <f>IF($B42&lt;&gt;"",TEXT(1-manut_MP($B42,H$1,H$2)/VLOOKUP(VALUE(MID($A42,5,3)),BASE_Pot!$A$2:$B$321,2,FALSE),"0.000"),"")</f>
        <v>1.000</v>
      </c>
      <c r="I42" s="11" t="str">
        <f>IF($B42&lt;&gt;"",TEXT(1-manut_MP($B42,I$1,I$2)/VLOOKUP(VALUE(MID($A42,5,3)),BASE_Pot!$A$2:$B$321,2,FALSE),"0.000"),"")</f>
        <v>1.000</v>
      </c>
      <c r="J42" t="str">
        <f>""</f>
        <v/>
      </c>
      <c r="L42" t="str">
        <f t="shared" si="4"/>
        <v>MP  133  1.0001.0001.0001.0001.0001.0001.000</v>
      </c>
    </row>
    <row r="43" spans="1:12" x14ac:dyDescent="0.25">
      <c r="A43" t="s">
        <v>318</v>
      </c>
      <c r="B43" t="str">
        <f t="shared" si="3"/>
        <v/>
      </c>
      <c r="C43" s="11" t="str">
        <f>IF($B43&lt;&gt;"",TEXT(1-manut_MP($B43,C$1,C$2)/VLOOKUP(VALUE(MID($A43,5,3)),BASE_Pot!$A$2:$B$321,2,FALSE),"0.000"),"")</f>
        <v/>
      </c>
      <c r="D43" s="11" t="str">
        <f>IF($B43&lt;&gt;"",TEXT(1-manut_MP($B43,D$1,D$2)/VLOOKUP(VALUE(MID($A43,5,3)),BASE_Pot!$A$2:$B$321,2,FALSE),"0.000"),"")</f>
        <v/>
      </c>
      <c r="E43" s="11" t="str">
        <f>IF($B43&lt;&gt;"",TEXT(1-manut_MP($B43,E$1,E$2)/VLOOKUP(VALUE(MID($A43,5,3)),BASE_Pot!$A$2:$B$321,2,FALSE),"0.000"),"")</f>
        <v/>
      </c>
      <c r="F43" s="11" t="str">
        <f>IF($B43&lt;&gt;"",TEXT(1-manut_MP($B43,F$1,F$2)/VLOOKUP(VALUE(MID($A43,5,3)),BASE_Pot!$A$2:$B$321,2,FALSE),"0.000"),"")</f>
        <v/>
      </c>
      <c r="G43" s="11" t="str">
        <f>IF($B43&lt;&gt;"",TEXT(1-manut_MP($B43,G$1,G$2)/VLOOKUP(VALUE(MID($A43,5,3)),BASE_Pot!$A$2:$B$321,2,FALSE),"0.000"),"")</f>
        <v/>
      </c>
      <c r="H43" s="11" t="str">
        <f>IF($B43&lt;&gt;"",TEXT(1-manut_MP($B43,H$1,H$2)/VLOOKUP(VALUE(MID($A43,5,3)),BASE_Pot!$A$2:$B$321,2,FALSE),"0.000"),"")</f>
        <v/>
      </c>
      <c r="I43" s="11" t="str">
        <f>IF($B43&lt;&gt;"",TEXT(1-manut_MP($B43,I$1,I$2)/VLOOKUP(VALUE(MID($A43,5,3)),BASE_Pot!$A$2:$B$321,2,FALSE),"0.000"),"")</f>
        <v/>
      </c>
      <c r="J43" t="str">
        <f>""</f>
        <v/>
      </c>
      <c r="L43" t="str">
        <f t="shared" si="4"/>
        <v>&amp;FONTES A</v>
      </c>
    </row>
    <row r="44" spans="1:12" x14ac:dyDescent="0.25">
      <c r="A44" t="s">
        <v>508</v>
      </c>
      <c r="B44" t="str">
        <f t="shared" si="3"/>
        <v>183-H</v>
      </c>
      <c r="C44" s="11" t="str">
        <f>IF($B44&lt;&gt;"",TEXT(1-manut_MP($B44,C$1,C$2)/VLOOKUP(VALUE(MID($A44,5,3)),BASE_Pot!$A$2:$B$321,2,FALSE),"0.000"),"")</f>
        <v>1.000</v>
      </c>
      <c r="D44" s="11" t="str">
        <f>IF($B44&lt;&gt;"",TEXT(1-manut_MP($B44,D$1,D$2)/VLOOKUP(VALUE(MID($A44,5,3)),BASE_Pot!$A$2:$B$321,2,FALSE),"0.000"),"")</f>
        <v>1.000</v>
      </c>
      <c r="E44" s="11" t="str">
        <f>IF($B44&lt;&gt;"",TEXT(1-manut_MP($B44,E$1,E$2)/VLOOKUP(VALUE(MID($A44,5,3)),BASE_Pot!$A$2:$B$321,2,FALSE),"0.000"),"")</f>
        <v>1.000</v>
      </c>
      <c r="F44" s="11" t="str">
        <f>IF($B44&lt;&gt;"",TEXT(1-manut_MP($B44,F$1,F$2)/VLOOKUP(VALUE(MID($A44,5,3)),BASE_Pot!$A$2:$B$321,2,FALSE),"0.000"),"")</f>
        <v>1.000</v>
      </c>
      <c r="G44" s="11" t="str">
        <f>IF($B44&lt;&gt;"",TEXT(1-manut_MP($B44,G$1,G$2)/VLOOKUP(VALUE(MID($A44,5,3)),BASE_Pot!$A$2:$B$321,2,FALSE),"0.000"),"")</f>
        <v>1.000</v>
      </c>
      <c r="H44" s="11" t="str">
        <f>IF($B44&lt;&gt;"",TEXT(1-manut_MP($B44,H$1,H$2)/VLOOKUP(VALUE(MID($A44,5,3)),BASE_Pot!$A$2:$B$321,2,FALSE),"0.000"),"")</f>
        <v>1.000</v>
      </c>
      <c r="I44" s="11" t="str">
        <f>IF($B44&lt;&gt;"",TEXT(1-manut_MP($B44,I$1,I$2)/VLOOKUP(VALUE(MID($A44,5,3)),BASE_Pot!$A$2:$B$321,2,FALSE),"0.000"),"")</f>
        <v>1.000</v>
      </c>
      <c r="J44" t="str">
        <f>""</f>
        <v/>
      </c>
      <c r="L44" t="str">
        <f t="shared" si="4"/>
        <v>MP  183  1.0001.0001.0001.0001.0001.0001.000</v>
      </c>
    </row>
    <row r="45" spans="1:12" x14ac:dyDescent="0.25">
      <c r="A45" t="s">
        <v>319</v>
      </c>
      <c r="B45" t="str">
        <f t="shared" si="3"/>
        <v/>
      </c>
      <c r="C45" s="11" t="str">
        <f>IF($B45&lt;&gt;"",TEXT(1-manut_MP($B45,C$1,C$2)/VLOOKUP(VALUE(MID($A45,5,3)),BASE_Pot!$A$2:$B$321,2,FALSE),"0.000"),"")</f>
        <v/>
      </c>
      <c r="D45" s="11" t="str">
        <f>IF($B45&lt;&gt;"",TEXT(1-manut_MP($B45,D$1,D$2)/VLOOKUP(VALUE(MID($A45,5,3)),BASE_Pot!$A$2:$B$321,2,FALSE),"0.000"),"")</f>
        <v/>
      </c>
      <c r="E45" s="11" t="str">
        <f>IF($B45&lt;&gt;"",TEXT(1-manut_MP($B45,E$1,E$2)/VLOOKUP(VALUE(MID($A45,5,3)),BASE_Pot!$A$2:$B$321,2,FALSE),"0.000"),"")</f>
        <v/>
      </c>
      <c r="F45" s="11" t="str">
        <f>IF($B45&lt;&gt;"",TEXT(1-manut_MP($B45,F$1,F$2)/VLOOKUP(VALUE(MID($A45,5,3)),BASE_Pot!$A$2:$B$321,2,FALSE),"0.000"),"")</f>
        <v/>
      </c>
      <c r="G45" s="11" t="str">
        <f>IF($B45&lt;&gt;"",TEXT(1-manut_MP($B45,G$1,G$2)/VLOOKUP(VALUE(MID($A45,5,3)),BASE_Pot!$A$2:$B$321,2,FALSE),"0.000"),"")</f>
        <v/>
      </c>
      <c r="H45" s="11" t="str">
        <f>IF($B45&lt;&gt;"",TEXT(1-manut_MP($B45,H$1,H$2)/VLOOKUP(VALUE(MID($A45,5,3)),BASE_Pot!$A$2:$B$321,2,FALSE),"0.000"),"")</f>
        <v/>
      </c>
      <c r="I45" s="11" t="str">
        <f>IF($B45&lt;&gt;"",TEXT(1-manut_MP($B45,I$1,I$2)/VLOOKUP(VALUE(MID($A45,5,3)),BASE_Pot!$A$2:$B$321,2,FALSE),"0.000"),"")</f>
        <v/>
      </c>
      <c r="J45" t="str">
        <f>""</f>
        <v/>
      </c>
      <c r="L45" t="str">
        <f t="shared" si="4"/>
        <v>&amp;FONTES BC</v>
      </c>
    </row>
    <row r="46" spans="1:12" x14ac:dyDescent="0.25">
      <c r="A46" t="s">
        <v>509</v>
      </c>
      <c r="B46" t="str">
        <f t="shared" si="3"/>
        <v>184-H</v>
      </c>
      <c r="C46" s="11" t="str">
        <f>IF($B46&lt;&gt;"",TEXT(1-manut_MP($B46,C$1,C$2)/VLOOKUP(VALUE(MID($A46,5,3)),BASE_Pot!$A$2:$B$321,2,FALSE),"0.000"),"")</f>
        <v>1.000</v>
      </c>
      <c r="D46" s="11" t="str">
        <f>IF($B46&lt;&gt;"",TEXT(1-manut_MP($B46,D$1,D$2)/VLOOKUP(VALUE(MID($A46,5,3)),BASE_Pot!$A$2:$B$321,2,FALSE),"0.000"),"")</f>
        <v>1.000</v>
      </c>
      <c r="E46" s="11" t="str">
        <f>IF($B46&lt;&gt;"",TEXT(1-manut_MP($B46,E$1,E$2)/VLOOKUP(VALUE(MID($A46,5,3)),BASE_Pot!$A$2:$B$321,2,FALSE),"0.000"),"")</f>
        <v>1.000</v>
      </c>
      <c r="F46" s="11" t="str">
        <f>IF($B46&lt;&gt;"",TEXT(1-manut_MP($B46,F$1,F$2)/VLOOKUP(VALUE(MID($A46,5,3)),BASE_Pot!$A$2:$B$321,2,FALSE),"0.000"),"")</f>
        <v>1.000</v>
      </c>
      <c r="G46" s="11" t="str">
        <f>IF($B46&lt;&gt;"",TEXT(1-manut_MP($B46,G$1,G$2)/VLOOKUP(VALUE(MID($A46,5,3)),BASE_Pot!$A$2:$B$321,2,FALSE),"0.000"),"")</f>
        <v>1.000</v>
      </c>
      <c r="H46" s="11" t="str">
        <f>IF($B46&lt;&gt;"",TEXT(1-manut_MP($B46,H$1,H$2)/VLOOKUP(VALUE(MID($A46,5,3)),BASE_Pot!$A$2:$B$321,2,FALSE),"0.000"),"")</f>
        <v>1.000</v>
      </c>
      <c r="I46" s="11" t="str">
        <f>IF($B46&lt;&gt;"",TEXT(1-manut_MP($B46,I$1,I$2)/VLOOKUP(VALUE(MID($A46,5,3)),BASE_Pot!$A$2:$B$321,2,FALSE),"0.000"),"")</f>
        <v>1.000</v>
      </c>
      <c r="J46" t="str">
        <f>""</f>
        <v/>
      </c>
      <c r="L46" t="str">
        <f t="shared" si="4"/>
        <v>MP  184  1.0001.0001.0001.0001.0001.0001.000</v>
      </c>
    </row>
    <row r="47" spans="1:12" x14ac:dyDescent="0.25">
      <c r="A47" t="s">
        <v>304</v>
      </c>
      <c r="B47" t="str">
        <f t="shared" si="3"/>
        <v/>
      </c>
      <c r="C47" s="11" t="str">
        <f>IF($B47&lt;&gt;"",TEXT(1-manut_MP($B47,C$1,C$2)/VLOOKUP(VALUE(MID($A47,5,3)),BASE_Pot!$A$2:$B$321,2,FALSE),"0.000"),"")</f>
        <v/>
      </c>
      <c r="D47" s="11" t="str">
        <f>IF($B47&lt;&gt;"",TEXT(1-manut_MP($B47,D$1,D$2)/VLOOKUP(VALUE(MID($A47,5,3)),BASE_Pot!$A$2:$B$321,2,FALSE),"0.000"),"")</f>
        <v/>
      </c>
      <c r="E47" s="11" t="str">
        <f>IF($B47&lt;&gt;"",TEXT(1-manut_MP($B47,E$1,E$2)/VLOOKUP(VALUE(MID($A47,5,3)),BASE_Pot!$A$2:$B$321,2,FALSE),"0.000"),"")</f>
        <v/>
      </c>
      <c r="F47" s="11" t="str">
        <f>IF($B47&lt;&gt;"",TEXT(1-manut_MP($B47,F$1,F$2)/VLOOKUP(VALUE(MID($A47,5,3)),BASE_Pot!$A$2:$B$321,2,FALSE),"0.000"),"")</f>
        <v/>
      </c>
      <c r="G47" s="11" t="str">
        <f>IF($B47&lt;&gt;"",TEXT(1-manut_MP($B47,G$1,G$2)/VLOOKUP(VALUE(MID($A47,5,3)),BASE_Pot!$A$2:$B$321,2,FALSE),"0.000"),"")</f>
        <v/>
      </c>
      <c r="H47" s="11" t="str">
        <f>IF($B47&lt;&gt;"",TEXT(1-manut_MP($B47,H$1,H$2)/VLOOKUP(VALUE(MID($A47,5,3)),BASE_Pot!$A$2:$B$321,2,FALSE),"0.000"),"")</f>
        <v/>
      </c>
      <c r="I47" s="11" t="str">
        <f>IF($B47&lt;&gt;"",TEXT(1-manut_MP($B47,I$1,I$2)/VLOOKUP(VALUE(MID($A47,5,3)),BASE_Pot!$A$2:$B$321,2,FALSE),"0.000"),"")</f>
        <v/>
      </c>
      <c r="J47" t="str">
        <f>""</f>
        <v/>
      </c>
      <c r="L47" t="str">
        <f t="shared" si="4"/>
        <v>&amp;.................................</v>
      </c>
    </row>
    <row r="48" spans="1:12" x14ac:dyDescent="0.25">
      <c r="A48" t="s">
        <v>320</v>
      </c>
      <c r="B48" t="str">
        <f t="shared" si="3"/>
        <v/>
      </c>
      <c r="C48" s="11" t="str">
        <f>IF($B48&lt;&gt;"",TEXT(1-manut_MP($B48,C$1,C$2)/VLOOKUP(VALUE(MID($A48,5,3)),BASE_Pot!$A$2:$B$321,2,FALSE),"0.000"),"")</f>
        <v/>
      </c>
      <c r="D48" s="11" t="str">
        <f>IF($B48&lt;&gt;"",TEXT(1-manut_MP($B48,D$1,D$2)/VLOOKUP(VALUE(MID($A48,5,3)),BASE_Pot!$A$2:$B$321,2,FALSE),"0.000"),"")</f>
        <v/>
      </c>
      <c r="E48" s="11" t="str">
        <f>IF($B48&lt;&gt;"",TEXT(1-manut_MP($B48,E$1,E$2)/VLOOKUP(VALUE(MID($A48,5,3)),BASE_Pot!$A$2:$B$321,2,FALSE),"0.000"),"")</f>
        <v/>
      </c>
      <c r="F48" s="11" t="str">
        <f>IF($B48&lt;&gt;"",TEXT(1-manut_MP($B48,F$1,F$2)/VLOOKUP(VALUE(MID($A48,5,3)),BASE_Pot!$A$2:$B$321,2,FALSE),"0.000"),"")</f>
        <v/>
      </c>
      <c r="G48" s="11" t="str">
        <f>IF($B48&lt;&gt;"",TEXT(1-manut_MP($B48,G$1,G$2)/VLOOKUP(VALUE(MID($A48,5,3)),BASE_Pot!$A$2:$B$321,2,FALSE),"0.000"),"")</f>
        <v/>
      </c>
      <c r="H48" s="11" t="str">
        <f>IF($B48&lt;&gt;"",TEXT(1-manut_MP($B48,H$1,H$2)/VLOOKUP(VALUE(MID($A48,5,3)),BASE_Pot!$A$2:$B$321,2,FALSE),"0.000"),"")</f>
        <v/>
      </c>
      <c r="I48" s="11" t="str">
        <f>IF($B48&lt;&gt;"",TEXT(1-manut_MP($B48,I$1,I$2)/VLOOKUP(VALUE(MID($A48,5,3)),BASE_Pot!$A$2:$B$321,2,FALSE),"0.000"),"")</f>
        <v/>
      </c>
      <c r="J48" t="str">
        <f>""</f>
        <v/>
      </c>
      <c r="L48" t="str">
        <f t="shared" si="4"/>
        <v>&amp;         CEMIG</v>
      </c>
    </row>
    <row r="49" spans="1:12" x14ac:dyDescent="0.25">
      <c r="A49" t="s">
        <v>304</v>
      </c>
      <c r="B49" t="str">
        <f t="shared" si="3"/>
        <v/>
      </c>
      <c r="C49" s="11" t="str">
        <f>IF($B49&lt;&gt;"",TEXT(1-manut_MP($B49,C$1,C$2)/VLOOKUP(VALUE(MID($A49,5,3)),BASE_Pot!$A$2:$B$321,2,FALSE),"0.000"),"")</f>
        <v/>
      </c>
      <c r="D49" s="11" t="str">
        <f>IF($B49&lt;&gt;"",TEXT(1-manut_MP($B49,D$1,D$2)/VLOOKUP(VALUE(MID($A49,5,3)),BASE_Pot!$A$2:$B$321,2,FALSE),"0.000"),"")</f>
        <v/>
      </c>
      <c r="E49" s="11" t="str">
        <f>IF($B49&lt;&gt;"",TEXT(1-manut_MP($B49,E$1,E$2)/VLOOKUP(VALUE(MID($A49,5,3)),BASE_Pot!$A$2:$B$321,2,FALSE),"0.000"),"")</f>
        <v/>
      </c>
      <c r="F49" s="11" t="str">
        <f>IF($B49&lt;&gt;"",TEXT(1-manut_MP($B49,F$1,F$2)/VLOOKUP(VALUE(MID($A49,5,3)),BASE_Pot!$A$2:$B$321,2,FALSE),"0.000"),"")</f>
        <v/>
      </c>
      <c r="G49" s="11" t="str">
        <f>IF($B49&lt;&gt;"",TEXT(1-manut_MP($B49,G$1,G$2)/VLOOKUP(VALUE(MID($A49,5,3)),BASE_Pot!$A$2:$B$321,2,FALSE),"0.000"),"")</f>
        <v/>
      </c>
      <c r="H49" s="11" t="str">
        <f>IF($B49&lt;&gt;"",TEXT(1-manut_MP($B49,H$1,H$2)/VLOOKUP(VALUE(MID($A49,5,3)),BASE_Pot!$A$2:$B$321,2,FALSE),"0.000"),"")</f>
        <v/>
      </c>
      <c r="I49" s="11" t="str">
        <f>IF($B49&lt;&gt;"",TEXT(1-manut_MP($B49,I$1,I$2)/VLOOKUP(VALUE(MID($A49,5,3)),BASE_Pot!$A$2:$B$321,2,FALSE),"0.000"),"")</f>
        <v/>
      </c>
      <c r="J49" t="str">
        <f>""</f>
        <v/>
      </c>
      <c r="L49" t="str">
        <f t="shared" si="4"/>
        <v>&amp;.................................</v>
      </c>
    </row>
    <row r="50" spans="1:12" x14ac:dyDescent="0.25">
      <c r="A50" t="s">
        <v>321</v>
      </c>
      <c r="B50" t="str">
        <f t="shared" si="3"/>
        <v/>
      </c>
      <c r="C50" s="11" t="str">
        <f>IF($B50&lt;&gt;"",TEXT(1-manut_MP($B50,C$1,C$2)/VLOOKUP(VALUE(MID($A50,5,3)),BASE_Pot!$A$2:$B$321,2,FALSE),"0.000"),"")</f>
        <v/>
      </c>
      <c r="D50" s="11" t="str">
        <f>IF($B50&lt;&gt;"",TEXT(1-manut_MP($B50,D$1,D$2)/VLOOKUP(VALUE(MID($A50,5,3)),BASE_Pot!$A$2:$B$321,2,FALSE),"0.000"),"")</f>
        <v/>
      </c>
      <c r="E50" s="11" t="str">
        <f>IF($B50&lt;&gt;"",TEXT(1-manut_MP($B50,E$1,E$2)/VLOOKUP(VALUE(MID($A50,5,3)),BASE_Pot!$A$2:$B$321,2,FALSE),"0.000"),"")</f>
        <v/>
      </c>
      <c r="F50" s="11" t="str">
        <f>IF($B50&lt;&gt;"",TEXT(1-manut_MP($B50,F$1,F$2)/VLOOKUP(VALUE(MID($A50,5,3)),BASE_Pot!$A$2:$B$321,2,FALSE),"0.000"),"")</f>
        <v/>
      </c>
      <c r="G50" s="11" t="str">
        <f>IF($B50&lt;&gt;"",TEXT(1-manut_MP($B50,G$1,G$2)/VLOOKUP(VALUE(MID($A50,5,3)),BASE_Pot!$A$2:$B$321,2,FALSE),"0.000"),"")</f>
        <v/>
      </c>
      <c r="H50" s="11" t="str">
        <f>IF($B50&lt;&gt;"",TEXT(1-manut_MP($B50,H$1,H$2)/VLOOKUP(VALUE(MID($A50,5,3)),BASE_Pot!$A$2:$B$321,2,FALSE),"0.000"),"")</f>
        <v/>
      </c>
      <c r="I50" s="11" t="str">
        <f>IF($B50&lt;&gt;"",TEXT(1-manut_MP($B50,I$1,I$2)/VLOOKUP(VALUE(MID($A50,5,3)),BASE_Pot!$A$2:$B$321,2,FALSE),"0.000"),"")</f>
        <v/>
      </c>
      <c r="J50" t="str">
        <f>""</f>
        <v/>
      </c>
      <c r="L50" t="str">
        <f t="shared" si="4"/>
        <v>&amp;CAMARGOS</v>
      </c>
    </row>
    <row r="51" spans="1:12" x14ac:dyDescent="0.25">
      <c r="A51" t="s">
        <v>510</v>
      </c>
      <c r="B51" t="str">
        <f t="shared" si="3"/>
        <v xml:space="preserve">  1-H</v>
      </c>
      <c r="C51" s="11" t="str">
        <f>IF($B51&lt;&gt;"",TEXT(1-manut_MP($B51,C$1,C$2)/VLOOKUP(VALUE(MID($A51,5,3)),BASE_Pot!$A$2:$B$321,2,FALSE),"0.000"),"")</f>
        <v>1.000</v>
      </c>
      <c r="D51" s="11" t="str">
        <f>IF($B51&lt;&gt;"",TEXT(1-manut_MP($B51,D$1,D$2)/VLOOKUP(VALUE(MID($A51,5,3)),BASE_Pot!$A$2:$B$321,2,FALSE),"0.000"),"")</f>
        <v>1.000</v>
      </c>
      <c r="E51" s="11" t="str">
        <f>IF($B51&lt;&gt;"",TEXT(1-manut_MP($B51,E$1,E$2)/VLOOKUP(VALUE(MID($A51,5,3)),BASE_Pot!$A$2:$B$321,2,FALSE),"0.000"),"")</f>
        <v>1.000</v>
      </c>
      <c r="F51" s="11" t="str">
        <f>IF($B51&lt;&gt;"",TEXT(1-manut_MP($B51,F$1,F$2)/VLOOKUP(VALUE(MID($A51,5,3)),BASE_Pot!$A$2:$B$321,2,FALSE),"0.000"),"")</f>
        <v>1.000</v>
      </c>
      <c r="G51" s="11" t="str">
        <f>IF($B51&lt;&gt;"",TEXT(1-manut_MP($B51,G$1,G$2)/VLOOKUP(VALUE(MID($A51,5,3)),BASE_Pot!$A$2:$B$321,2,FALSE),"0.000"),"")</f>
        <v>1.000</v>
      </c>
      <c r="H51" s="11" t="str">
        <f>IF($B51&lt;&gt;"",TEXT(1-manut_MP($B51,H$1,H$2)/VLOOKUP(VALUE(MID($A51,5,3)),BASE_Pot!$A$2:$B$321,2,FALSE),"0.000"),"")</f>
        <v>1.000</v>
      </c>
      <c r="I51" s="11" t="str">
        <f>IF($B51&lt;&gt;"",TEXT(1-manut_MP($B51,I$1,I$2)/VLOOKUP(VALUE(MID($A51,5,3)),BASE_Pot!$A$2:$B$321,2,FALSE),"0.000"),"")</f>
        <v>1.000</v>
      </c>
      <c r="J51" t="str">
        <f>""</f>
        <v/>
      </c>
      <c r="L51" t="str">
        <f t="shared" si="4"/>
        <v>MP    1  1.0001.0001.0001.0001.0001.0001.000</v>
      </c>
    </row>
    <row r="52" spans="1:12" x14ac:dyDescent="0.25">
      <c r="A52" t="s">
        <v>322</v>
      </c>
      <c r="B52" t="str">
        <f t="shared" si="3"/>
        <v/>
      </c>
      <c r="C52" s="11" t="str">
        <f>IF($B52&lt;&gt;"",TEXT(1-manut_MP($B52,C$1,C$2)/VLOOKUP(VALUE(MID($A52,5,3)),BASE_Pot!$A$2:$B$321,2,FALSE),"0.000"),"")</f>
        <v/>
      </c>
      <c r="D52" s="11" t="str">
        <f>IF($B52&lt;&gt;"",TEXT(1-manut_MP($B52,D$1,D$2)/VLOOKUP(VALUE(MID($A52,5,3)),BASE_Pot!$A$2:$B$321,2,FALSE),"0.000"),"")</f>
        <v/>
      </c>
      <c r="E52" s="11" t="str">
        <f>IF($B52&lt;&gt;"",TEXT(1-manut_MP($B52,E$1,E$2)/VLOOKUP(VALUE(MID($A52,5,3)),BASE_Pot!$A$2:$B$321,2,FALSE),"0.000"),"")</f>
        <v/>
      </c>
      <c r="F52" s="11" t="str">
        <f>IF($B52&lt;&gt;"",TEXT(1-manut_MP($B52,F$1,F$2)/VLOOKUP(VALUE(MID($A52,5,3)),BASE_Pot!$A$2:$B$321,2,FALSE),"0.000"),"")</f>
        <v/>
      </c>
      <c r="G52" s="11" t="str">
        <f>IF($B52&lt;&gt;"",TEXT(1-manut_MP($B52,G$1,G$2)/VLOOKUP(VALUE(MID($A52,5,3)),BASE_Pot!$A$2:$B$321,2,FALSE),"0.000"),"")</f>
        <v/>
      </c>
      <c r="H52" s="11" t="str">
        <f>IF($B52&lt;&gt;"",TEXT(1-manut_MP($B52,H$1,H$2)/VLOOKUP(VALUE(MID($A52,5,3)),BASE_Pot!$A$2:$B$321,2,FALSE),"0.000"),"")</f>
        <v/>
      </c>
      <c r="I52" s="11" t="str">
        <f>IF($B52&lt;&gt;"",TEXT(1-manut_MP($B52,I$1,I$2)/VLOOKUP(VALUE(MID($A52,5,3)),BASE_Pot!$A$2:$B$321,2,FALSE),"0.000"),"")</f>
        <v/>
      </c>
      <c r="J52" t="str">
        <f>""</f>
        <v/>
      </c>
      <c r="L52" t="str">
        <f t="shared" si="4"/>
        <v>&amp;ITUTINGA</v>
      </c>
    </row>
    <row r="53" spans="1:12" x14ac:dyDescent="0.25">
      <c r="A53" t="s">
        <v>511</v>
      </c>
      <c r="B53" t="str">
        <f t="shared" si="3"/>
        <v xml:space="preserve">  2-H</v>
      </c>
      <c r="C53" s="11" t="str">
        <f>IF($B53&lt;&gt;"",TEXT(1-manut_MP($B53,C$1,C$2)/VLOOKUP(VALUE(MID($A53,5,3)),BASE_Pot!$A$2:$B$321,2,FALSE),"0.000"),"")</f>
        <v>1.000</v>
      </c>
      <c r="D53" s="11" t="str">
        <f>IF($B53&lt;&gt;"",TEXT(1-manut_MP($B53,D$1,D$2)/VLOOKUP(VALUE(MID($A53,5,3)),BASE_Pot!$A$2:$B$321,2,FALSE),"0.000"),"")</f>
        <v>1.000</v>
      </c>
      <c r="E53" s="11" t="str">
        <f>IF($B53&lt;&gt;"",TEXT(1-manut_MP($B53,E$1,E$2)/VLOOKUP(VALUE(MID($A53,5,3)),BASE_Pot!$A$2:$B$321,2,FALSE),"0.000"),"")</f>
        <v>1.000</v>
      </c>
      <c r="F53" s="11" t="str">
        <f>IF($B53&lt;&gt;"",TEXT(1-manut_MP($B53,F$1,F$2)/VLOOKUP(VALUE(MID($A53,5,3)),BASE_Pot!$A$2:$B$321,2,FALSE),"0.000"),"")</f>
        <v>1.000</v>
      </c>
      <c r="G53" s="11" t="str">
        <f>IF($B53&lt;&gt;"",TEXT(1-manut_MP($B53,G$1,G$2)/VLOOKUP(VALUE(MID($A53,5,3)),BASE_Pot!$A$2:$B$321,2,FALSE),"0.000"),"")</f>
        <v>1.000</v>
      </c>
      <c r="H53" s="11" t="str">
        <f>IF($B53&lt;&gt;"",TEXT(1-manut_MP($B53,H$1,H$2)/VLOOKUP(VALUE(MID($A53,5,3)),BASE_Pot!$A$2:$B$321,2,FALSE),"0.000"),"")</f>
        <v>1.000</v>
      </c>
      <c r="I53" s="11" t="str">
        <f>IF($B53&lt;&gt;"",TEXT(1-manut_MP($B53,I$1,I$2)/VLOOKUP(VALUE(MID($A53,5,3)),BASE_Pot!$A$2:$B$321,2,FALSE),"0.000"),"")</f>
        <v>1.000</v>
      </c>
      <c r="J53" t="str">
        <f>""</f>
        <v/>
      </c>
      <c r="L53" t="str">
        <f t="shared" si="4"/>
        <v>MP    2  1.0001.0001.0001.0001.0001.0001.000</v>
      </c>
    </row>
    <row r="54" spans="1:12" x14ac:dyDescent="0.25">
      <c r="A54" t="s">
        <v>323</v>
      </c>
      <c r="B54" t="str">
        <f t="shared" si="3"/>
        <v/>
      </c>
      <c r="C54" s="11" t="str">
        <f>IF($B54&lt;&gt;"",TEXT(1-manut_MP($B54,C$1,C$2)/VLOOKUP(VALUE(MID($A54,5,3)),BASE_Pot!$A$2:$B$321,2,FALSE),"0.000"),"")</f>
        <v/>
      </c>
      <c r="D54" s="11" t="str">
        <f>IF($B54&lt;&gt;"",TEXT(1-manut_MP($B54,D$1,D$2)/VLOOKUP(VALUE(MID($A54,5,3)),BASE_Pot!$A$2:$B$321,2,FALSE),"0.000"),"")</f>
        <v/>
      </c>
      <c r="E54" s="11" t="str">
        <f>IF($B54&lt;&gt;"",TEXT(1-manut_MP($B54,E$1,E$2)/VLOOKUP(VALUE(MID($A54,5,3)),BASE_Pot!$A$2:$B$321,2,FALSE),"0.000"),"")</f>
        <v/>
      </c>
      <c r="F54" s="11" t="str">
        <f>IF($B54&lt;&gt;"",TEXT(1-manut_MP($B54,F$1,F$2)/VLOOKUP(VALUE(MID($A54,5,3)),BASE_Pot!$A$2:$B$321,2,FALSE),"0.000"),"")</f>
        <v/>
      </c>
      <c r="G54" s="11" t="str">
        <f>IF($B54&lt;&gt;"",TEXT(1-manut_MP($B54,G$1,G$2)/VLOOKUP(VALUE(MID($A54,5,3)),BASE_Pot!$A$2:$B$321,2,FALSE),"0.000"),"")</f>
        <v/>
      </c>
      <c r="H54" s="11" t="str">
        <f>IF($B54&lt;&gt;"",TEXT(1-manut_MP($B54,H$1,H$2)/VLOOKUP(VALUE(MID($A54,5,3)),BASE_Pot!$A$2:$B$321,2,FALSE),"0.000"),"")</f>
        <v/>
      </c>
      <c r="I54" s="11" t="str">
        <f>IF($B54&lt;&gt;"",TEXT(1-manut_MP($B54,I$1,I$2)/VLOOKUP(VALUE(MID($A54,5,3)),BASE_Pot!$A$2:$B$321,2,FALSE),"0.000"),"")</f>
        <v/>
      </c>
      <c r="J54" t="str">
        <f>""</f>
        <v/>
      </c>
      <c r="L54" t="str">
        <f t="shared" si="4"/>
        <v>&amp;FUNIL-GRANDE</v>
      </c>
    </row>
    <row r="55" spans="1:12" x14ac:dyDescent="0.25">
      <c r="A55" t="s">
        <v>512</v>
      </c>
      <c r="B55" t="str">
        <f t="shared" si="3"/>
        <v xml:space="preserve">  4-H</v>
      </c>
      <c r="C55" s="11" t="str">
        <f>IF($B55&lt;&gt;"",TEXT(1-manut_MP($B55,C$1,C$2)/VLOOKUP(VALUE(MID($A55,5,3)),BASE_Pot!$A$2:$B$321,2,FALSE),"0.000"),"")</f>
        <v>1.000</v>
      </c>
      <c r="D55" s="11" t="str">
        <f>IF($B55&lt;&gt;"",TEXT(1-manut_MP($B55,D$1,D$2)/VLOOKUP(VALUE(MID($A55,5,3)),BASE_Pot!$A$2:$B$321,2,FALSE),"0.000"),"")</f>
        <v>1.000</v>
      </c>
      <c r="E55" s="11" t="str">
        <f>IF($B55&lt;&gt;"",TEXT(1-manut_MP($B55,E$1,E$2)/VLOOKUP(VALUE(MID($A55,5,3)),BASE_Pot!$A$2:$B$321,2,FALSE),"0.000"),"")</f>
        <v>1.000</v>
      </c>
      <c r="F55" s="11" t="str">
        <f>IF($B55&lt;&gt;"",TEXT(1-manut_MP($B55,F$1,F$2)/VLOOKUP(VALUE(MID($A55,5,3)),BASE_Pot!$A$2:$B$321,2,FALSE),"0.000"),"")</f>
        <v>1.000</v>
      </c>
      <c r="G55" s="11" t="str">
        <f>IF($B55&lt;&gt;"",TEXT(1-manut_MP($B55,G$1,G$2)/VLOOKUP(VALUE(MID($A55,5,3)),BASE_Pot!$A$2:$B$321,2,FALSE),"0.000"),"")</f>
        <v>1.000</v>
      </c>
      <c r="H55" s="11" t="str">
        <f>IF($B55&lt;&gt;"",TEXT(1-manut_MP($B55,H$1,H$2)/VLOOKUP(VALUE(MID($A55,5,3)),BASE_Pot!$A$2:$B$321,2,FALSE),"0.000"),"")</f>
        <v>1.000</v>
      </c>
      <c r="I55" s="11" t="str">
        <f>IF($B55&lt;&gt;"",TEXT(1-manut_MP($B55,I$1,I$2)/VLOOKUP(VALUE(MID($A55,5,3)),BASE_Pot!$A$2:$B$321,2,FALSE),"0.000"),"")</f>
        <v>1.000</v>
      </c>
      <c r="J55" t="str">
        <f>""</f>
        <v/>
      </c>
      <c r="L55" t="str">
        <f t="shared" si="4"/>
        <v>MP    4  1.0001.0001.0001.0001.0001.0001.000</v>
      </c>
    </row>
    <row r="56" spans="1:12" x14ac:dyDescent="0.25">
      <c r="A56" t="s">
        <v>324</v>
      </c>
      <c r="B56" t="str">
        <f t="shared" si="3"/>
        <v/>
      </c>
      <c r="C56" s="11" t="str">
        <f>IF($B56&lt;&gt;"",TEXT(1-manut_MP($B56,C$1,C$2)/VLOOKUP(VALUE(MID($A56,5,3)),BASE_Pot!$A$2:$B$321,2,FALSE),"0.000"),"")</f>
        <v/>
      </c>
      <c r="D56" s="11" t="str">
        <f>IF($B56&lt;&gt;"",TEXT(1-manut_MP($B56,D$1,D$2)/VLOOKUP(VALUE(MID($A56,5,3)),BASE_Pot!$A$2:$B$321,2,FALSE),"0.000"),"")</f>
        <v/>
      </c>
      <c r="E56" s="11" t="str">
        <f>IF($B56&lt;&gt;"",TEXT(1-manut_MP($B56,E$1,E$2)/VLOOKUP(VALUE(MID($A56,5,3)),BASE_Pot!$A$2:$B$321,2,FALSE),"0.000"),"")</f>
        <v/>
      </c>
      <c r="F56" s="11" t="str">
        <f>IF($B56&lt;&gt;"",TEXT(1-manut_MP($B56,F$1,F$2)/VLOOKUP(VALUE(MID($A56,5,3)),BASE_Pot!$A$2:$B$321,2,FALSE),"0.000"),"")</f>
        <v/>
      </c>
      <c r="G56" s="11" t="str">
        <f>IF($B56&lt;&gt;"",TEXT(1-manut_MP($B56,G$1,G$2)/VLOOKUP(VALUE(MID($A56,5,3)),BASE_Pot!$A$2:$B$321,2,FALSE),"0.000"),"")</f>
        <v/>
      </c>
      <c r="H56" s="11" t="str">
        <f>IF($B56&lt;&gt;"",TEXT(1-manut_MP($B56,H$1,H$2)/VLOOKUP(VALUE(MID($A56,5,3)),BASE_Pot!$A$2:$B$321,2,FALSE),"0.000"),"")</f>
        <v/>
      </c>
      <c r="I56" s="11" t="str">
        <f>IF($B56&lt;&gt;"",TEXT(1-manut_MP($B56,I$1,I$2)/VLOOKUP(VALUE(MID($A56,5,3)),BASE_Pot!$A$2:$B$321,2,FALSE),"0.000"),"")</f>
        <v/>
      </c>
      <c r="J56" t="str">
        <f>""</f>
        <v/>
      </c>
      <c r="L56" t="str">
        <f t="shared" si="4"/>
        <v>&amp;JAGUARA</v>
      </c>
    </row>
    <row r="57" spans="1:12" x14ac:dyDescent="0.25">
      <c r="A57" t="s">
        <v>513</v>
      </c>
      <c r="B57" t="str">
        <f t="shared" si="3"/>
        <v xml:space="preserve">  9-H</v>
      </c>
      <c r="C57" s="11" t="str">
        <f>IF($B57&lt;&gt;"",TEXT(1-manut_MP($B57,C$1,C$2)/VLOOKUP(VALUE(MID($A57,5,3)),BASE_Pot!$A$2:$B$321,2,FALSE),"0.000"),"")</f>
        <v>1.000</v>
      </c>
      <c r="D57" s="11" t="str">
        <f>IF($B57&lt;&gt;"",TEXT(1-manut_MP($B57,D$1,D$2)/VLOOKUP(VALUE(MID($A57,5,3)),BASE_Pot!$A$2:$B$321,2,FALSE),"0.000"),"")</f>
        <v>1.000</v>
      </c>
      <c r="E57" s="11" t="str">
        <f>IF($B57&lt;&gt;"",TEXT(1-manut_MP($B57,E$1,E$2)/VLOOKUP(VALUE(MID($A57,5,3)),BASE_Pot!$A$2:$B$321,2,FALSE),"0.000"),"")</f>
        <v>1.000</v>
      </c>
      <c r="F57" s="11" t="str">
        <f>IF($B57&lt;&gt;"",TEXT(1-manut_MP($B57,F$1,F$2)/VLOOKUP(VALUE(MID($A57,5,3)),BASE_Pot!$A$2:$B$321,2,FALSE),"0.000"),"")</f>
        <v>1.000</v>
      </c>
      <c r="G57" s="11" t="str">
        <f>IF($B57&lt;&gt;"",TEXT(1-manut_MP($B57,G$1,G$2)/VLOOKUP(VALUE(MID($A57,5,3)),BASE_Pot!$A$2:$B$321,2,FALSE),"0.000"),"")</f>
        <v>1.000</v>
      </c>
      <c r="H57" s="11" t="str">
        <f>IF($B57&lt;&gt;"",TEXT(1-manut_MP($B57,H$1,H$2)/VLOOKUP(VALUE(MID($A57,5,3)),BASE_Pot!$A$2:$B$321,2,FALSE),"0.000"),"")</f>
        <v>1.000</v>
      </c>
      <c r="I57" s="11" t="str">
        <f>IF($B57&lt;&gt;"",TEXT(1-manut_MP($B57,I$1,I$2)/VLOOKUP(VALUE(MID($A57,5,3)),BASE_Pot!$A$2:$B$321,2,FALSE),"0.000"),"")</f>
        <v>1.000</v>
      </c>
      <c r="J57" t="str">
        <f>""</f>
        <v/>
      </c>
      <c r="L57" t="str">
        <f t="shared" si="4"/>
        <v>MP    9  1.0001.0001.0001.0001.0001.0001.000</v>
      </c>
    </row>
    <row r="58" spans="1:12" x14ac:dyDescent="0.25">
      <c r="A58" t="s">
        <v>325</v>
      </c>
      <c r="B58" t="str">
        <f t="shared" si="3"/>
        <v/>
      </c>
      <c r="C58" s="11" t="str">
        <f>IF($B58&lt;&gt;"",TEXT(1-manut_MP($B58,C$1,C$2)/VLOOKUP(VALUE(MID($A58,5,3)),BASE_Pot!$A$2:$B$321,2,FALSE),"0.000"),"")</f>
        <v/>
      </c>
      <c r="D58" s="11" t="str">
        <f>IF($B58&lt;&gt;"",TEXT(1-manut_MP($B58,D$1,D$2)/VLOOKUP(VALUE(MID($A58,5,3)),BASE_Pot!$A$2:$B$321,2,FALSE),"0.000"),"")</f>
        <v/>
      </c>
      <c r="E58" s="11" t="str">
        <f>IF($B58&lt;&gt;"",TEXT(1-manut_MP($B58,E$1,E$2)/VLOOKUP(VALUE(MID($A58,5,3)),BASE_Pot!$A$2:$B$321,2,FALSE),"0.000"),"")</f>
        <v/>
      </c>
      <c r="F58" s="11" t="str">
        <f>IF($B58&lt;&gt;"",TEXT(1-manut_MP($B58,F$1,F$2)/VLOOKUP(VALUE(MID($A58,5,3)),BASE_Pot!$A$2:$B$321,2,FALSE),"0.000"),"")</f>
        <v/>
      </c>
      <c r="G58" s="11" t="str">
        <f>IF($B58&lt;&gt;"",TEXT(1-manut_MP($B58,G$1,G$2)/VLOOKUP(VALUE(MID($A58,5,3)),BASE_Pot!$A$2:$B$321,2,FALSE),"0.000"),"")</f>
        <v/>
      </c>
      <c r="H58" s="11" t="str">
        <f>IF($B58&lt;&gt;"",TEXT(1-manut_MP($B58,H$1,H$2)/VLOOKUP(VALUE(MID($A58,5,3)),BASE_Pot!$A$2:$B$321,2,FALSE),"0.000"),"")</f>
        <v/>
      </c>
      <c r="I58" s="11" t="str">
        <f>IF($B58&lt;&gt;"",TEXT(1-manut_MP($B58,I$1,I$2)/VLOOKUP(VALUE(MID($A58,5,3)),BASE_Pot!$A$2:$B$321,2,FALSE),"0.000"),"")</f>
        <v/>
      </c>
      <c r="J58" t="str">
        <f>""</f>
        <v/>
      </c>
      <c r="L58" t="str">
        <f t="shared" si="4"/>
        <v>&amp;IGARAPAVA</v>
      </c>
    </row>
    <row r="59" spans="1:12" x14ac:dyDescent="0.25">
      <c r="A59" t="s">
        <v>514</v>
      </c>
      <c r="B59" t="str">
        <f t="shared" si="3"/>
        <v xml:space="preserve"> 10-H</v>
      </c>
      <c r="C59" s="11" t="str">
        <f>IF($B59&lt;&gt;"",TEXT(1-manut_MP($B59,C$1,C$2)/VLOOKUP(VALUE(MID($A59,5,3)),BASE_Pot!$A$2:$B$321,2,FALSE),"0.000"),"")</f>
        <v>1.000</v>
      </c>
      <c r="D59" s="11" t="str">
        <f>IF($B59&lt;&gt;"",TEXT(1-manut_MP($B59,D$1,D$2)/VLOOKUP(VALUE(MID($A59,5,3)),BASE_Pot!$A$2:$B$321,2,FALSE),"0.000"),"")</f>
        <v>0.800</v>
      </c>
      <c r="E59" s="11" t="str">
        <f>IF($B59&lt;&gt;"",TEXT(1-manut_MP($B59,E$1,E$2)/VLOOKUP(VALUE(MID($A59,5,3)),BASE_Pot!$A$2:$B$321,2,FALSE),"0.000"),"")</f>
        <v>0.800</v>
      </c>
      <c r="F59" s="11" t="str">
        <f>IF($B59&lt;&gt;"",TEXT(1-manut_MP($B59,F$1,F$2)/VLOOKUP(VALUE(MID($A59,5,3)),BASE_Pot!$A$2:$B$321,2,FALSE),"0.000"),"")</f>
        <v>0.943</v>
      </c>
      <c r="G59" s="11" t="str">
        <f>IF($B59&lt;&gt;"",TEXT(1-manut_MP($B59,G$1,G$2)/VLOOKUP(VALUE(MID($A59,5,3)),BASE_Pot!$A$2:$B$321,2,FALSE),"0.000"),"")</f>
        <v>1.000</v>
      </c>
      <c r="H59" s="11" t="str">
        <f>IF($B59&lt;&gt;"",TEXT(1-manut_MP($B59,H$1,H$2)/VLOOKUP(VALUE(MID($A59,5,3)),BASE_Pot!$A$2:$B$321,2,FALSE),"0.000"),"")</f>
        <v>1.000</v>
      </c>
      <c r="I59" s="11" t="str">
        <f>IF($B59&lt;&gt;"",TEXT(1-manut_MP($B59,I$1,I$2)/VLOOKUP(VALUE(MID($A59,5,3)),BASE_Pot!$A$2:$B$321,2,FALSE),"0.000"),"")</f>
        <v>1.000</v>
      </c>
      <c r="J59" t="str">
        <f>""</f>
        <v/>
      </c>
      <c r="L59" t="str">
        <f t="shared" si="4"/>
        <v>MP   10  1.0000.8000.8000.9431.0001.0001.000</v>
      </c>
    </row>
    <row r="60" spans="1:12" x14ac:dyDescent="0.25">
      <c r="A60" t="s">
        <v>326</v>
      </c>
      <c r="B60" t="str">
        <f t="shared" si="3"/>
        <v/>
      </c>
      <c r="C60" s="11" t="str">
        <f>IF($B60&lt;&gt;"",TEXT(1-manut_MP($B60,C$1,C$2)/VLOOKUP(VALUE(MID($A60,5,3)),BASE_Pot!$A$2:$B$321,2,FALSE),"0.000"),"")</f>
        <v/>
      </c>
      <c r="D60" s="11" t="str">
        <f>IF($B60&lt;&gt;"",TEXT(1-manut_MP($B60,D$1,D$2)/VLOOKUP(VALUE(MID($A60,5,3)),BASE_Pot!$A$2:$B$321,2,FALSE),"0.000"),"")</f>
        <v/>
      </c>
      <c r="E60" s="11" t="str">
        <f>IF($B60&lt;&gt;"",TEXT(1-manut_MP($B60,E$1,E$2)/VLOOKUP(VALUE(MID($A60,5,3)),BASE_Pot!$A$2:$B$321,2,FALSE),"0.000"),"")</f>
        <v/>
      </c>
      <c r="F60" s="11" t="str">
        <f>IF($B60&lt;&gt;"",TEXT(1-manut_MP($B60,F$1,F$2)/VLOOKUP(VALUE(MID($A60,5,3)),BASE_Pot!$A$2:$B$321,2,FALSE),"0.000"),"")</f>
        <v/>
      </c>
      <c r="G60" s="11" t="str">
        <f>IF($B60&lt;&gt;"",TEXT(1-manut_MP($B60,G$1,G$2)/VLOOKUP(VALUE(MID($A60,5,3)),BASE_Pot!$A$2:$B$321,2,FALSE),"0.000"),"")</f>
        <v/>
      </c>
      <c r="H60" s="11" t="str">
        <f>IF($B60&lt;&gt;"",TEXT(1-manut_MP($B60,H$1,H$2)/VLOOKUP(VALUE(MID($A60,5,3)),BASE_Pot!$A$2:$B$321,2,FALSE),"0.000"),"")</f>
        <v/>
      </c>
      <c r="I60" s="11" t="str">
        <f>IF($B60&lt;&gt;"",TEXT(1-manut_MP($B60,I$1,I$2)/VLOOKUP(VALUE(MID($A60,5,3)),BASE_Pot!$A$2:$B$321,2,FALSE),"0.000"),"")</f>
        <v/>
      </c>
      <c r="J60" t="str">
        <f>""</f>
        <v/>
      </c>
      <c r="L60" t="str">
        <f t="shared" si="4"/>
        <v>&amp;VOLTA GRANDE</v>
      </c>
    </row>
    <row r="61" spans="1:12" x14ac:dyDescent="0.25">
      <c r="A61" t="s">
        <v>515</v>
      </c>
      <c r="B61" t="str">
        <f t="shared" si="3"/>
        <v xml:space="preserve"> 11-H</v>
      </c>
      <c r="C61" s="11" t="str">
        <f>IF($B61&lt;&gt;"",TEXT(1-manut_MP($B61,C$1,C$2)/VLOOKUP(VALUE(MID($A61,5,3)),BASE_Pot!$A$2:$B$321,2,FALSE),"0.000"),"")</f>
        <v>0.357</v>
      </c>
      <c r="D61" s="11" t="str">
        <f>IF($B61&lt;&gt;"",TEXT(1-manut_MP($B61,D$1,D$2)/VLOOKUP(VALUE(MID($A61,5,3)),BASE_Pot!$A$2:$B$321,2,FALSE),"0.000"),"")</f>
        <v>0.500</v>
      </c>
      <c r="E61" s="11" t="str">
        <f>IF($B61&lt;&gt;"",TEXT(1-manut_MP($B61,E$1,E$2)/VLOOKUP(VALUE(MID($A61,5,3)),BASE_Pot!$A$2:$B$321,2,FALSE),"0.000"),"")</f>
        <v>0.536</v>
      </c>
      <c r="F61" s="11" t="str">
        <f>IF($B61&lt;&gt;"",TEXT(1-manut_MP($B61,F$1,F$2)/VLOOKUP(VALUE(MID($A61,5,3)),BASE_Pot!$A$2:$B$321,2,FALSE),"0.000"),"")</f>
        <v>0.750</v>
      </c>
      <c r="G61" s="11" t="str">
        <f>IF($B61&lt;&gt;"",TEXT(1-manut_MP($B61,G$1,G$2)/VLOOKUP(VALUE(MID($A61,5,3)),BASE_Pot!$A$2:$B$321,2,FALSE),"0.000"),"")</f>
        <v>0.750</v>
      </c>
      <c r="H61" s="11" t="str">
        <f>IF($B61&lt;&gt;"",TEXT(1-manut_MP($B61,H$1,H$2)/VLOOKUP(VALUE(MID($A61,5,3)),BASE_Pot!$A$2:$B$321,2,FALSE),"0.000"),"")</f>
        <v>0.964</v>
      </c>
      <c r="I61" s="11" t="str">
        <f>IF($B61&lt;&gt;"",TEXT(1-manut_MP($B61,I$1,I$2)/VLOOKUP(VALUE(MID($A61,5,3)),BASE_Pot!$A$2:$B$321,2,FALSE),"0.000"),"")</f>
        <v>1.000</v>
      </c>
      <c r="J61" t="str">
        <f>""</f>
        <v/>
      </c>
      <c r="L61" t="str">
        <f t="shared" si="4"/>
        <v>MP   11  0.3570.5000.5360.7500.7500.9641.000</v>
      </c>
    </row>
    <row r="62" spans="1:12" x14ac:dyDescent="0.25">
      <c r="A62" t="s">
        <v>327</v>
      </c>
      <c r="B62" t="str">
        <f t="shared" si="3"/>
        <v/>
      </c>
      <c r="C62" s="11" t="str">
        <f>IF($B62&lt;&gt;"",TEXT(1-manut_MP($B62,C$1,C$2)/VLOOKUP(VALUE(MID($A62,5,3)),BASE_Pot!$A$2:$B$321,2,FALSE),"0.000"),"")</f>
        <v/>
      </c>
      <c r="D62" s="11" t="str">
        <f>IF($B62&lt;&gt;"",TEXT(1-manut_MP($B62,D$1,D$2)/VLOOKUP(VALUE(MID($A62,5,3)),BASE_Pot!$A$2:$B$321,2,FALSE),"0.000"),"")</f>
        <v/>
      </c>
      <c r="E62" s="11" t="str">
        <f>IF($B62&lt;&gt;"",TEXT(1-manut_MP($B62,E$1,E$2)/VLOOKUP(VALUE(MID($A62,5,3)),BASE_Pot!$A$2:$B$321,2,FALSE),"0.000"),"")</f>
        <v/>
      </c>
      <c r="F62" s="11" t="str">
        <f>IF($B62&lt;&gt;"",TEXT(1-manut_MP($B62,F$1,F$2)/VLOOKUP(VALUE(MID($A62,5,3)),BASE_Pot!$A$2:$B$321,2,FALSE),"0.000"),"")</f>
        <v/>
      </c>
      <c r="G62" s="11" t="str">
        <f>IF($B62&lt;&gt;"",TEXT(1-manut_MP($B62,G$1,G$2)/VLOOKUP(VALUE(MID($A62,5,3)),BASE_Pot!$A$2:$B$321,2,FALSE),"0.000"),"")</f>
        <v/>
      </c>
      <c r="H62" s="11" t="str">
        <f>IF($B62&lt;&gt;"",TEXT(1-manut_MP($B62,H$1,H$2)/VLOOKUP(VALUE(MID($A62,5,3)),BASE_Pot!$A$2:$B$321,2,FALSE),"0.000"),"")</f>
        <v/>
      </c>
      <c r="I62" s="11" t="str">
        <f>IF($B62&lt;&gt;"",TEXT(1-manut_MP($B62,I$1,I$2)/VLOOKUP(VALUE(MID($A62,5,3)),BASE_Pot!$A$2:$B$321,2,FALSE),"0.000"),"")</f>
        <v/>
      </c>
      <c r="J62" t="str">
        <f>""</f>
        <v/>
      </c>
      <c r="L62" t="str">
        <f t="shared" si="4"/>
        <v>&amp;EMBORCACAO</v>
      </c>
    </row>
    <row r="63" spans="1:12" x14ac:dyDescent="0.25">
      <c r="A63" t="s">
        <v>516</v>
      </c>
      <c r="B63" t="str">
        <f t="shared" si="3"/>
        <v xml:space="preserve"> 24-H</v>
      </c>
      <c r="C63" s="11" t="str">
        <f>IF($B63&lt;&gt;"",TEXT(1-manut_MP($B63,C$1,C$2)/VLOOKUP(VALUE(MID($A63,5,3)),BASE_Pot!$A$2:$B$321,2,FALSE),"0.000"),"")</f>
        <v>1.000</v>
      </c>
      <c r="D63" s="11" t="str">
        <f>IF($B63&lt;&gt;"",TEXT(1-manut_MP($B63,D$1,D$2)/VLOOKUP(VALUE(MID($A63,5,3)),BASE_Pot!$A$2:$B$321,2,FALSE),"0.000"),"")</f>
        <v>1.000</v>
      </c>
      <c r="E63" s="11" t="str">
        <f>IF($B63&lt;&gt;"",TEXT(1-manut_MP($B63,E$1,E$2)/VLOOKUP(VALUE(MID($A63,5,3)),BASE_Pot!$A$2:$B$321,2,FALSE),"0.000"),"")</f>
        <v>1.000</v>
      </c>
      <c r="F63" s="11" t="str">
        <f>IF($B63&lt;&gt;"",TEXT(1-manut_MP($B63,F$1,F$2)/VLOOKUP(VALUE(MID($A63,5,3)),BASE_Pot!$A$2:$B$321,2,FALSE),"0.000"),"")</f>
        <v>1.000</v>
      </c>
      <c r="G63" s="11" t="str">
        <f>IF($B63&lt;&gt;"",TEXT(1-manut_MP($B63,G$1,G$2)/VLOOKUP(VALUE(MID($A63,5,3)),BASE_Pot!$A$2:$B$321,2,FALSE),"0.000"),"")</f>
        <v>1.000</v>
      </c>
      <c r="H63" s="11" t="str">
        <f>IF($B63&lt;&gt;"",TEXT(1-manut_MP($B63,H$1,H$2)/VLOOKUP(VALUE(MID($A63,5,3)),BASE_Pot!$A$2:$B$321,2,FALSE),"0.000"),"")</f>
        <v>1.000</v>
      </c>
      <c r="I63" s="11" t="str">
        <f>IF($B63&lt;&gt;"",TEXT(1-manut_MP($B63,I$1,I$2)/VLOOKUP(VALUE(MID($A63,5,3)),BASE_Pot!$A$2:$B$321,2,FALSE),"0.000"),"")</f>
        <v>1.000</v>
      </c>
      <c r="J63" t="str">
        <f>""</f>
        <v/>
      </c>
      <c r="L63" t="str">
        <f t="shared" si="4"/>
        <v>MP   24  1.0001.0001.0001.0001.0001.0001.000</v>
      </c>
    </row>
    <row r="64" spans="1:12" x14ac:dyDescent="0.25">
      <c r="A64" t="s">
        <v>328</v>
      </c>
      <c r="B64" t="str">
        <f t="shared" si="3"/>
        <v/>
      </c>
      <c r="C64" s="11" t="str">
        <f>IF($B64&lt;&gt;"",TEXT(1-manut_MP($B64,C$1,C$2)/VLOOKUP(VALUE(MID($A64,5,3)),BASE_Pot!$A$2:$B$321,2,FALSE),"0.000"),"")</f>
        <v/>
      </c>
      <c r="D64" s="11" t="str">
        <f>IF($B64&lt;&gt;"",TEXT(1-manut_MP($B64,D$1,D$2)/VLOOKUP(VALUE(MID($A64,5,3)),BASE_Pot!$A$2:$B$321,2,FALSE),"0.000"),"")</f>
        <v/>
      </c>
      <c r="E64" s="11" t="str">
        <f>IF($B64&lt;&gt;"",TEXT(1-manut_MP($B64,E$1,E$2)/VLOOKUP(VALUE(MID($A64,5,3)),BASE_Pot!$A$2:$B$321,2,FALSE),"0.000"),"")</f>
        <v/>
      </c>
      <c r="F64" s="11" t="str">
        <f>IF($B64&lt;&gt;"",TEXT(1-manut_MP($B64,F$1,F$2)/VLOOKUP(VALUE(MID($A64,5,3)),BASE_Pot!$A$2:$B$321,2,FALSE),"0.000"),"")</f>
        <v/>
      </c>
      <c r="G64" s="11" t="str">
        <f>IF($B64&lt;&gt;"",TEXT(1-manut_MP($B64,G$1,G$2)/VLOOKUP(VALUE(MID($A64,5,3)),BASE_Pot!$A$2:$B$321,2,FALSE),"0.000"),"")</f>
        <v/>
      </c>
      <c r="H64" s="11" t="str">
        <f>IF($B64&lt;&gt;"",TEXT(1-manut_MP($B64,H$1,H$2)/VLOOKUP(VALUE(MID($A64,5,3)),BASE_Pot!$A$2:$B$321,2,FALSE),"0.000"),"")</f>
        <v/>
      </c>
      <c r="I64" s="11" t="str">
        <f>IF($B64&lt;&gt;"",TEXT(1-manut_MP($B64,I$1,I$2)/VLOOKUP(VALUE(MID($A64,5,3)),BASE_Pot!$A$2:$B$321,2,FALSE),"0.000"),"")</f>
        <v/>
      </c>
      <c r="J64" t="str">
        <f>""</f>
        <v/>
      </c>
      <c r="L64" t="str">
        <f t="shared" si="4"/>
        <v>&amp;NOVA PONTE</v>
      </c>
    </row>
    <row r="65" spans="1:12" x14ac:dyDescent="0.25">
      <c r="A65" t="s">
        <v>517</v>
      </c>
      <c r="B65" t="str">
        <f t="shared" si="3"/>
        <v xml:space="preserve"> 25-H</v>
      </c>
      <c r="C65" s="11" t="str">
        <f>IF($B65&lt;&gt;"",TEXT(1-manut_MP($B65,C$1,C$2)/VLOOKUP(VALUE(MID($A65,5,3)),BASE_Pot!$A$2:$B$321,2,FALSE),"0.000"),"")</f>
        <v>1.000</v>
      </c>
      <c r="D65" s="11" t="str">
        <f>IF($B65&lt;&gt;"",TEXT(1-manut_MP($B65,D$1,D$2)/VLOOKUP(VALUE(MID($A65,5,3)),BASE_Pot!$A$2:$B$321,2,FALSE),"0.000"),"")</f>
        <v>1.000</v>
      </c>
      <c r="E65" s="11" t="str">
        <f>IF($B65&lt;&gt;"",TEXT(1-manut_MP($B65,E$1,E$2)/VLOOKUP(VALUE(MID($A65,5,3)),BASE_Pot!$A$2:$B$321,2,FALSE),"0.000"),"")</f>
        <v>1.000</v>
      </c>
      <c r="F65" s="11" t="str">
        <f>IF($B65&lt;&gt;"",TEXT(1-manut_MP($B65,F$1,F$2)/VLOOKUP(VALUE(MID($A65,5,3)),BASE_Pot!$A$2:$B$321,2,FALSE),"0.000"),"")</f>
        <v>1.000</v>
      </c>
      <c r="G65" s="11" t="str">
        <f>IF($B65&lt;&gt;"",TEXT(1-manut_MP($B65,G$1,G$2)/VLOOKUP(VALUE(MID($A65,5,3)),BASE_Pot!$A$2:$B$321,2,FALSE),"0.000"),"")</f>
        <v>1.000</v>
      </c>
      <c r="H65" s="11" t="str">
        <f>IF($B65&lt;&gt;"",TEXT(1-manut_MP($B65,H$1,H$2)/VLOOKUP(VALUE(MID($A65,5,3)),BASE_Pot!$A$2:$B$321,2,FALSE),"0.000"),"")</f>
        <v>1.000</v>
      </c>
      <c r="I65" s="11" t="str">
        <f>IF($B65&lt;&gt;"",TEXT(1-manut_MP($B65,I$1,I$2)/VLOOKUP(VALUE(MID($A65,5,3)),BASE_Pot!$A$2:$B$321,2,FALSE),"0.000"),"")</f>
        <v>1.000</v>
      </c>
      <c r="J65" t="str">
        <f>""</f>
        <v/>
      </c>
      <c r="L65" t="str">
        <f t="shared" si="4"/>
        <v>MP   25  1.0001.0001.0001.0001.0001.0001.000</v>
      </c>
    </row>
    <row r="66" spans="1:12" x14ac:dyDescent="0.25">
      <c r="A66" t="s">
        <v>329</v>
      </c>
      <c r="B66" t="str">
        <f t="shared" si="3"/>
        <v/>
      </c>
      <c r="C66" s="11" t="str">
        <f>IF($B66&lt;&gt;"",TEXT(1-manut_MP($B66,C$1,C$2)/VLOOKUP(VALUE(MID($A66,5,3)),BASE_Pot!$A$2:$B$321,2,FALSE),"0.000"),"")</f>
        <v/>
      </c>
      <c r="D66" s="11" t="str">
        <f>IF($B66&lt;&gt;"",TEXT(1-manut_MP($B66,D$1,D$2)/VLOOKUP(VALUE(MID($A66,5,3)),BASE_Pot!$A$2:$B$321,2,FALSE),"0.000"),"")</f>
        <v/>
      </c>
      <c r="E66" s="11" t="str">
        <f>IF($B66&lt;&gt;"",TEXT(1-manut_MP($B66,E$1,E$2)/VLOOKUP(VALUE(MID($A66,5,3)),BASE_Pot!$A$2:$B$321,2,FALSE),"0.000"),"")</f>
        <v/>
      </c>
      <c r="F66" s="11" t="str">
        <f>IF($B66&lt;&gt;"",TEXT(1-manut_MP($B66,F$1,F$2)/VLOOKUP(VALUE(MID($A66,5,3)),BASE_Pot!$A$2:$B$321,2,FALSE),"0.000"),"")</f>
        <v/>
      </c>
      <c r="G66" s="11" t="str">
        <f>IF($B66&lt;&gt;"",TEXT(1-manut_MP($B66,G$1,G$2)/VLOOKUP(VALUE(MID($A66,5,3)),BASE_Pot!$A$2:$B$321,2,FALSE),"0.000"),"")</f>
        <v/>
      </c>
      <c r="H66" s="11" t="str">
        <f>IF($B66&lt;&gt;"",TEXT(1-manut_MP($B66,H$1,H$2)/VLOOKUP(VALUE(MID($A66,5,3)),BASE_Pot!$A$2:$B$321,2,FALSE),"0.000"),"")</f>
        <v/>
      </c>
      <c r="I66" s="11" t="str">
        <f>IF($B66&lt;&gt;"",TEXT(1-manut_MP($B66,I$1,I$2)/VLOOKUP(VALUE(MID($A66,5,3)),BASE_Pot!$A$2:$B$321,2,FALSE),"0.000"),"")</f>
        <v/>
      </c>
      <c r="J66" t="str">
        <f>""</f>
        <v/>
      </c>
      <c r="L66" t="str">
        <f t="shared" si="4"/>
        <v>&amp;MIRANDA</v>
      </c>
    </row>
    <row r="67" spans="1:12" x14ac:dyDescent="0.25">
      <c r="A67" t="s">
        <v>518</v>
      </c>
      <c r="B67" t="str">
        <f t="shared" si="3"/>
        <v xml:space="preserve"> 26-H</v>
      </c>
      <c r="C67" s="11" t="str">
        <f>IF($B67&lt;&gt;"",TEXT(1-manut_MP($B67,C$1,C$2)/VLOOKUP(VALUE(MID($A67,5,3)),BASE_Pot!$A$2:$B$321,2,FALSE),"0.000"),"")</f>
        <v>0.762</v>
      </c>
      <c r="D67" s="11" t="str">
        <f>IF($B67&lt;&gt;"",TEXT(1-manut_MP($B67,D$1,D$2)/VLOOKUP(VALUE(MID($A67,5,3)),BASE_Pot!$A$2:$B$321,2,FALSE),"0.000"),"")</f>
        <v>0.952</v>
      </c>
      <c r="E67" s="11" t="str">
        <f>IF($B67&lt;&gt;"",TEXT(1-manut_MP($B67,E$1,E$2)/VLOOKUP(VALUE(MID($A67,5,3)),BASE_Pot!$A$2:$B$321,2,FALSE),"0.000"),"")</f>
        <v>1.000</v>
      </c>
      <c r="F67" s="11" t="str">
        <f>IF($B67&lt;&gt;"",TEXT(1-manut_MP($B67,F$1,F$2)/VLOOKUP(VALUE(MID($A67,5,3)),BASE_Pot!$A$2:$B$321,2,FALSE),"0.000"),"")</f>
        <v>1.000</v>
      </c>
      <c r="G67" s="11" t="str">
        <f>IF($B67&lt;&gt;"",TEXT(1-manut_MP($B67,G$1,G$2)/VLOOKUP(VALUE(MID($A67,5,3)),BASE_Pot!$A$2:$B$321,2,FALSE),"0.000"),"")</f>
        <v>1.000</v>
      </c>
      <c r="H67" s="11" t="str">
        <f>IF($B67&lt;&gt;"",TEXT(1-manut_MP($B67,H$1,H$2)/VLOOKUP(VALUE(MID($A67,5,3)),BASE_Pot!$A$2:$B$321,2,FALSE),"0.000"),"")</f>
        <v>1.000</v>
      </c>
      <c r="I67" s="11" t="str">
        <f>IF($B67&lt;&gt;"",TEXT(1-manut_MP($B67,I$1,I$2)/VLOOKUP(VALUE(MID($A67,5,3)),BASE_Pot!$A$2:$B$321,2,FALSE),"0.000"),"")</f>
        <v>1.000</v>
      </c>
      <c r="J67" t="str">
        <f>""</f>
        <v/>
      </c>
      <c r="L67" t="str">
        <f t="shared" si="4"/>
        <v>MP   26  0.7620.9521.0001.0001.0001.0001.000</v>
      </c>
    </row>
    <row r="68" spans="1:12" x14ac:dyDescent="0.25">
      <c r="A68" t="s">
        <v>330</v>
      </c>
      <c r="B68" t="str">
        <f t="shared" ref="B68:B131" si="5">IF(LEFT(A68,1)="&amp;","",MID(A68,5,3)&amp;"-H")</f>
        <v/>
      </c>
      <c r="C68" s="11" t="str">
        <f>IF($B68&lt;&gt;"",TEXT(1-manut_MP($B68,C$1,C$2)/VLOOKUP(VALUE(MID($A68,5,3)),BASE_Pot!$A$2:$B$321,2,FALSE),"0.000"),"")</f>
        <v/>
      </c>
      <c r="D68" s="11" t="str">
        <f>IF($B68&lt;&gt;"",TEXT(1-manut_MP($B68,D$1,D$2)/VLOOKUP(VALUE(MID($A68,5,3)),BASE_Pot!$A$2:$B$321,2,FALSE),"0.000"),"")</f>
        <v/>
      </c>
      <c r="E68" s="11" t="str">
        <f>IF($B68&lt;&gt;"",TEXT(1-manut_MP($B68,E$1,E$2)/VLOOKUP(VALUE(MID($A68,5,3)),BASE_Pot!$A$2:$B$321,2,FALSE),"0.000"),"")</f>
        <v/>
      </c>
      <c r="F68" s="11" t="str">
        <f>IF($B68&lt;&gt;"",TEXT(1-manut_MP($B68,F$1,F$2)/VLOOKUP(VALUE(MID($A68,5,3)),BASE_Pot!$A$2:$B$321,2,FALSE),"0.000"),"")</f>
        <v/>
      </c>
      <c r="G68" s="11" t="str">
        <f>IF($B68&lt;&gt;"",TEXT(1-manut_MP($B68,G$1,G$2)/VLOOKUP(VALUE(MID($A68,5,3)),BASE_Pot!$A$2:$B$321,2,FALSE),"0.000"),"")</f>
        <v/>
      </c>
      <c r="H68" s="11" t="str">
        <f>IF($B68&lt;&gt;"",TEXT(1-manut_MP($B68,H$1,H$2)/VLOOKUP(VALUE(MID($A68,5,3)),BASE_Pot!$A$2:$B$321,2,FALSE),"0.000"),"")</f>
        <v/>
      </c>
      <c r="I68" s="11" t="str">
        <f>IF($B68&lt;&gt;"",TEXT(1-manut_MP($B68,I$1,I$2)/VLOOKUP(VALUE(MID($A68,5,3)),BASE_Pot!$A$2:$B$321,2,FALSE),"0.000"),"")</f>
        <v/>
      </c>
      <c r="J68" t="str">
        <f>""</f>
        <v/>
      </c>
      <c r="L68" t="str">
        <f t="shared" si="4"/>
        <v>&amp;CAPIM BRANC1</v>
      </c>
    </row>
    <row r="69" spans="1:12" x14ac:dyDescent="0.25">
      <c r="A69" t="s">
        <v>519</v>
      </c>
      <c r="B69" t="str">
        <f t="shared" si="5"/>
        <v xml:space="preserve"> 27-H</v>
      </c>
      <c r="C69" s="11" t="str">
        <f>IF($B69&lt;&gt;"",TEXT(1-manut_MP($B69,C$1,C$2)/VLOOKUP(VALUE(MID($A69,5,3)),BASE_Pot!$A$2:$B$321,2,FALSE),"0.000"),"")</f>
        <v>1.000</v>
      </c>
      <c r="D69" s="11" t="str">
        <f>IF($B69&lt;&gt;"",TEXT(1-manut_MP($B69,D$1,D$2)/VLOOKUP(VALUE(MID($A69,5,3)),BASE_Pot!$A$2:$B$321,2,FALSE),"0.000"),"")</f>
        <v>1.000</v>
      </c>
      <c r="E69" s="11" t="str">
        <f>IF($B69&lt;&gt;"",TEXT(1-manut_MP($B69,E$1,E$2)/VLOOKUP(VALUE(MID($A69,5,3)),BASE_Pot!$A$2:$B$321,2,FALSE),"0.000"),"")</f>
        <v>1.000</v>
      </c>
      <c r="F69" s="11" t="str">
        <f>IF($B69&lt;&gt;"",TEXT(1-manut_MP($B69,F$1,F$2)/VLOOKUP(VALUE(MID($A69,5,3)),BASE_Pot!$A$2:$B$321,2,FALSE),"0.000"),"")</f>
        <v>1.000</v>
      </c>
      <c r="G69" s="11" t="str">
        <f>IF($B69&lt;&gt;"",TEXT(1-manut_MP($B69,G$1,G$2)/VLOOKUP(VALUE(MID($A69,5,3)),BASE_Pot!$A$2:$B$321,2,FALSE),"0.000"),"")</f>
        <v>1.000</v>
      </c>
      <c r="H69" s="11" t="str">
        <f>IF($B69&lt;&gt;"",TEXT(1-manut_MP($B69,H$1,H$2)/VLOOKUP(VALUE(MID($A69,5,3)),BASE_Pot!$A$2:$B$321,2,FALSE),"0.000"),"")</f>
        <v>1.000</v>
      </c>
      <c r="I69" s="11" t="str">
        <f>IF($B69&lt;&gt;"",TEXT(1-manut_MP($B69,I$1,I$2)/VLOOKUP(VALUE(MID($A69,5,3)),BASE_Pot!$A$2:$B$321,2,FALSE),"0.000"),"")</f>
        <v>1.000</v>
      </c>
      <c r="J69" t="str">
        <f>""</f>
        <v/>
      </c>
      <c r="L69" t="str">
        <f t="shared" si="4"/>
        <v>MP   27  1.0001.0001.0001.0001.0001.0001.000</v>
      </c>
    </row>
    <row r="70" spans="1:12" x14ac:dyDescent="0.25">
      <c r="A70" t="s">
        <v>331</v>
      </c>
      <c r="B70" t="str">
        <f t="shared" si="5"/>
        <v/>
      </c>
      <c r="C70" s="11" t="str">
        <f>IF($B70&lt;&gt;"",TEXT(1-manut_MP($B70,C$1,C$2)/VLOOKUP(VALUE(MID($A70,5,3)),BASE_Pot!$A$2:$B$321,2,FALSE),"0.000"),"")</f>
        <v/>
      </c>
      <c r="D70" s="11" t="str">
        <f>IF($B70&lt;&gt;"",TEXT(1-manut_MP($B70,D$1,D$2)/VLOOKUP(VALUE(MID($A70,5,3)),BASE_Pot!$A$2:$B$321,2,FALSE),"0.000"),"")</f>
        <v/>
      </c>
      <c r="E70" s="11" t="str">
        <f>IF($B70&lt;&gt;"",TEXT(1-manut_MP($B70,E$1,E$2)/VLOOKUP(VALUE(MID($A70,5,3)),BASE_Pot!$A$2:$B$321,2,FALSE),"0.000"),"")</f>
        <v/>
      </c>
      <c r="F70" s="11" t="str">
        <f>IF($B70&lt;&gt;"",TEXT(1-manut_MP($B70,F$1,F$2)/VLOOKUP(VALUE(MID($A70,5,3)),BASE_Pot!$A$2:$B$321,2,FALSE),"0.000"),"")</f>
        <v/>
      </c>
      <c r="G70" s="11" t="str">
        <f>IF($B70&lt;&gt;"",TEXT(1-manut_MP($B70,G$1,G$2)/VLOOKUP(VALUE(MID($A70,5,3)),BASE_Pot!$A$2:$B$321,2,FALSE),"0.000"),"")</f>
        <v/>
      </c>
      <c r="H70" s="11" t="str">
        <f>IF($B70&lt;&gt;"",TEXT(1-manut_MP($B70,H$1,H$2)/VLOOKUP(VALUE(MID($A70,5,3)),BASE_Pot!$A$2:$B$321,2,FALSE),"0.000"),"")</f>
        <v/>
      </c>
      <c r="I70" s="11" t="str">
        <f>IF($B70&lt;&gt;"",TEXT(1-manut_MP($B70,I$1,I$2)/VLOOKUP(VALUE(MID($A70,5,3)),BASE_Pot!$A$2:$B$321,2,FALSE),"0.000"),"")</f>
        <v/>
      </c>
      <c r="J70" t="str">
        <f>""</f>
        <v/>
      </c>
      <c r="L70" t="str">
        <f t="shared" si="4"/>
        <v>&amp;CAPIM BRANC2</v>
      </c>
    </row>
    <row r="71" spans="1:12" x14ac:dyDescent="0.25">
      <c r="A71" t="s">
        <v>520</v>
      </c>
      <c r="B71" t="str">
        <f t="shared" si="5"/>
        <v xml:space="preserve"> 28-H</v>
      </c>
      <c r="C71" s="11" t="str">
        <f>IF($B71&lt;&gt;"",TEXT(1-manut_MP($B71,C$1,C$2)/VLOOKUP(VALUE(MID($A71,5,3)),BASE_Pot!$A$2:$B$321,2,FALSE),"0.000"),"")</f>
        <v>1.000</v>
      </c>
      <c r="D71" s="11" t="str">
        <f>IF($B71&lt;&gt;"",TEXT(1-manut_MP($B71,D$1,D$2)/VLOOKUP(VALUE(MID($A71,5,3)),BASE_Pot!$A$2:$B$321,2,FALSE),"0.000"),"")</f>
        <v>1.000</v>
      </c>
      <c r="E71" s="11" t="str">
        <f>IF($B71&lt;&gt;"",TEXT(1-manut_MP($B71,E$1,E$2)/VLOOKUP(VALUE(MID($A71,5,3)),BASE_Pot!$A$2:$B$321,2,FALSE),"0.000"),"")</f>
        <v>1.000</v>
      </c>
      <c r="F71" s="11" t="str">
        <f>IF($B71&lt;&gt;"",TEXT(1-manut_MP($B71,F$1,F$2)/VLOOKUP(VALUE(MID($A71,5,3)),BASE_Pot!$A$2:$B$321,2,FALSE),"0.000"),"")</f>
        <v>1.000</v>
      </c>
      <c r="G71" s="11" t="str">
        <f>IF($B71&lt;&gt;"",TEXT(1-manut_MP($B71,G$1,G$2)/VLOOKUP(VALUE(MID($A71,5,3)),BASE_Pot!$A$2:$B$321,2,FALSE),"0.000"),"")</f>
        <v>1.000</v>
      </c>
      <c r="H71" s="11" t="str">
        <f>IF($B71&lt;&gt;"",TEXT(1-manut_MP($B71,H$1,H$2)/VLOOKUP(VALUE(MID($A71,5,3)),BASE_Pot!$A$2:$B$321,2,FALSE),"0.000"),"")</f>
        <v>1.000</v>
      </c>
      <c r="I71" s="11" t="str">
        <f>IF($B71&lt;&gt;"",TEXT(1-manut_MP($B71,I$1,I$2)/VLOOKUP(VALUE(MID($A71,5,3)),BASE_Pot!$A$2:$B$321,2,FALSE),"0.000"),"")</f>
        <v>1.000</v>
      </c>
      <c r="J71" t="str">
        <f>""</f>
        <v/>
      </c>
      <c r="L71" t="str">
        <f t="shared" si="4"/>
        <v>MP   28  1.0001.0001.0001.0001.0001.0001.000</v>
      </c>
    </row>
    <row r="72" spans="1:12" x14ac:dyDescent="0.25">
      <c r="A72" t="s">
        <v>332</v>
      </c>
      <c r="B72" t="str">
        <f t="shared" si="5"/>
        <v/>
      </c>
      <c r="C72" s="11" t="str">
        <f>IF($B72&lt;&gt;"",TEXT(1-manut_MP($B72,C$1,C$2)/VLOOKUP(VALUE(MID($A72,5,3)),BASE_Pot!$A$2:$B$321,2,FALSE),"0.000"),"")</f>
        <v/>
      </c>
      <c r="D72" s="11" t="str">
        <f>IF($B72&lt;&gt;"",TEXT(1-manut_MP($B72,D$1,D$2)/VLOOKUP(VALUE(MID($A72,5,3)),BASE_Pot!$A$2:$B$321,2,FALSE),"0.000"),"")</f>
        <v/>
      </c>
      <c r="E72" s="11" t="str">
        <f>IF($B72&lt;&gt;"",TEXT(1-manut_MP($B72,E$1,E$2)/VLOOKUP(VALUE(MID($A72,5,3)),BASE_Pot!$A$2:$B$321,2,FALSE),"0.000"),"")</f>
        <v/>
      </c>
      <c r="F72" s="11" t="str">
        <f>IF($B72&lt;&gt;"",TEXT(1-manut_MP($B72,F$1,F$2)/VLOOKUP(VALUE(MID($A72,5,3)),BASE_Pot!$A$2:$B$321,2,FALSE),"0.000"),"")</f>
        <v/>
      </c>
      <c r="G72" s="11" t="str">
        <f>IF($B72&lt;&gt;"",TEXT(1-manut_MP($B72,G$1,G$2)/VLOOKUP(VALUE(MID($A72,5,3)),BASE_Pot!$A$2:$B$321,2,FALSE),"0.000"),"")</f>
        <v/>
      </c>
      <c r="H72" s="11" t="str">
        <f>IF($B72&lt;&gt;"",TEXT(1-manut_MP($B72,H$1,H$2)/VLOOKUP(VALUE(MID($A72,5,3)),BASE_Pot!$A$2:$B$321,2,FALSE),"0.000"),"")</f>
        <v/>
      </c>
      <c r="I72" s="11" t="str">
        <f>IF($B72&lt;&gt;"",TEXT(1-manut_MP($B72,I$1,I$2)/VLOOKUP(VALUE(MID($A72,5,3)),BASE_Pot!$A$2:$B$321,2,FALSE),"0.000"),"")</f>
        <v/>
      </c>
      <c r="J72" t="str">
        <f>""</f>
        <v/>
      </c>
      <c r="L72" t="str">
        <f t="shared" si="4"/>
        <v>&amp;SAO SIMAO</v>
      </c>
    </row>
    <row r="73" spans="1:12" x14ac:dyDescent="0.25">
      <c r="A73" t="s">
        <v>521</v>
      </c>
      <c r="B73" t="str">
        <f t="shared" si="5"/>
        <v xml:space="preserve"> 33-H</v>
      </c>
      <c r="C73" s="11" t="str">
        <f>IF($B73&lt;&gt;"",TEXT(1-manut_MP($B73,C$1,C$2)/VLOOKUP(VALUE(MID($A73,5,3)),BASE_Pot!$A$2:$B$321,2,FALSE),"0.000"),"")</f>
        <v>1.000</v>
      </c>
      <c r="D73" s="11" t="str">
        <f>IF($B73&lt;&gt;"",TEXT(1-manut_MP($B73,D$1,D$2)/VLOOKUP(VALUE(MID($A73,5,3)),BASE_Pot!$A$2:$B$321,2,FALSE),"0.000"),"")</f>
        <v>1.000</v>
      </c>
      <c r="E73" s="11" t="str">
        <f>IF($B73&lt;&gt;"",TEXT(1-manut_MP($B73,E$1,E$2)/VLOOKUP(VALUE(MID($A73,5,3)),BASE_Pot!$A$2:$B$321,2,FALSE),"0.000"),"")</f>
        <v>1.000</v>
      </c>
      <c r="F73" s="11" t="str">
        <f>IF($B73&lt;&gt;"",TEXT(1-manut_MP($B73,F$1,F$2)/VLOOKUP(VALUE(MID($A73,5,3)),BASE_Pot!$A$2:$B$321,2,FALSE),"0.000"),"")</f>
        <v>1.000</v>
      </c>
      <c r="G73" s="11" t="str">
        <f>IF($B73&lt;&gt;"",TEXT(1-manut_MP($B73,G$1,G$2)/VLOOKUP(VALUE(MID($A73,5,3)),BASE_Pot!$A$2:$B$321,2,FALSE),"0.000"),"")</f>
        <v>1.000</v>
      </c>
      <c r="H73" s="11" t="str">
        <f>IF($B73&lt;&gt;"",TEXT(1-manut_MP($B73,H$1,H$2)/VLOOKUP(VALUE(MID($A73,5,3)),BASE_Pot!$A$2:$B$321,2,FALSE),"0.000"),"")</f>
        <v>1.000</v>
      </c>
      <c r="I73" s="11" t="str">
        <f>IF($B73&lt;&gt;"",TEXT(1-manut_MP($B73,I$1,I$2)/VLOOKUP(VALUE(MID($A73,5,3)),BASE_Pot!$A$2:$B$321,2,FALSE),"0.000"),"")</f>
        <v>1.000</v>
      </c>
      <c r="J73" t="str">
        <f>""</f>
        <v/>
      </c>
      <c r="L73" t="str">
        <f t="shared" si="4"/>
        <v>MP   33  1.0001.0001.0001.0001.0001.0001.000</v>
      </c>
    </row>
    <row r="74" spans="1:12" x14ac:dyDescent="0.25">
      <c r="A74" t="s">
        <v>333</v>
      </c>
      <c r="B74" t="str">
        <f t="shared" si="5"/>
        <v/>
      </c>
      <c r="C74" s="11" t="str">
        <f>IF($B74&lt;&gt;"",TEXT(1-manut_MP($B74,C$1,C$2)/VLOOKUP(VALUE(MID($A74,5,3)),BASE_Pot!$A$2:$B$321,2,FALSE),"0.000"),"")</f>
        <v/>
      </c>
      <c r="D74" s="11" t="str">
        <f>IF($B74&lt;&gt;"",TEXT(1-manut_MP($B74,D$1,D$2)/VLOOKUP(VALUE(MID($A74,5,3)),BASE_Pot!$A$2:$B$321,2,FALSE),"0.000"),"")</f>
        <v/>
      </c>
      <c r="E74" s="11" t="str">
        <f>IF($B74&lt;&gt;"",TEXT(1-manut_MP($B74,E$1,E$2)/VLOOKUP(VALUE(MID($A74,5,3)),BASE_Pot!$A$2:$B$321,2,FALSE),"0.000"),"")</f>
        <v/>
      </c>
      <c r="F74" s="11" t="str">
        <f>IF($B74&lt;&gt;"",TEXT(1-manut_MP($B74,F$1,F$2)/VLOOKUP(VALUE(MID($A74,5,3)),BASE_Pot!$A$2:$B$321,2,FALSE),"0.000"),"")</f>
        <v/>
      </c>
      <c r="G74" s="11" t="str">
        <f>IF($B74&lt;&gt;"",TEXT(1-manut_MP($B74,G$1,G$2)/VLOOKUP(VALUE(MID($A74,5,3)),BASE_Pot!$A$2:$B$321,2,FALSE),"0.000"),"")</f>
        <v/>
      </c>
      <c r="H74" s="11" t="str">
        <f>IF($B74&lt;&gt;"",TEXT(1-manut_MP($B74,H$1,H$2)/VLOOKUP(VALUE(MID($A74,5,3)),BASE_Pot!$A$2:$B$321,2,FALSE),"0.000"),"")</f>
        <v/>
      </c>
      <c r="I74" s="11" t="str">
        <f>IF($B74&lt;&gt;"",TEXT(1-manut_MP($B74,I$1,I$2)/VLOOKUP(VALUE(MID($A74,5,3)),BASE_Pot!$A$2:$B$321,2,FALSE),"0.000"),"")</f>
        <v/>
      </c>
      <c r="J74" t="str">
        <f>""</f>
        <v/>
      </c>
      <c r="L74" t="str">
        <f t="shared" si="4"/>
        <v>&amp;SALTO GRANDE</v>
      </c>
    </row>
    <row r="75" spans="1:12" x14ac:dyDescent="0.25">
      <c r="A75" t="s">
        <v>522</v>
      </c>
      <c r="B75" t="str">
        <f t="shared" si="5"/>
        <v>134-H</v>
      </c>
      <c r="C75" s="11" t="str">
        <f>IF($B75&lt;&gt;"",TEXT(1-manut_MP($B75,C$1,C$2)/VLOOKUP(VALUE(MID($A75,5,3)),BASE_Pot!$A$2:$B$321,2,FALSE),"0.000"),"")</f>
        <v>1.000</v>
      </c>
      <c r="D75" s="11" t="str">
        <f>IF($B75&lt;&gt;"",TEXT(1-manut_MP($B75,D$1,D$2)/VLOOKUP(VALUE(MID($A75,5,3)),BASE_Pot!$A$2:$B$321,2,FALSE),"0.000"),"")</f>
        <v>1.000</v>
      </c>
      <c r="E75" s="11" t="str">
        <f>IF($B75&lt;&gt;"",TEXT(1-manut_MP($B75,E$1,E$2)/VLOOKUP(VALUE(MID($A75,5,3)),BASE_Pot!$A$2:$B$321,2,FALSE),"0.000"),"")</f>
        <v>1.000</v>
      </c>
      <c r="F75" s="11" t="str">
        <f>IF($B75&lt;&gt;"",TEXT(1-manut_MP($B75,F$1,F$2)/VLOOKUP(VALUE(MID($A75,5,3)),BASE_Pot!$A$2:$B$321,2,FALSE),"0.000"),"")</f>
        <v>1.000</v>
      </c>
      <c r="G75" s="11" t="str">
        <f>IF($B75&lt;&gt;"",TEXT(1-manut_MP($B75,G$1,G$2)/VLOOKUP(VALUE(MID($A75,5,3)),BASE_Pot!$A$2:$B$321,2,FALSE),"0.000"),"")</f>
        <v>1.000</v>
      </c>
      <c r="H75" s="11" t="str">
        <f>IF($B75&lt;&gt;"",TEXT(1-manut_MP($B75,H$1,H$2)/VLOOKUP(VALUE(MID($A75,5,3)),BASE_Pot!$A$2:$B$321,2,FALSE),"0.000"),"")</f>
        <v>1.000</v>
      </c>
      <c r="I75" s="11" t="str">
        <f>IF($B75&lt;&gt;"",TEXT(1-manut_MP($B75,I$1,I$2)/VLOOKUP(VALUE(MID($A75,5,3)),BASE_Pot!$A$2:$B$321,2,FALSE),"0.000"),"")</f>
        <v>1.000</v>
      </c>
      <c r="J75" t="str">
        <f>""</f>
        <v/>
      </c>
      <c r="L75" t="str">
        <f t="shared" si="4"/>
        <v>MP  134  1.0001.0001.0001.0001.0001.0001.000</v>
      </c>
    </row>
    <row r="76" spans="1:12" x14ac:dyDescent="0.25">
      <c r="A76" t="s">
        <v>334</v>
      </c>
      <c r="B76" t="str">
        <f t="shared" si="5"/>
        <v/>
      </c>
      <c r="C76" s="11" t="str">
        <f>IF($B76&lt;&gt;"",TEXT(1-manut_MP($B76,C$1,C$2)/VLOOKUP(VALUE(MID($A76,5,3)),BASE_Pot!$A$2:$B$321,2,FALSE),"0.000"),"")</f>
        <v/>
      </c>
      <c r="D76" s="11" t="str">
        <f>IF($B76&lt;&gt;"",TEXT(1-manut_MP($B76,D$1,D$2)/VLOOKUP(VALUE(MID($A76,5,3)),BASE_Pot!$A$2:$B$321,2,FALSE),"0.000"),"")</f>
        <v/>
      </c>
      <c r="E76" s="11" t="str">
        <f>IF($B76&lt;&gt;"",TEXT(1-manut_MP($B76,E$1,E$2)/VLOOKUP(VALUE(MID($A76,5,3)),BASE_Pot!$A$2:$B$321,2,FALSE),"0.000"),"")</f>
        <v/>
      </c>
      <c r="F76" s="11" t="str">
        <f>IF($B76&lt;&gt;"",TEXT(1-manut_MP($B76,F$1,F$2)/VLOOKUP(VALUE(MID($A76,5,3)),BASE_Pot!$A$2:$B$321,2,FALSE),"0.000"),"")</f>
        <v/>
      </c>
      <c r="G76" s="11" t="str">
        <f>IF($B76&lt;&gt;"",TEXT(1-manut_MP($B76,G$1,G$2)/VLOOKUP(VALUE(MID($A76,5,3)),BASE_Pot!$A$2:$B$321,2,FALSE),"0.000"),"")</f>
        <v/>
      </c>
      <c r="H76" s="11" t="str">
        <f>IF($B76&lt;&gt;"",TEXT(1-manut_MP($B76,H$1,H$2)/VLOOKUP(VALUE(MID($A76,5,3)),BASE_Pot!$A$2:$B$321,2,FALSE),"0.000"),"")</f>
        <v/>
      </c>
      <c r="I76" s="11" t="str">
        <f>IF($B76&lt;&gt;"",TEXT(1-manut_MP($B76,I$1,I$2)/VLOOKUP(VALUE(MID($A76,5,3)),BASE_Pot!$A$2:$B$321,2,FALSE),"0.000"),"")</f>
        <v/>
      </c>
      <c r="J76" t="str">
        <f>""</f>
        <v/>
      </c>
      <c r="L76" t="str">
        <f t="shared" si="4"/>
        <v>&amp;AIMORES</v>
      </c>
    </row>
    <row r="77" spans="1:12" x14ac:dyDescent="0.25">
      <c r="A77" t="s">
        <v>523</v>
      </c>
      <c r="B77" t="str">
        <f t="shared" si="5"/>
        <v>143-H</v>
      </c>
      <c r="C77" s="11" t="str">
        <f>IF($B77&lt;&gt;"",TEXT(1-manut_MP($B77,C$1,C$2)/VLOOKUP(VALUE(MID($A77,5,3)),BASE_Pot!$A$2:$B$321,2,FALSE),"0.000"),"")</f>
        <v>0.381</v>
      </c>
      <c r="D77" s="11" t="str">
        <f>IF($B77&lt;&gt;"",TEXT(1-manut_MP($B77,D$1,D$2)/VLOOKUP(VALUE(MID($A77,5,3)),BASE_Pot!$A$2:$B$321,2,FALSE),"0.000"),"")</f>
        <v>0.667</v>
      </c>
      <c r="E77" s="11" t="str">
        <f>IF($B77&lt;&gt;"",TEXT(1-manut_MP($B77,E$1,E$2)/VLOOKUP(VALUE(MID($A77,5,3)),BASE_Pot!$A$2:$B$321,2,FALSE),"0.000"),"")</f>
        <v>0.810</v>
      </c>
      <c r="F77" s="11" t="str">
        <f>IF($B77&lt;&gt;"",TEXT(1-manut_MP($B77,F$1,F$2)/VLOOKUP(VALUE(MID($A77,5,3)),BASE_Pot!$A$2:$B$321,2,FALSE),"0.000"),"")</f>
        <v>1.000</v>
      </c>
      <c r="G77" s="11" t="str">
        <f>IF($B77&lt;&gt;"",TEXT(1-manut_MP($B77,G$1,G$2)/VLOOKUP(VALUE(MID($A77,5,3)),BASE_Pot!$A$2:$B$321,2,FALSE),"0.000"),"")</f>
        <v>1.000</v>
      </c>
      <c r="H77" s="11" t="str">
        <f>IF($B77&lt;&gt;"",TEXT(1-manut_MP($B77,H$1,H$2)/VLOOKUP(VALUE(MID($A77,5,3)),BASE_Pot!$A$2:$B$321,2,FALSE),"0.000"),"")</f>
        <v>1.000</v>
      </c>
      <c r="I77" s="11" t="str">
        <f>IF($B77&lt;&gt;"",TEXT(1-manut_MP($B77,I$1,I$2)/VLOOKUP(VALUE(MID($A77,5,3)),BASE_Pot!$A$2:$B$321,2,FALSE),"0.000"),"")</f>
        <v>1.000</v>
      </c>
      <c r="J77" t="str">
        <f>""</f>
        <v/>
      </c>
      <c r="L77" t="str">
        <f t="shared" si="4"/>
        <v>MP  143  0.3810.6670.8101.0001.0001.0001.000</v>
      </c>
    </row>
    <row r="78" spans="1:12" x14ac:dyDescent="0.25">
      <c r="A78" t="s">
        <v>335</v>
      </c>
      <c r="B78" t="str">
        <f t="shared" si="5"/>
        <v/>
      </c>
      <c r="C78" s="11" t="str">
        <f>IF($B78&lt;&gt;"",TEXT(1-manut_MP($B78,C$1,C$2)/VLOOKUP(VALUE(MID($A78,5,3)),BASE_Pot!$A$2:$B$321,2,FALSE),"0.000"),"")</f>
        <v/>
      </c>
      <c r="D78" s="11" t="str">
        <f>IF($B78&lt;&gt;"",TEXT(1-manut_MP($B78,D$1,D$2)/VLOOKUP(VALUE(MID($A78,5,3)),BASE_Pot!$A$2:$B$321,2,FALSE),"0.000"),"")</f>
        <v/>
      </c>
      <c r="E78" s="11" t="str">
        <f>IF($B78&lt;&gt;"",TEXT(1-manut_MP($B78,E$1,E$2)/VLOOKUP(VALUE(MID($A78,5,3)),BASE_Pot!$A$2:$B$321,2,FALSE),"0.000"),"")</f>
        <v/>
      </c>
      <c r="F78" s="11" t="str">
        <f>IF($B78&lt;&gt;"",TEXT(1-manut_MP($B78,F$1,F$2)/VLOOKUP(VALUE(MID($A78,5,3)),BASE_Pot!$A$2:$B$321,2,FALSE),"0.000"),"")</f>
        <v/>
      </c>
      <c r="G78" s="11" t="str">
        <f>IF($B78&lt;&gt;"",TEXT(1-manut_MP($B78,G$1,G$2)/VLOOKUP(VALUE(MID($A78,5,3)),BASE_Pot!$A$2:$B$321,2,FALSE),"0.000"),"")</f>
        <v/>
      </c>
      <c r="H78" s="11" t="str">
        <f>IF($B78&lt;&gt;"",TEXT(1-manut_MP($B78,H$1,H$2)/VLOOKUP(VALUE(MID($A78,5,3)),BASE_Pot!$A$2:$B$321,2,FALSE),"0.000"),"")</f>
        <v/>
      </c>
      <c r="I78" s="11" t="str">
        <f>IF($B78&lt;&gt;"",TEXT(1-manut_MP($B78,I$1,I$2)/VLOOKUP(VALUE(MID($A78,5,3)),BASE_Pot!$A$2:$B$321,2,FALSE),"0.000"),"")</f>
        <v/>
      </c>
      <c r="J78" t="str">
        <f>""</f>
        <v/>
      </c>
      <c r="L78" t="str">
        <f t="shared" si="4"/>
        <v>&amp;IRAPE</v>
      </c>
    </row>
    <row r="79" spans="1:12" x14ac:dyDescent="0.25">
      <c r="A79" t="s">
        <v>524</v>
      </c>
      <c r="B79" t="str">
        <f t="shared" si="5"/>
        <v>148-H</v>
      </c>
      <c r="C79" s="11" t="str">
        <f>IF($B79&lt;&gt;"",TEXT(1-manut_MP($B79,C$1,C$2)/VLOOKUP(VALUE(MID($A79,5,3)),BASE_Pot!$A$2:$B$321,2,FALSE),"0.000"),"")</f>
        <v>1.000</v>
      </c>
      <c r="D79" s="11" t="str">
        <f>IF($B79&lt;&gt;"",TEXT(1-manut_MP($B79,D$1,D$2)/VLOOKUP(VALUE(MID($A79,5,3)),BASE_Pot!$A$2:$B$321,2,FALSE),"0.000"),"")</f>
        <v>1.000</v>
      </c>
      <c r="E79" s="11" t="str">
        <f>IF($B79&lt;&gt;"",TEXT(1-manut_MP($B79,E$1,E$2)/VLOOKUP(VALUE(MID($A79,5,3)),BASE_Pot!$A$2:$B$321,2,FALSE),"0.000"),"")</f>
        <v>1.000</v>
      </c>
      <c r="F79" s="11" t="str">
        <f>IF($B79&lt;&gt;"",TEXT(1-manut_MP($B79,F$1,F$2)/VLOOKUP(VALUE(MID($A79,5,3)),BASE_Pot!$A$2:$B$321,2,FALSE),"0.000"),"")</f>
        <v>1.000</v>
      </c>
      <c r="G79" s="11" t="str">
        <f>IF($B79&lt;&gt;"",TEXT(1-manut_MP($B79,G$1,G$2)/VLOOKUP(VALUE(MID($A79,5,3)),BASE_Pot!$A$2:$B$321,2,FALSE),"0.000"),"")</f>
        <v>1.000</v>
      </c>
      <c r="H79" s="11" t="str">
        <f>IF($B79&lt;&gt;"",TEXT(1-manut_MP($B79,H$1,H$2)/VLOOKUP(VALUE(MID($A79,5,3)),BASE_Pot!$A$2:$B$321,2,FALSE),"0.000"),"")</f>
        <v>1.000</v>
      </c>
      <c r="I79" s="11" t="str">
        <f>IF($B79&lt;&gt;"",TEXT(1-manut_MP($B79,I$1,I$2)/VLOOKUP(VALUE(MID($A79,5,3)),BASE_Pot!$A$2:$B$321,2,FALSE),"0.000"),"")</f>
        <v>1.000</v>
      </c>
      <c r="J79" t="str">
        <f>""</f>
        <v/>
      </c>
      <c r="L79" t="str">
        <f t="shared" si="4"/>
        <v>MP  148  1.0001.0001.0001.0001.0001.0001.000</v>
      </c>
    </row>
    <row r="80" spans="1:12" x14ac:dyDescent="0.25">
      <c r="A80" t="s">
        <v>336</v>
      </c>
      <c r="B80" t="str">
        <f t="shared" si="5"/>
        <v/>
      </c>
      <c r="C80" s="11" t="str">
        <f>IF($B80&lt;&gt;"",TEXT(1-manut_MP($B80,C$1,C$2)/VLOOKUP(VALUE(MID($A80,5,3)),BASE_Pot!$A$2:$B$321,2,FALSE),"0.000"),"")</f>
        <v/>
      </c>
      <c r="D80" s="11" t="str">
        <f>IF($B80&lt;&gt;"",TEXT(1-manut_MP($B80,D$1,D$2)/VLOOKUP(VALUE(MID($A80,5,3)),BASE_Pot!$A$2:$B$321,2,FALSE),"0.000"),"")</f>
        <v/>
      </c>
      <c r="E80" s="11" t="str">
        <f>IF($B80&lt;&gt;"",TEXT(1-manut_MP($B80,E$1,E$2)/VLOOKUP(VALUE(MID($A80,5,3)),BASE_Pot!$A$2:$B$321,2,FALSE),"0.000"),"")</f>
        <v/>
      </c>
      <c r="F80" s="11" t="str">
        <f>IF($B80&lt;&gt;"",TEXT(1-manut_MP($B80,F$1,F$2)/VLOOKUP(VALUE(MID($A80,5,3)),BASE_Pot!$A$2:$B$321,2,FALSE),"0.000"),"")</f>
        <v/>
      </c>
      <c r="G80" s="11" t="str">
        <f>IF($B80&lt;&gt;"",TEXT(1-manut_MP($B80,G$1,G$2)/VLOOKUP(VALUE(MID($A80,5,3)),BASE_Pot!$A$2:$B$321,2,FALSE),"0.000"),"")</f>
        <v/>
      </c>
      <c r="H80" s="11" t="str">
        <f>IF($B80&lt;&gt;"",TEXT(1-manut_MP($B80,H$1,H$2)/VLOOKUP(VALUE(MID($A80,5,3)),BASE_Pot!$A$2:$B$321,2,FALSE),"0.000"),"")</f>
        <v/>
      </c>
      <c r="I80" s="11" t="str">
        <f>IF($B80&lt;&gt;"",TEXT(1-manut_MP($B80,I$1,I$2)/VLOOKUP(VALUE(MID($A80,5,3)),BASE_Pot!$A$2:$B$321,2,FALSE),"0.000"),"")</f>
        <v/>
      </c>
      <c r="J80" t="str">
        <f>""</f>
        <v/>
      </c>
      <c r="L80" t="str">
        <f t="shared" si="4"/>
        <v>&amp;TRES MARIAS</v>
      </c>
    </row>
    <row r="81" spans="1:12" x14ac:dyDescent="0.25">
      <c r="A81" t="s">
        <v>525</v>
      </c>
      <c r="B81" t="str">
        <f t="shared" si="5"/>
        <v>156-H</v>
      </c>
      <c r="C81" s="11" t="str">
        <f>IF($B81&lt;&gt;"",TEXT(1-manut_MP($B81,C$1,C$2)/VLOOKUP(VALUE(MID($A81,5,3)),BASE_Pot!$A$2:$B$321,2,FALSE),"0.000"),"")</f>
        <v>1.000</v>
      </c>
      <c r="D81" s="11" t="str">
        <f>IF($B81&lt;&gt;"",TEXT(1-manut_MP($B81,D$1,D$2)/VLOOKUP(VALUE(MID($A81,5,3)),BASE_Pot!$A$2:$B$321,2,FALSE),"0.000"),"")</f>
        <v>1.000</v>
      </c>
      <c r="E81" s="11" t="str">
        <f>IF($B81&lt;&gt;"",TEXT(1-manut_MP($B81,E$1,E$2)/VLOOKUP(VALUE(MID($A81,5,3)),BASE_Pot!$A$2:$B$321,2,FALSE),"0.000"),"")</f>
        <v>1.000</v>
      </c>
      <c r="F81" s="11" t="str">
        <f>IF($B81&lt;&gt;"",TEXT(1-manut_MP($B81,F$1,F$2)/VLOOKUP(VALUE(MID($A81,5,3)),BASE_Pot!$A$2:$B$321,2,FALSE),"0.000"),"")</f>
        <v>1.000</v>
      </c>
      <c r="G81" s="11" t="str">
        <f>IF($B81&lt;&gt;"",TEXT(1-manut_MP($B81,G$1,G$2)/VLOOKUP(VALUE(MID($A81,5,3)),BASE_Pot!$A$2:$B$321,2,FALSE),"0.000"),"")</f>
        <v>1.000</v>
      </c>
      <c r="H81" s="11" t="str">
        <f>IF($B81&lt;&gt;"",TEXT(1-manut_MP($B81,H$1,H$2)/VLOOKUP(VALUE(MID($A81,5,3)),BASE_Pot!$A$2:$B$321,2,FALSE),"0.000"),"")</f>
        <v>1.000</v>
      </c>
      <c r="I81" s="11" t="str">
        <f>IF($B81&lt;&gt;"",TEXT(1-manut_MP($B81,I$1,I$2)/VLOOKUP(VALUE(MID($A81,5,3)),BASE_Pot!$A$2:$B$321,2,FALSE),"0.000"),"")</f>
        <v>1.000</v>
      </c>
      <c r="J81" t="str">
        <f>""</f>
        <v/>
      </c>
      <c r="L81" t="str">
        <f t="shared" si="4"/>
        <v>MP  156  1.0001.0001.0001.0001.0001.0001.000</v>
      </c>
    </row>
    <row r="82" spans="1:12" x14ac:dyDescent="0.25">
      <c r="A82" t="s">
        <v>337</v>
      </c>
      <c r="B82" t="str">
        <f t="shared" si="5"/>
        <v/>
      </c>
      <c r="C82" s="11" t="str">
        <f>IF($B82&lt;&gt;"",TEXT(1-manut_MP($B82,C$1,C$2)/VLOOKUP(VALUE(MID($A82,5,3)),BASE_Pot!$A$2:$B$321,2,FALSE),"0.000"),"")</f>
        <v/>
      </c>
      <c r="D82" s="11" t="str">
        <f>IF($B82&lt;&gt;"",TEXT(1-manut_MP($B82,D$1,D$2)/VLOOKUP(VALUE(MID($A82,5,3)),BASE_Pot!$A$2:$B$321,2,FALSE),"0.000"),"")</f>
        <v/>
      </c>
      <c r="E82" s="11" t="str">
        <f>IF($B82&lt;&gt;"",TEXT(1-manut_MP($B82,E$1,E$2)/VLOOKUP(VALUE(MID($A82,5,3)),BASE_Pot!$A$2:$B$321,2,FALSE),"0.000"),"")</f>
        <v/>
      </c>
      <c r="F82" s="11" t="str">
        <f>IF($B82&lt;&gt;"",TEXT(1-manut_MP($B82,F$1,F$2)/VLOOKUP(VALUE(MID($A82,5,3)),BASE_Pot!$A$2:$B$321,2,FALSE),"0.000"),"")</f>
        <v/>
      </c>
      <c r="G82" s="11" t="str">
        <f>IF($B82&lt;&gt;"",TEXT(1-manut_MP($B82,G$1,G$2)/VLOOKUP(VALUE(MID($A82,5,3)),BASE_Pot!$A$2:$B$321,2,FALSE),"0.000"),"")</f>
        <v/>
      </c>
      <c r="H82" s="11" t="str">
        <f>IF($B82&lt;&gt;"",TEXT(1-manut_MP($B82,H$1,H$2)/VLOOKUP(VALUE(MID($A82,5,3)),BASE_Pot!$A$2:$B$321,2,FALSE),"0.000"),"")</f>
        <v/>
      </c>
      <c r="I82" s="11" t="str">
        <f>IF($B82&lt;&gt;"",TEXT(1-manut_MP($B82,I$1,I$2)/VLOOKUP(VALUE(MID($A82,5,3)),BASE_Pot!$A$2:$B$321,2,FALSE),"0.000"),"")</f>
        <v/>
      </c>
      <c r="J82" t="str">
        <f>""</f>
        <v/>
      </c>
      <c r="L82" t="str">
        <f t="shared" si="4"/>
        <v>&amp;QUEIMADO</v>
      </c>
    </row>
    <row r="83" spans="1:12" x14ac:dyDescent="0.25">
      <c r="A83" t="s">
        <v>526</v>
      </c>
      <c r="B83" t="str">
        <f t="shared" si="5"/>
        <v>162-H</v>
      </c>
      <c r="C83" s="11" t="str">
        <f>IF($B83&lt;&gt;"",TEXT(1-manut_MP($B83,C$1,C$2)/VLOOKUP(VALUE(MID($A83,5,3)),BASE_Pot!$A$2:$B$321,2,FALSE),"0.000"),"")</f>
        <v>1.000</v>
      </c>
      <c r="D83" s="11" t="str">
        <f>IF($B83&lt;&gt;"",TEXT(1-manut_MP($B83,D$1,D$2)/VLOOKUP(VALUE(MID($A83,5,3)),BASE_Pot!$A$2:$B$321,2,FALSE),"0.000"),"")</f>
        <v>1.000</v>
      </c>
      <c r="E83" s="11" t="str">
        <f>IF($B83&lt;&gt;"",TEXT(1-manut_MP($B83,E$1,E$2)/VLOOKUP(VALUE(MID($A83,5,3)),BASE_Pot!$A$2:$B$321,2,FALSE),"0.000"),"")</f>
        <v>1.000</v>
      </c>
      <c r="F83" s="11" t="str">
        <f>IF($B83&lt;&gt;"",TEXT(1-manut_MP($B83,F$1,F$2)/VLOOKUP(VALUE(MID($A83,5,3)),BASE_Pot!$A$2:$B$321,2,FALSE),"0.000"),"")</f>
        <v>1.000</v>
      </c>
      <c r="G83" s="11" t="str">
        <f>IF($B83&lt;&gt;"",TEXT(1-manut_MP($B83,G$1,G$2)/VLOOKUP(VALUE(MID($A83,5,3)),BASE_Pot!$A$2:$B$321,2,FALSE),"0.000"),"")</f>
        <v>1.000</v>
      </c>
      <c r="H83" s="11" t="str">
        <f>IF($B83&lt;&gt;"",TEXT(1-manut_MP($B83,H$1,H$2)/VLOOKUP(VALUE(MID($A83,5,3)),BASE_Pot!$A$2:$B$321,2,FALSE),"0.000"),"")</f>
        <v>1.000</v>
      </c>
      <c r="I83" s="11" t="str">
        <f>IF($B83&lt;&gt;"",TEXT(1-manut_MP($B83,I$1,I$2)/VLOOKUP(VALUE(MID($A83,5,3)),BASE_Pot!$A$2:$B$321,2,FALSE),"0.000"),"")</f>
        <v>1.000</v>
      </c>
      <c r="J83" t="str">
        <f>""</f>
        <v/>
      </c>
      <c r="L83" t="str">
        <f t="shared" ref="L83:L146" si="6">IF(LEFT(A83,1)="&amp;",A83,A83&amp;"  "&amp;LEFT(INDEX($C83:$J83,1,MIN($M$1,8))&amp;INDEX($C83:$J83,1,MIN($M$1+1,8))&amp;INDEX($C83:$J83,1,MIN($M$1+2,8))&amp;INDEX($C83:$J83,1,MIN($M$1+3,8))&amp;INDEX($C83:$J83,1,MIN($M$1+4,8))&amp;INDEX($C83:$J83,1,MIN($M$1+5,8))&amp;INDEX($C83:$J83,1,MIN($M$1+6,8))&amp;INDEX($C83:$J83,1,MIN($M$1+7,8)),5*($P$1-1))&amp;"1.000")</f>
        <v>MP  162  1.0001.0001.0001.0001.0001.0001.000</v>
      </c>
    </row>
    <row r="84" spans="1:12" x14ac:dyDescent="0.25">
      <c r="A84" t="s">
        <v>338</v>
      </c>
      <c r="B84" t="str">
        <f t="shared" si="5"/>
        <v/>
      </c>
      <c r="C84" s="11" t="str">
        <f>IF($B84&lt;&gt;"",TEXT(1-manut_MP($B84,C$1,C$2)/VLOOKUP(VALUE(MID($A84,5,3)),BASE_Pot!$A$2:$B$321,2,FALSE),"0.000"),"")</f>
        <v/>
      </c>
      <c r="D84" s="11" t="str">
        <f>IF($B84&lt;&gt;"",TEXT(1-manut_MP($B84,D$1,D$2)/VLOOKUP(VALUE(MID($A84,5,3)),BASE_Pot!$A$2:$B$321,2,FALSE),"0.000"),"")</f>
        <v/>
      </c>
      <c r="E84" s="11" t="str">
        <f>IF($B84&lt;&gt;"",TEXT(1-manut_MP($B84,E$1,E$2)/VLOOKUP(VALUE(MID($A84,5,3)),BASE_Pot!$A$2:$B$321,2,FALSE),"0.000"),"")</f>
        <v/>
      </c>
      <c r="F84" s="11" t="str">
        <f>IF($B84&lt;&gt;"",TEXT(1-manut_MP($B84,F$1,F$2)/VLOOKUP(VALUE(MID($A84,5,3)),BASE_Pot!$A$2:$B$321,2,FALSE),"0.000"),"")</f>
        <v/>
      </c>
      <c r="G84" s="11" t="str">
        <f>IF($B84&lt;&gt;"",TEXT(1-manut_MP($B84,G$1,G$2)/VLOOKUP(VALUE(MID($A84,5,3)),BASE_Pot!$A$2:$B$321,2,FALSE),"0.000"),"")</f>
        <v/>
      </c>
      <c r="H84" s="11" t="str">
        <f>IF($B84&lt;&gt;"",TEXT(1-manut_MP($B84,H$1,H$2)/VLOOKUP(VALUE(MID($A84,5,3)),BASE_Pot!$A$2:$B$321,2,FALSE),"0.000"),"")</f>
        <v/>
      </c>
      <c r="I84" s="11" t="str">
        <f>IF($B84&lt;&gt;"",TEXT(1-manut_MP($B84,I$1,I$2)/VLOOKUP(VALUE(MID($A84,5,3)),BASE_Pot!$A$2:$B$321,2,FALSE),"0.000"),"")</f>
        <v/>
      </c>
      <c r="J84" t="str">
        <f>""</f>
        <v/>
      </c>
      <c r="L84" t="str">
        <f t="shared" si="6"/>
        <v>&amp;GUILMAN-AMOR</v>
      </c>
    </row>
    <row r="85" spans="1:12" x14ac:dyDescent="0.25">
      <c r="A85" t="s">
        <v>527</v>
      </c>
      <c r="B85" t="str">
        <f t="shared" si="5"/>
        <v>192-H</v>
      </c>
      <c r="C85" s="11" t="str">
        <f>IF($B85&lt;&gt;"",TEXT(1-manut_MP($B85,C$1,C$2)/VLOOKUP(VALUE(MID($A85,5,3)),BASE_Pot!$A$2:$B$321,2,FALSE),"0.000"),"")</f>
        <v>1.000</v>
      </c>
      <c r="D85" s="11" t="str">
        <f>IF($B85&lt;&gt;"",TEXT(1-manut_MP($B85,D$1,D$2)/VLOOKUP(VALUE(MID($A85,5,3)),BASE_Pot!$A$2:$B$321,2,FALSE),"0.000"),"")</f>
        <v>1.000</v>
      </c>
      <c r="E85" s="11" t="str">
        <f>IF($B85&lt;&gt;"",TEXT(1-manut_MP($B85,E$1,E$2)/VLOOKUP(VALUE(MID($A85,5,3)),BASE_Pot!$A$2:$B$321,2,FALSE),"0.000"),"")</f>
        <v>1.000</v>
      </c>
      <c r="F85" s="11" t="str">
        <f>IF($B85&lt;&gt;"",TEXT(1-manut_MP($B85,F$1,F$2)/VLOOKUP(VALUE(MID($A85,5,3)),BASE_Pot!$A$2:$B$321,2,FALSE),"0.000"),"")</f>
        <v>1.000</v>
      </c>
      <c r="G85" s="11" t="str">
        <f>IF($B85&lt;&gt;"",TEXT(1-manut_MP($B85,G$1,G$2)/VLOOKUP(VALUE(MID($A85,5,3)),BASE_Pot!$A$2:$B$321,2,FALSE),"0.000"),"")</f>
        <v>1.000</v>
      </c>
      <c r="H85" s="11" t="str">
        <f>IF($B85&lt;&gt;"",TEXT(1-manut_MP($B85,H$1,H$2)/VLOOKUP(VALUE(MID($A85,5,3)),BASE_Pot!$A$2:$B$321,2,FALSE),"0.000"),"")</f>
        <v>1.000</v>
      </c>
      <c r="I85" s="11" t="str">
        <f>IF($B85&lt;&gt;"",TEXT(1-manut_MP($B85,I$1,I$2)/VLOOKUP(VALUE(MID($A85,5,3)),BASE_Pot!$A$2:$B$321,2,FALSE),"0.000"),"")</f>
        <v>1.000</v>
      </c>
      <c r="J85" t="str">
        <f>""</f>
        <v/>
      </c>
      <c r="L85" t="str">
        <f t="shared" si="6"/>
        <v>MP  192  1.0001.0001.0001.0001.0001.0001.000</v>
      </c>
    </row>
    <row r="86" spans="1:12" x14ac:dyDescent="0.25">
      <c r="A86" t="s">
        <v>339</v>
      </c>
      <c r="B86" t="str">
        <f t="shared" si="5"/>
        <v/>
      </c>
      <c r="C86" s="11" t="str">
        <f>IF($B86&lt;&gt;"",TEXT(1-manut_MP($B86,C$1,C$2)/VLOOKUP(VALUE(MID($A86,5,3)),BASE_Pot!$A$2:$B$321,2,FALSE),"0.000"),"")</f>
        <v/>
      </c>
      <c r="D86" s="11" t="str">
        <f>IF($B86&lt;&gt;"",TEXT(1-manut_MP($B86,D$1,D$2)/VLOOKUP(VALUE(MID($A86,5,3)),BASE_Pot!$A$2:$B$321,2,FALSE),"0.000"),"")</f>
        <v/>
      </c>
      <c r="E86" s="11" t="str">
        <f>IF($B86&lt;&gt;"",TEXT(1-manut_MP($B86,E$1,E$2)/VLOOKUP(VALUE(MID($A86,5,3)),BASE_Pot!$A$2:$B$321,2,FALSE),"0.000"),"")</f>
        <v/>
      </c>
      <c r="F86" s="11" t="str">
        <f>IF($B86&lt;&gt;"",TEXT(1-manut_MP($B86,F$1,F$2)/VLOOKUP(VALUE(MID($A86,5,3)),BASE_Pot!$A$2:$B$321,2,FALSE),"0.000"),"")</f>
        <v/>
      </c>
      <c r="G86" s="11" t="str">
        <f>IF($B86&lt;&gt;"",TEXT(1-manut_MP($B86,G$1,G$2)/VLOOKUP(VALUE(MID($A86,5,3)),BASE_Pot!$A$2:$B$321,2,FALSE),"0.000"),"")</f>
        <v/>
      </c>
      <c r="H86" s="11" t="str">
        <f>IF($B86&lt;&gt;"",TEXT(1-manut_MP($B86,H$1,H$2)/VLOOKUP(VALUE(MID($A86,5,3)),BASE_Pot!$A$2:$B$321,2,FALSE),"0.000"),"")</f>
        <v/>
      </c>
      <c r="I86" s="11" t="str">
        <f>IF($B86&lt;&gt;"",TEXT(1-manut_MP($B86,I$1,I$2)/VLOOKUP(VALUE(MID($A86,5,3)),BASE_Pot!$A$2:$B$321,2,FALSE),"0.000"),"")</f>
        <v/>
      </c>
      <c r="J86" t="str">
        <f>""</f>
        <v/>
      </c>
      <c r="L86" t="str">
        <f t="shared" si="6"/>
        <v>&amp;SA CARVALHO</v>
      </c>
    </row>
    <row r="87" spans="1:12" x14ac:dyDescent="0.25">
      <c r="A87" t="s">
        <v>528</v>
      </c>
      <c r="B87" t="str">
        <f t="shared" si="5"/>
        <v>193-H</v>
      </c>
      <c r="C87" s="11" t="str">
        <f>IF($B87&lt;&gt;"",TEXT(1-manut_MP($B87,C$1,C$2)/VLOOKUP(VALUE(MID($A87,5,3)),BASE_Pot!$A$2:$B$321,2,FALSE),"0.000"),"")</f>
        <v>1.000</v>
      </c>
      <c r="D87" s="11" t="str">
        <f>IF($B87&lt;&gt;"",TEXT(1-manut_MP($B87,D$1,D$2)/VLOOKUP(VALUE(MID($A87,5,3)),BASE_Pot!$A$2:$B$321,2,FALSE),"0.000"),"")</f>
        <v>1.000</v>
      </c>
      <c r="E87" s="11" t="str">
        <f>IF($B87&lt;&gt;"",TEXT(1-manut_MP($B87,E$1,E$2)/VLOOKUP(VALUE(MID($A87,5,3)),BASE_Pot!$A$2:$B$321,2,FALSE),"0.000"),"")</f>
        <v>1.000</v>
      </c>
      <c r="F87" s="11" t="str">
        <f>IF($B87&lt;&gt;"",TEXT(1-manut_MP($B87,F$1,F$2)/VLOOKUP(VALUE(MID($A87,5,3)),BASE_Pot!$A$2:$B$321,2,FALSE),"0.000"),"")</f>
        <v>1.000</v>
      </c>
      <c r="G87" s="11" t="str">
        <f>IF($B87&lt;&gt;"",TEXT(1-manut_MP($B87,G$1,G$2)/VLOOKUP(VALUE(MID($A87,5,3)),BASE_Pot!$A$2:$B$321,2,FALSE),"0.000"),"")</f>
        <v>1.000</v>
      </c>
      <c r="H87" s="11" t="str">
        <f>IF($B87&lt;&gt;"",TEXT(1-manut_MP($B87,H$1,H$2)/VLOOKUP(VALUE(MID($A87,5,3)),BASE_Pot!$A$2:$B$321,2,FALSE),"0.000"),"")</f>
        <v>1.000</v>
      </c>
      <c r="I87" s="11" t="str">
        <f>IF($B87&lt;&gt;"",TEXT(1-manut_MP($B87,I$1,I$2)/VLOOKUP(VALUE(MID($A87,5,3)),BASE_Pot!$A$2:$B$321,2,FALSE),"0.000"),"")</f>
        <v>1.000</v>
      </c>
      <c r="J87" t="str">
        <f>""</f>
        <v/>
      </c>
      <c r="L87" t="str">
        <f t="shared" si="6"/>
        <v>MP  193  1.0001.0001.0001.0001.0001.0001.000</v>
      </c>
    </row>
    <row r="88" spans="1:12" x14ac:dyDescent="0.25">
      <c r="A88" t="s">
        <v>340</v>
      </c>
      <c r="B88" t="str">
        <f t="shared" si="5"/>
        <v/>
      </c>
      <c r="C88" s="11" t="str">
        <f>IF($B88&lt;&gt;"",TEXT(1-manut_MP($B88,C$1,C$2)/VLOOKUP(VALUE(MID($A88,5,3)),BASE_Pot!$A$2:$B$321,2,FALSE),"0.000"),"")</f>
        <v/>
      </c>
      <c r="D88" s="11" t="str">
        <f>IF($B88&lt;&gt;"",TEXT(1-manut_MP($B88,D$1,D$2)/VLOOKUP(VALUE(MID($A88,5,3)),BASE_Pot!$A$2:$B$321,2,FALSE),"0.000"),"")</f>
        <v/>
      </c>
      <c r="E88" s="11" t="str">
        <f>IF($B88&lt;&gt;"",TEXT(1-manut_MP($B88,E$1,E$2)/VLOOKUP(VALUE(MID($A88,5,3)),BASE_Pot!$A$2:$B$321,2,FALSE),"0.000"),"")</f>
        <v/>
      </c>
      <c r="F88" s="11" t="str">
        <f>IF($B88&lt;&gt;"",TEXT(1-manut_MP($B88,F$1,F$2)/VLOOKUP(VALUE(MID($A88,5,3)),BASE_Pot!$A$2:$B$321,2,FALSE),"0.000"),"")</f>
        <v/>
      </c>
      <c r="G88" s="11" t="str">
        <f>IF($B88&lt;&gt;"",TEXT(1-manut_MP($B88,G$1,G$2)/VLOOKUP(VALUE(MID($A88,5,3)),BASE_Pot!$A$2:$B$321,2,FALSE),"0.000"),"")</f>
        <v/>
      </c>
      <c r="H88" s="11" t="str">
        <f>IF($B88&lt;&gt;"",TEXT(1-manut_MP($B88,H$1,H$2)/VLOOKUP(VALUE(MID($A88,5,3)),BASE_Pot!$A$2:$B$321,2,FALSE),"0.000"),"")</f>
        <v/>
      </c>
      <c r="I88" s="11" t="str">
        <f>IF($B88&lt;&gt;"",TEXT(1-manut_MP($B88,I$1,I$2)/VLOOKUP(VALUE(MID($A88,5,3)),BASE_Pot!$A$2:$B$321,2,FALSE),"0.000"),"")</f>
        <v/>
      </c>
      <c r="J88" t="str">
        <f>""</f>
        <v/>
      </c>
      <c r="L88" t="str">
        <f t="shared" si="6"/>
        <v>&amp;ROSAL</v>
      </c>
    </row>
    <row r="89" spans="1:12" x14ac:dyDescent="0.25">
      <c r="A89" t="s">
        <v>529</v>
      </c>
      <c r="B89" t="str">
        <f t="shared" si="5"/>
        <v>217-H</v>
      </c>
      <c r="C89" s="11" t="str">
        <f>IF($B89&lt;&gt;"",TEXT(1-manut_MP($B89,C$1,C$2)/VLOOKUP(VALUE(MID($A89,5,3)),BASE_Pot!$A$2:$B$321,2,FALSE),"0.000"),"")</f>
        <v>1.000</v>
      </c>
      <c r="D89" s="11" t="str">
        <f>IF($B89&lt;&gt;"",TEXT(1-manut_MP($B89,D$1,D$2)/VLOOKUP(VALUE(MID($A89,5,3)),BASE_Pot!$A$2:$B$321,2,FALSE),"0.000"),"")</f>
        <v>1.000</v>
      </c>
      <c r="E89" s="11" t="str">
        <f>IF($B89&lt;&gt;"",TEXT(1-manut_MP($B89,E$1,E$2)/VLOOKUP(VALUE(MID($A89,5,3)),BASE_Pot!$A$2:$B$321,2,FALSE),"0.000"),"")</f>
        <v>1.000</v>
      </c>
      <c r="F89" s="11" t="str">
        <f>IF($B89&lt;&gt;"",TEXT(1-manut_MP($B89,F$1,F$2)/VLOOKUP(VALUE(MID($A89,5,3)),BASE_Pot!$A$2:$B$321,2,FALSE),"0.000"),"")</f>
        <v>1.000</v>
      </c>
      <c r="G89" s="11" t="str">
        <f>IF($B89&lt;&gt;"",TEXT(1-manut_MP($B89,G$1,G$2)/VLOOKUP(VALUE(MID($A89,5,3)),BASE_Pot!$A$2:$B$321,2,FALSE),"0.000"),"")</f>
        <v>1.000</v>
      </c>
      <c r="H89" s="11" t="str">
        <f>IF($B89&lt;&gt;"",TEXT(1-manut_MP($B89,H$1,H$2)/VLOOKUP(VALUE(MID($A89,5,3)),BASE_Pot!$A$2:$B$321,2,FALSE),"0.000"),"")</f>
        <v>1.000</v>
      </c>
      <c r="I89" s="11" t="str">
        <f>IF($B89&lt;&gt;"",TEXT(1-manut_MP($B89,I$1,I$2)/VLOOKUP(VALUE(MID($A89,5,3)),BASE_Pot!$A$2:$B$321,2,FALSE),"0.000"),"")</f>
        <v>1.000</v>
      </c>
      <c r="J89" t="str">
        <f>""</f>
        <v/>
      </c>
      <c r="L89" t="str">
        <f t="shared" si="6"/>
        <v>MP  217  1.0001.0001.0001.0001.0001.0001.000</v>
      </c>
    </row>
    <row r="90" spans="1:12" x14ac:dyDescent="0.25">
      <c r="A90" t="s">
        <v>304</v>
      </c>
      <c r="B90" t="str">
        <f t="shared" si="5"/>
        <v/>
      </c>
      <c r="C90" s="11" t="str">
        <f>IF($B90&lt;&gt;"",TEXT(1-manut_MP($B90,C$1,C$2)/VLOOKUP(VALUE(MID($A90,5,3)),BASE_Pot!$A$2:$B$321,2,FALSE),"0.000"),"")</f>
        <v/>
      </c>
      <c r="D90" s="11" t="str">
        <f>IF($B90&lt;&gt;"",TEXT(1-manut_MP($B90,D$1,D$2)/VLOOKUP(VALUE(MID($A90,5,3)),BASE_Pot!$A$2:$B$321,2,FALSE),"0.000"),"")</f>
        <v/>
      </c>
      <c r="E90" s="11" t="str">
        <f>IF($B90&lt;&gt;"",TEXT(1-manut_MP($B90,E$1,E$2)/VLOOKUP(VALUE(MID($A90,5,3)),BASE_Pot!$A$2:$B$321,2,FALSE),"0.000"),"")</f>
        <v/>
      </c>
      <c r="F90" s="11" t="str">
        <f>IF($B90&lt;&gt;"",TEXT(1-manut_MP($B90,F$1,F$2)/VLOOKUP(VALUE(MID($A90,5,3)),BASE_Pot!$A$2:$B$321,2,FALSE),"0.000"),"")</f>
        <v/>
      </c>
      <c r="G90" s="11" t="str">
        <f>IF($B90&lt;&gt;"",TEXT(1-manut_MP($B90,G$1,G$2)/VLOOKUP(VALUE(MID($A90,5,3)),BASE_Pot!$A$2:$B$321,2,FALSE),"0.000"),"")</f>
        <v/>
      </c>
      <c r="H90" s="11" t="str">
        <f>IF($B90&lt;&gt;"",TEXT(1-manut_MP($B90,H$1,H$2)/VLOOKUP(VALUE(MID($A90,5,3)),BASE_Pot!$A$2:$B$321,2,FALSE),"0.000"),"")</f>
        <v/>
      </c>
      <c r="I90" s="11" t="str">
        <f>IF($B90&lt;&gt;"",TEXT(1-manut_MP($B90,I$1,I$2)/VLOOKUP(VALUE(MID($A90,5,3)),BASE_Pot!$A$2:$B$321,2,FALSE),"0.000"),"")</f>
        <v/>
      </c>
      <c r="J90" t="str">
        <f>""</f>
        <v/>
      </c>
      <c r="L90" t="str">
        <f t="shared" si="6"/>
        <v>&amp;.................................</v>
      </c>
    </row>
    <row r="91" spans="1:12" x14ac:dyDescent="0.25">
      <c r="A91" t="s">
        <v>341</v>
      </c>
      <c r="B91" t="str">
        <f t="shared" si="5"/>
        <v/>
      </c>
      <c r="C91" s="11" t="str">
        <f>IF($B91&lt;&gt;"",TEXT(1-manut_MP($B91,C$1,C$2)/VLOOKUP(VALUE(MID($A91,5,3)),BASE_Pot!$A$2:$B$321,2,FALSE),"0.000"),"")</f>
        <v/>
      </c>
      <c r="D91" s="11" t="str">
        <f>IF($B91&lt;&gt;"",TEXT(1-manut_MP($B91,D$1,D$2)/VLOOKUP(VALUE(MID($A91,5,3)),BASE_Pot!$A$2:$B$321,2,FALSE),"0.000"),"")</f>
        <v/>
      </c>
      <c r="E91" s="11" t="str">
        <f>IF($B91&lt;&gt;"",TEXT(1-manut_MP($B91,E$1,E$2)/VLOOKUP(VALUE(MID($A91,5,3)),BASE_Pot!$A$2:$B$321,2,FALSE),"0.000"),"")</f>
        <v/>
      </c>
      <c r="F91" s="11" t="str">
        <f>IF($B91&lt;&gt;"",TEXT(1-manut_MP($B91,F$1,F$2)/VLOOKUP(VALUE(MID($A91,5,3)),BASE_Pot!$A$2:$B$321,2,FALSE),"0.000"),"")</f>
        <v/>
      </c>
      <c r="G91" s="11" t="str">
        <f>IF($B91&lt;&gt;"",TEXT(1-manut_MP($B91,G$1,G$2)/VLOOKUP(VALUE(MID($A91,5,3)),BASE_Pot!$A$2:$B$321,2,FALSE),"0.000"),"")</f>
        <v/>
      </c>
      <c r="H91" s="11" t="str">
        <f>IF($B91&lt;&gt;"",TEXT(1-manut_MP($B91,H$1,H$2)/VLOOKUP(VALUE(MID($A91,5,3)),BASE_Pot!$A$2:$B$321,2,FALSE),"0.000"),"")</f>
        <v/>
      </c>
      <c r="I91" s="11" t="str">
        <f>IF($B91&lt;&gt;"",TEXT(1-manut_MP($B91,I$1,I$2)/VLOOKUP(VALUE(MID($A91,5,3)),BASE_Pot!$A$2:$B$321,2,FALSE),"0.000"),"")</f>
        <v/>
      </c>
      <c r="J91" t="str">
        <f>""</f>
        <v/>
      </c>
      <c r="L91" t="str">
        <f t="shared" si="6"/>
        <v>&amp;         FURNAS</v>
      </c>
    </row>
    <row r="92" spans="1:12" x14ac:dyDescent="0.25">
      <c r="A92" t="s">
        <v>304</v>
      </c>
      <c r="B92" t="str">
        <f t="shared" si="5"/>
        <v/>
      </c>
      <c r="C92" s="11" t="str">
        <f>IF($B92&lt;&gt;"",TEXT(1-manut_MP($B92,C$1,C$2)/VLOOKUP(VALUE(MID($A92,5,3)),BASE_Pot!$A$2:$B$321,2,FALSE),"0.000"),"")</f>
        <v/>
      </c>
      <c r="D92" s="11" t="str">
        <f>IF($B92&lt;&gt;"",TEXT(1-manut_MP($B92,D$1,D$2)/VLOOKUP(VALUE(MID($A92,5,3)),BASE_Pot!$A$2:$B$321,2,FALSE),"0.000"),"")</f>
        <v/>
      </c>
      <c r="E92" s="11" t="str">
        <f>IF($B92&lt;&gt;"",TEXT(1-manut_MP($B92,E$1,E$2)/VLOOKUP(VALUE(MID($A92,5,3)),BASE_Pot!$A$2:$B$321,2,FALSE),"0.000"),"")</f>
        <v/>
      </c>
      <c r="F92" s="11" t="str">
        <f>IF($B92&lt;&gt;"",TEXT(1-manut_MP($B92,F$1,F$2)/VLOOKUP(VALUE(MID($A92,5,3)),BASE_Pot!$A$2:$B$321,2,FALSE),"0.000"),"")</f>
        <v/>
      </c>
      <c r="G92" s="11" t="str">
        <f>IF($B92&lt;&gt;"",TEXT(1-manut_MP($B92,G$1,G$2)/VLOOKUP(VALUE(MID($A92,5,3)),BASE_Pot!$A$2:$B$321,2,FALSE),"0.000"),"")</f>
        <v/>
      </c>
      <c r="H92" s="11" t="str">
        <f>IF($B92&lt;&gt;"",TEXT(1-manut_MP($B92,H$1,H$2)/VLOOKUP(VALUE(MID($A92,5,3)),BASE_Pot!$A$2:$B$321,2,FALSE),"0.000"),"")</f>
        <v/>
      </c>
      <c r="I92" s="11" t="str">
        <f>IF($B92&lt;&gt;"",TEXT(1-manut_MP($B92,I$1,I$2)/VLOOKUP(VALUE(MID($A92,5,3)),BASE_Pot!$A$2:$B$321,2,FALSE),"0.000"),"")</f>
        <v/>
      </c>
      <c r="J92" t="str">
        <f>""</f>
        <v/>
      </c>
      <c r="L92" t="str">
        <f t="shared" si="6"/>
        <v>&amp;.................................</v>
      </c>
    </row>
    <row r="93" spans="1:12" x14ac:dyDescent="0.25">
      <c r="A93" t="s">
        <v>342</v>
      </c>
      <c r="B93" t="str">
        <f t="shared" si="5"/>
        <v/>
      </c>
      <c r="C93" s="11" t="str">
        <f>IF($B93&lt;&gt;"",TEXT(1-manut_MP($B93,C$1,C$2)/VLOOKUP(VALUE(MID($A93,5,3)),BASE_Pot!$A$2:$B$321,2,FALSE),"0.000"),"")</f>
        <v/>
      </c>
      <c r="D93" s="11" t="str">
        <f>IF($B93&lt;&gt;"",TEXT(1-manut_MP($B93,D$1,D$2)/VLOOKUP(VALUE(MID($A93,5,3)),BASE_Pot!$A$2:$B$321,2,FALSE),"0.000"),"")</f>
        <v/>
      </c>
      <c r="E93" s="11" t="str">
        <f>IF($B93&lt;&gt;"",TEXT(1-manut_MP($B93,E$1,E$2)/VLOOKUP(VALUE(MID($A93,5,3)),BASE_Pot!$A$2:$B$321,2,FALSE),"0.000"),"")</f>
        <v/>
      </c>
      <c r="F93" s="11" t="str">
        <f>IF($B93&lt;&gt;"",TEXT(1-manut_MP($B93,F$1,F$2)/VLOOKUP(VALUE(MID($A93,5,3)),BASE_Pot!$A$2:$B$321,2,FALSE),"0.000"),"")</f>
        <v/>
      </c>
      <c r="G93" s="11" t="str">
        <f>IF($B93&lt;&gt;"",TEXT(1-manut_MP($B93,G$1,G$2)/VLOOKUP(VALUE(MID($A93,5,3)),BASE_Pot!$A$2:$B$321,2,FALSE),"0.000"),"")</f>
        <v/>
      </c>
      <c r="H93" s="11" t="str">
        <f>IF($B93&lt;&gt;"",TEXT(1-manut_MP($B93,H$1,H$2)/VLOOKUP(VALUE(MID($A93,5,3)),BASE_Pot!$A$2:$B$321,2,FALSE),"0.000"),"")</f>
        <v/>
      </c>
      <c r="I93" s="11" t="str">
        <f>IF($B93&lt;&gt;"",TEXT(1-manut_MP($B93,I$1,I$2)/VLOOKUP(VALUE(MID($A93,5,3)),BASE_Pot!$A$2:$B$321,2,FALSE),"0.000"),"")</f>
        <v/>
      </c>
      <c r="J93" t="str">
        <f>""</f>
        <v/>
      </c>
      <c r="L93" t="str">
        <f t="shared" si="6"/>
        <v>&amp;FURNAS</v>
      </c>
    </row>
    <row r="94" spans="1:12" x14ac:dyDescent="0.25">
      <c r="A94" t="s">
        <v>530</v>
      </c>
      <c r="B94" t="str">
        <f t="shared" si="5"/>
        <v xml:space="preserve">  6-H</v>
      </c>
      <c r="C94" s="11" t="str">
        <f>IF($B94&lt;&gt;"",TEXT(1-manut_MP($B94,C$1,C$2)/VLOOKUP(VALUE(MID($A94,5,3)),BASE_Pot!$A$2:$B$321,2,FALSE),"0.000"),"")</f>
        <v>0.911</v>
      </c>
      <c r="D94" s="11" t="str">
        <f>IF($B94&lt;&gt;"",TEXT(1-manut_MP($B94,D$1,D$2)/VLOOKUP(VALUE(MID($A94,5,3)),BASE_Pot!$A$2:$B$321,2,FALSE),"0.000"),"")</f>
        <v>0.875</v>
      </c>
      <c r="E94" s="11" t="str">
        <f>IF($B94&lt;&gt;"",TEXT(1-manut_MP($B94,E$1,E$2)/VLOOKUP(VALUE(MID($A94,5,3)),BASE_Pot!$A$2:$B$321,2,FALSE),"0.000"),"")</f>
        <v>0.893</v>
      </c>
      <c r="F94" s="11" t="str">
        <f>IF($B94&lt;&gt;"",TEXT(1-manut_MP($B94,F$1,F$2)/VLOOKUP(VALUE(MID($A94,5,3)),BASE_Pot!$A$2:$B$321,2,FALSE),"0.000"),"")</f>
        <v>1.000</v>
      </c>
      <c r="G94" s="11" t="str">
        <f>IF($B94&lt;&gt;"",TEXT(1-manut_MP($B94,G$1,G$2)/VLOOKUP(VALUE(MID($A94,5,3)),BASE_Pot!$A$2:$B$321,2,FALSE),"0.000"),"")</f>
        <v>1.000</v>
      </c>
      <c r="H94" s="11" t="str">
        <f>IF($B94&lt;&gt;"",TEXT(1-manut_MP($B94,H$1,H$2)/VLOOKUP(VALUE(MID($A94,5,3)),BASE_Pot!$A$2:$B$321,2,FALSE),"0.000"),"")</f>
        <v>1.000</v>
      </c>
      <c r="I94" s="11" t="str">
        <f>IF($B94&lt;&gt;"",TEXT(1-manut_MP($B94,I$1,I$2)/VLOOKUP(VALUE(MID($A94,5,3)),BASE_Pot!$A$2:$B$321,2,FALSE),"0.000"),"")</f>
        <v>1.000</v>
      </c>
      <c r="J94" t="str">
        <f>""</f>
        <v/>
      </c>
      <c r="L94" t="str">
        <f t="shared" si="6"/>
        <v>MP    6  0.9110.8750.8931.0001.0001.0001.000</v>
      </c>
    </row>
    <row r="95" spans="1:12" x14ac:dyDescent="0.25">
      <c r="A95" t="s">
        <v>343</v>
      </c>
      <c r="B95" t="str">
        <f t="shared" si="5"/>
        <v/>
      </c>
      <c r="C95" s="11" t="str">
        <f>IF($B95&lt;&gt;"",TEXT(1-manut_MP($B95,C$1,C$2)/VLOOKUP(VALUE(MID($A95,5,3)),BASE_Pot!$A$2:$B$321,2,FALSE),"0.000"),"")</f>
        <v/>
      </c>
      <c r="D95" s="11" t="str">
        <f>IF($B95&lt;&gt;"",TEXT(1-manut_MP($B95,D$1,D$2)/VLOOKUP(VALUE(MID($A95,5,3)),BASE_Pot!$A$2:$B$321,2,FALSE),"0.000"),"")</f>
        <v/>
      </c>
      <c r="E95" s="11" t="str">
        <f>IF($B95&lt;&gt;"",TEXT(1-manut_MP($B95,E$1,E$2)/VLOOKUP(VALUE(MID($A95,5,3)),BASE_Pot!$A$2:$B$321,2,FALSE),"0.000"),"")</f>
        <v/>
      </c>
      <c r="F95" s="11" t="str">
        <f>IF($B95&lt;&gt;"",TEXT(1-manut_MP($B95,F$1,F$2)/VLOOKUP(VALUE(MID($A95,5,3)),BASE_Pot!$A$2:$B$321,2,FALSE),"0.000"),"")</f>
        <v/>
      </c>
      <c r="G95" s="11" t="str">
        <f>IF($B95&lt;&gt;"",TEXT(1-manut_MP($B95,G$1,G$2)/VLOOKUP(VALUE(MID($A95,5,3)),BASE_Pot!$A$2:$B$321,2,FALSE),"0.000"),"")</f>
        <v/>
      </c>
      <c r="H95" s="11" t="str">
        <f>IF($B95&lt;&gt;"",TEXT(1-manut_MP($B95,H$1,H$2)/VLOOKUP(VALUE(MID($A95,5,3)),BASE_Pot!$A$2:$B$321,2,FALSE),"0.000"),"")</f>
        <v/>
      </c>
      <c r="I95" s="11" t="str">
        <f>IF($B95&lt;&gt;"",TEXT(1-manut_MP($B95,I$1,I$2)/VLOOKUP(VALUE(MID($A95,5,3)),BASE_Pot!$A$2:$B$321,2,FALSE),"0.000"),"")</f>
        <v/>
      </c>
      <c r="J95" t="str">
        <f>""</f>
        <v/>
      </c>
      <c r="L95" t="str">
        <f t="shared" si="6"/>
        <v>&amp;M. DE MORAES</v>
      </c>
    </row>
    <row r="96" spans="1:12" x14ac:dyDescent="0.25">
      <c r="A96" t="s">
        <v>531</v>
      </c>
      <c r="B96" t="str">
        <f t="shared" si="5"/>
        <v xml:space="preserve">  7-H</v>
      </c>
      <c r="C96" s="11" t="str">
        <f>IF($B96&lt;&gt;"",TEXT(1-manut_MP($B96,C$1,C$2)/VLOOKUP(VALUE(MID($A96,5,3)),BASE_Pot!$A$2:$B$321,2,FALSE),"0.000"),"")</f>
        <v>0.893</v>
      </c>
      <c r="D96" s="11" t="str">
        <f>IF($B96&lt;&gt;"",TEXT(1-manut_MP($B96,D$1,D$2)/VLOOKUP(VALUE(MID($A96,5,3)),BASE_Pot!$A$2:$B$321,2,FALSE),"0.000"),"")</f>
        <v>0.893</v>
      </c>
      <c r="E96" s="11" t="str">
        <f>IF($B96&lt;&gt;"",TEXT(1-manut_MP($B96,E$1,E$2)/VLOOKUP(VALUE(MID($A96,5,3)),BASE_Pot!$A$2:$B$321,2,FALSE),"0.000"),"")</f>
        <v>0.893</v>
      </c>
      <c r="F96" s="11" t="str">
        <f>IF($B96&lt;&gt;"",TEXT(1-manut_MP($B96,F$1,F$2)/VLOOKUP(VALUE(MID($A96,5,3)),BASE_Pot!$A$2:$B$321,2,FALSE),"0.000"),"")</f>
        <v>0.985</v>
      </c>
      <c r="G96" s="11" t="str">
        <f>IF($B96&lt;&gt;"",TEXT(1-manut_MP($B96,G$1,G$2)/VLOOKUP(VALUE(MID($A96,5,3)),BASE_Pot!$A$2:$B$321,2,FALSE),"0.000"),"")</f>
        <v>1.000</v>
      </c>
      <c r="H96" s="11" t="str">
        <f>IF($B96&lt;&gt;"",TEXT(1-manut_MP($B96,H$1,H$2)/VLOOKUP(VALUE(MID($A96,5,3)),BASE_Pot!$A$2:$B$321,2,FALSE),"0.000"),"")</f>
        <v>1.000</v>
      </c>
      <c r="I96" s="11" t="str">
        <f>IF($B96&lt;&gt;"",TEXT(1-manut_MP($B96,I$1,I$2)/VLOOKUP(VALUE(MID($A96,5,3)),BASE_Pot!$A$2:$B$321,2,FALSE),"0.000"),"")</f>
        <v>1.000</v>
      </c>
      <c r="J96" t="str">
        <f>""</f>
        <v/>
      </c>
      <c r="L96" t="str">
        <f t="shared" si="6"/>
        <v>MP    7  0.8930.8930.8930.9851.0001.0001.000</v>
      </c>
    </row>
    <row r="97" spans="1:12" x14ac:dyDescent="0.25">
      <c r="A97" t="s">
        <v>344</v>
      </c>
      <c r="B97" t="str">
        <f t="shared" si="5"/>
        <v/>
      </c>
      <c r="C97" s="11" t="str">
        <f>IF($B97&lt;&gt;"",TEXT(1-manut_MP($B97,C$1,C$2)/VLOOKUP(VALUE(MID($A97,5,3)),BASE_Pot!$A$2:$B$321,2,FALSE),"0.000"),"")</f>
        <v/>
      </c>
      <c r="D97" s="11" t="str">
        <f>IF($B97&lt;&gt;"",TEXT(1-manut_MP($B97,D$1,D$2)/VLOOKUP(VALUE(MID($A97,5,3)),BASE_Pot!$A$2:$B$321,2,FALSE),"0.000"),"")</f>
        <v/>
      </c>
      <c r="E97" s="11" t="str">
        <f>IF($B97&lt;&gt;"",TEXT(1-manut_MP($B97,E$1,E$2)/VLOOKUP(VALUE(MID($A97,5,3)),BASE_Pot!$A$2:$B$321,2,FALSE),"0.000"),"")</f>
        <v/>
      </c>
      <c r="F97" s="11" t="str">
        <f>IF($B97&lt;&gt;"",TEXT(1-manut_MP($B97,F$1,F$2)/VLOOKUP(VALUE(MID($A97,5,3)),BASE_Pot!$A$2:$B$321,2,FALSE),"0.000"),"")</f>
        <v/>
      </c>
      <c r="G97" s="11" t="str">
        <f>IF($B97&lt;&gt;"",TEXT(1-manut_MP($B97,G$1,G$2)/VLOOKUP(VALUE(MID($A97,5,3)),BASE_Pot!$A$2:$B$321,2,FALSE),"0.000"),"")</f>
        <v/>
      </c>
      <c r="H97" s="11" t="str">
        <f>IF($B97&lt;&gt;"",TEXT(1-manut_MP($B97,H$1,H$2)/VLOOKUP(VALUE(MID($A97,5,3)),BASE_Pot!$A$2:$B$321,2,FALSE),"0.000"),"")</f>
        <v/>
      </c>
      <c r="I97" s="11" t="str">
        <f>IF($B97&lt;&gt;"",TEXT(1-manut_MP($B97,I$1,I$2)/VLOOKUP(VALUE(MID($A97,5,3)),BASE_Pot!$A$2:$B$321,2,FALSE),"0.000"),"")</f>
        <v/>
      </c>
      <c r="J97" t="str">
        <f>""</f>
        <v/>
      </c>
      <c r="L97" t="str">
        <f t="shared" si="6"/>
        <v>&amp;ESTREITO</v>
      </c>
    </row>
    <row r="98" spans="1:12" x14ac:dyDescent="0.25">
      <c r="A98" t="s">
        <v>532</v>
      </c>
      <c r="B98" t="str">
        <f t="shared" si="5"/>
        <v xml:space="preserve">  8-H</v>
      </c>
      <c r="C98" s="11" t="str">
        <f>IF($B98&lt;&gt;"",TEXT(1-manut_MP($B98,C$1,C$2)/VLOOKUP(VALUE(MID($A98,5,3)),BASE_Pot!$A$2:$B$321,2,FALSE),"0.000"),"")</f>
        <v>1.000</v>
      </c>
      <c r="D98" s="11" t="str">
        <f>IF($B98&lt;&gt;"",TEXT(1-manut_MP($B98,D$1,D$2)/VLOOKUP(VALUE(MID($A98,5,3)),BASE_Pot!$A$2:$B$321,2,FALSE),"0.000"),"")</f>
        <v>1.000</v>
      </c>
      <c r="E98" s="11" t="str">
        <f>IF($B98&lt;&gt;"",TEXT(1-manut_MP($B98,E$1,E$2)/VLOOKUP(VALUE(MID($A98,5,3)),BASE_Pot!$A$2:$B$321,2,FALSE),"0.000"),"")</f>
        <v>1.000</v>
      </c>
      <c r="F98" s="11" t="str">
        <f>IF($B98&lt;&gt;"",TEXT(1-manut_MP($B98,F$1,F$2)/VLOOKUP(VALUE(MID($A98,5,3)),BASE_Pot!$A$2:$B$321,2,FALSE),"0.000"),"")</f>
        <v>1.000</v>
      </c>
      <c r="G98" s="11" t="str">
        <f>IF($B98&lt;&gt;"",TEXT(1-manut_MP($B98,G$1,G$2)/VLOOKUP(VALUE(MID($A98,5,3)),BASE_Pot!$A$2:$B$321,2,FALSE),"0.000"),"")</f>
        <v>1.000</v>
      </c>
      <c r="H98" s="11" t="str">
        <f>IF($B98&lt;&gt;"",TEXT(1-manut_MP($B98,H$1,H$2)/VLOOKUP(VALUE(MID($A98,5,3)),BASE_Pot!$A$2:$B$321,2,FALSE),"0.000"),"")</f>
        <v>1.000</v>
      </c>
      <c r="I98" s="11" t="str">
        <f>IF($B98&lt;&gt;"",TEXT(1-manut_MP($B98,I$1,I$2)/VLOOKUP(VALUE(MID($A98,5,3)),BASE_Pot!$A$2:$B$321,2,FALSE),"0.000"),"")</f>
        <v>1.000</v>
      </c>
      <c r="J98" t="str">
        <f>""</f>
        <v/>
      </c>
      <c r="L98" t="str">
        <f t="shared" si="6"/>
        <v>MP    8  1.0001.0001.0001.0001.0001.0001.000</v>
      </c>
    </row>
    <row r="99" spans="1:12" x14ac:dyDescent="0.25">
      <c r="A99" t="s">
        <v>345</v>
      </c>
      <c r="B99" t="str">
        <f t="shared" si="5"/>
        <v/>
      </c>
      <c r="C99" s="11" t="str">
        <f>IF($B99&lt;&gt;"",TEXT(1-manut_MP($B99,C$1,C$2)/VLOOKUP(VALUE(MID($A99,5,3)),BASE_Pot!$A$2:$B$321,2,FALSE),"0.000"),"")</f>
        <v/>
      </c>
      <c r="D99" s="11" t="str">
        <f>IF($B99&lt;&gt;"",TEXT(1-manut_MP($B99,D$1,D$2)/VLOOKUP(VALUE(MID($A99,5,3)),BASE_Pot!$A$2:$B$321,2,FALSE),"0.000"),"")</f>
        <v/>
      </c>
      <c r="E99" s="11" t="str">
        <f>IF($B99&lt;&gt;"",TEXT(1-manut_MP($B99,E$1,E$2)/VLOOKUP(VALUE(MID($A99,5,3)),BASE_Pot!$A$2:$B$321,2,FALSE),"0.000"),"")</f>
        <v/>
      </c>
      <c r="F99" s="11" t="str">
        <f>IF($B99&lt;&gt;"",TEXT(1-manut_MP($B99,F$1,F$2)/VLOOKUP(VALUE(MID($A99,5,3)),BASE_Pot!$A$2:$B$321,2,FALSE),"0.000"),"")</f>
        <v/>
      </c>
      <c r="G99" s="11" t="str">
        <f>IF($B99&lt;&gt;"",TEXT(1-manut_MP($B99,G$1,G$2)/VLOOKUP(VALUE(MID($A99,5,3)),BASE_Pot!$A$2:$B$321,2,FALSE),"0.000"),"")</f>
        <v/>
      </c>
      <c r="H99" s="11" t="str">
        <f>IF($B99&lt;&gt;"",TEXT(1-manut_MP($B99,H$1,H$2)/VLOOKUP(VALUE(MID($A99,5,3)),BASE_Pot!$A$2:$B$321,2,FALSE),"0.000"),"")</f>
        <v/>
      </c>
      <c r="I99" s="11" t="str">
        <f>IF($B99&lt;&gt;"",TEXT(1-manut_MP($B99,I$1,I$2)/VLOOKUP(VALUE(MID($A99,5,3)),BASE_Pot!$A$2:$B$321,2,FALSE),"0.000"),"")</f>
        <v/>
      </c>
      <c r="J99" t="str">
        <f>""</f>
        <v/>
      </c>
      <c r="L99" t="str">
        <f t="shared" si="6"/>
        <v>&amp;P. COLOMBIA</v>
      </c>
    </row>
    <row r="100" spans="1:12" x14ac:dyDescent="0.25">
      <c r="A100" t="s">
        <v>533</v>
      </c>
      <c r="B100" t="str">
        <f t="shared" si="5"/>
        <v xml:space="preserve"> 12-H</v>
      </c>
      <c r="C100" s="11" t="str">
        <f>IF($B100&lt;&gt;"",TEXT(1-manut_MP($B100,C$1,C$2)/VLOOKUP(VALUE(MID($A100,5,3)),BASE_Pot!$A$2:$B$321,2,FALSE),"0.000"),"")</f>
        <v>0.821</v>
      </c>
      <c r="D100" s="11" t="str">
        <f>IF($B100&lt;&gt;"",TEXT(1-manut_MP($B100,D$1,D$2)/VLOOKUP(VALUE(MID($A100,5,3)),BASE_Pot!$A$2:$B$321,2,FALSE),"0.000"),"")</f>
        <v>0.750</v>
      </c>
      <c r="E100" s="11" t="str">
        <f>IF($B100&lt;&gt;"",TEXT(1-manut_MP($B100,E$1,E$2)/VLOOKUP(VALUE(MID($A100,5,3)),BASE_Pot!$A$2:$B$321,2,FALSE),"0.000"),"")</f>
        <v>0.786</v>
      </c>
      <c r="F100" s="11" t="str">
        <f>IF($B100&lt;&gt;"",TEXT(1-manut_MP($B100,F$1,F$2)/VLOOKUP(VALUE(MID($A100,5,3)),BASE_Pot!$A$2:$B$321,2,FALSE),"0.000"),"")</f>
        <v>1.000</v>
      </c>
      <c r="G100" s="11" t="str">
        <f>IF($B100&lt;&gt;"",TEXT(1-manut_MP($B100,G$1,G$2)/VLOOKUP(VALUE(MID($A100,5,3)),BASE_Pot!$A$2:$B$321,2,FALSE),"0.000"),"")</f>
        <v>1.000</v>
      </c>
      <c r="H100" s="11" t="str">
        <f>IF($B100&lt;&gt;"",TEXT(1-manut_MP($B100,H$1,H$2)/VLOOKUP(VALUE(MID($A100,5,3)),BASE_Pot!$A$2:$B$321,2,FALSE),"0.000"),"")</f>
        <v>1.000</v>
      </c>
      <c r="I100" s="11" t="str">
        <f>IF($B100&lt;&gt;"",TEXT(1-manut_MP($B100,I$1,I$2)/VLOOKUP(VALUE(MID($A100,5,3)),BASE_Pot!$A$2:$B$321,2,FALSE),"0.000"),"")</f>
        <v>1.000</v>
      </c>
      <c r="J100" t="str">
        <f>""</f>
        <v/>
      </c>
      <c r="L100" t="str">
        <f t="shared" si="6"/>
        <v>MP   12  0.8210.7500.7861.0001.0001.0001.000</v>
      </c>
    </row>
    <row r="101" spans="1:12" x14ac:dyDescent="0.25">
      <c r="A101" t="s">
        <v>346</v>
      </c>
      <c r="B101" t="str">
        <f t="shared" si="5"/>
        <v/>
      </c>
      <c r="C101" s="11" t="str">
        <f>IF($B101&lt;&gt;"",TEXT(1-manut_MP($B101,C$1,C$2)/VLOOKUP(VALUE(MID($A101,5,3)),BASE_Pot!$A$2:$B$321,2,FALSE),"0.000"),"")</f>
        <v/>
      </c>
      <c r="D101" s="11" t="str">
        <f>IF($B101&lt;&gt;"",TEXT(1-manut_MP($B101,D$1,D$2)/VLOOKUP(VALUE(MID($A101,5,3)),BASE_Pot!$A$2:$B$321,2,FALSE),"0.000"),"")</f>
        <v/>
      </c>
      <c r="E101" s="11" t="str">
        <f>IF($B101&lt;&gt;"",TEXT(1-manut_MP($B101,E$1,E$2)/VLOOKUP(VALUE(MID($A101,5,3)),BASE_Pot!$A$2:$B$321,2,FALSE),"0.000"),"")</f>
        <v/>
      </c>
      <c r="F101" s="11" t="str">
        <f>IF($B101&lt;&gt;"",TEXT(1-manut_MP($B101,F$1,F$2)/VLOOKUP(VALUE(MID($A101,5,3)),BASE_Pot!$A$2:$B$321,2,FALSE),"0.000"),"")</f>
        <v/>
      </c>
      <c r="G101" s="11" t="str">
        <f>IF($B101&lt;&gt;"",TEXT(1-manut_MP($B101,G$1,G$2)/VLOOKUP(VALUE(MID($A101,5,3)),BASE_Pot!$A$2:$B$321,2,FALSE),"0.000"),"")</f>
        <v/>
      </c>
      <c r="H101" s="11" t="str">
        <f>IF($B101&lt;&gt;"",TEXT(1-manut_MP($B101,H$1,H$2)/VLOOKUP(VALUE(MID($A101,5,3)),BASE_Pot!$A$2:$B$321,2,FALSE),"0.000"),"")</f>
        <v/>
      </c>
      <c r="I101" s="11" t="str">
        <f>IF($B101&lt;&gt;"",TEXT(1-manut_MP($B101,I$1,I$2)/VLOOKUP(VALUE(MID($A101,5,3)),BASE_Pot!$A$2:$B$321,2,FALSE),"0.000"),"")</f>
        <v/>
      </c>
      <c r="J101" t="str">
        <f>""</f>
        <v/>
      </c>
      <c r="L101" t="str">
        <f t="shared" si="6"/>
        <v>&amp;MARIMBONDO</v>
      </c>
    </row>
    <row r="102" spans="1:12" x14ac:dyDescent="0.25">
      <c r="A102" t="s">
        <v>534</v>
      </c>
      <c r="B102" t="str">
        <f t="shared" si="5"/>
        <v xml:space="preserve"> 17-H</v>
      </c>
      <c r="C102" s="11" t="str">
        <f>IF($B102&lt;&gt;"",TEXT(1-manut_MP($B102,C$1,C$2)/VLOOKUP(VALUE(MID($A102,5,3)),BASE_Pot!$A$2:$B$321,2,FALSE),"0.000"),"")</f>
        <v>1.000</v>
      </c>
      <c r="D102" s="11" t="str">
        <f>IF($B102&lt;&gt;"",TEXT(1-manut_MP($B102,D$1,D$2)/VLOOKUP(VALUE(MID($A102,5,3)),BASE_Pot!$A$2:$B$321,2,FALSE),"0.000"),"")</f>
        <v>1.000</v>
      </c>
      <c r="E102" s="11" t="str">
        <f>IF($B102&lt;&gt;"",TEXT(1-manut_MP($B102,E$1,E$2)/VLOOKUP(VALUE(MID($A102,5,3)),BASE_Pot!$A$2:$B$321,2,FALSE),"0.000"),"")</f>
        <v>1.000</v>
      </c>
      <c r="F102" s="11" t="str">
        <f>IF($B102&lt;&gt;"",TEXT(1-manut_MP($B102,F$1,F$2)/VLOOKUP(VALUE(MID($A102,5,3)),BASE_Pot!$A$2:$B$321,2,FALSE),"0.000"),"")</f>
        <v>1.000</v>
      </c>
      <c r="G102" s="11" t="str">
        <f>IF($B102&lt;&gt;"",TEXT(1-manut_MP($B102,G$1,G$2)/VLOOKUP(VALUE(MID($A102,5,3)),BASE_Pot!$A$2:$B$321,2,FALSE),"0.000"),"")</f>
        <v>1.000</v>
      </c>
      <c r="H102" s="11" t="str">
        <f>IF($B102&lt;&gt;"",TEXT(1-manut_MP($B102,H$1,H$2)/VLOOKUP(VALUE(MID($A102,5,3)),BASE_Pot!$A$2:$B$321,2,FALSE),"0.000"),"")</f>
        <v>1.000</v>
      </c>
      <c r="I102" s="11" t="str">
        <f>IF($B102&lt;&gt;"",TEXT(1-manut_MP($B102,I$1,I$2)/VLOOKUP(VALUE(MID($A102,5,3)),BASE_Pot!$A$2:$B$321,2,FALSE),"0.000"),"")</f>
        <v>1.000</v>
      </c>
      <c r="J102" t="str">
        <f>""</f>
        <v/>
      </c>
      <c r="L102" t="str">
        <f t="shared" si="6"/>
        <v>MP   17  1.0001.0001.0001.0001.0001.0001.000</v>
      </c>
    </row>
    <row r="103" spans="1:12" x14ac:dyDescent="0.25">
      <c r="A103" t="s">
        <v>347</v>
      </c>
      <c r="B103" t="str">
        <f t="shared" si="5"/>
        <v/>
      </c>
      <c r="C103" s="11" t="str">
        <f>IF($B103&lt;&gt;"",TEXT(1-manut_MP($B103,C$1,C$2)/VLOOKUP(VALUE(MID($A103,5,3)),BASE_Pot!$A$2:$B$321,2,FALSE),"0.000"),"")</f>
        <v/>
      </c>
      <c r="D103" s="11" t="str">
        <f>IF($B103&lt;&gt;"",TEXT(1-manut_MP($B103,D$1,D$2)/VLOOKUP(VALUE(MID($A103,5,3)),BASE_Pot!$A$2:$B$321,2,FALSE),"0.000"),"")</f>
        <v/>
      </c>
      <c r="E103" s="11" t="str">
        <f>IF($B103&lt;&gt;"",TEXT(1-manut_MP($B103,E$1,E$2)/VLOOKUP(VALUE(MID($A103,5,3)),BASE_Pot!$A$2:$B$321,2,FALSE),"0.000"),"")</f>
        <v/>
      </c>
      <c r="F103" s="11" t="str">
        <f>IF($B103&lt;&gt;"",TEXT(1-manut_MP($B103,F$1,F$2)/VLOOKUP(VALUE(MID($A103,5,3)),BASE_Pot!$A$2:$B$321,2,FALSE),"0.000"),"")</f>
        <v/>
      </c>
      <c r="G103" s="11" t="str">
        <f>IF($B103&lt;&gt;"",TEXT(1-manut_MP($B103,G$1,G$2)/VLOOKUP(VALUE(MID($A103,5,3)),BASE_Pot!$A$2:$B$321,2,FALSE),"0.000"),"")</f>
        <v/>
      </c>
      <c r="H103" s="11" t="str">
        <f>IF($B103&lt;&gt;"",TEXT(1-manut_MP($B103,H$1,H$2)/VLOOKUP(VALUE(MID($A103,5,3)),BASE_Pot!$A$2:$B$321,2,FALSE),"0.000"),"")</f>
        <v/>
      </c>
      <c r="I103" s="11" t="str">
        <f>IF($B103&lt;&gt;"",TEXT(1-manut_MP($B103,I$1,I$2)/VLOOKUP(VALUE(MID($A103,5,3)),BASE_Pot!$A$2:$B$321,2,FALSE),"0.000"),"")</f>
        <v/>
      </c>
      <c r="J103" t="str">
        <f>""</f>
        <v/>
      </c>
      <c r="L103" t="str">
        <f t="shared" si="6"/>
        <v>&amp;BATALHA</v>
      </c>
    </row>
    <row r="104" spans="1:12" x14ac:dyDescent="0.25">
      <c r="A104" t="s">
        <v>535</v>
      </c>
      <c r="B104" t="str">
        <f t="shared" si="5"/>
        <v xml:space="preserve"> 20-H</v>
      </c>
      <c r="C104" s="11" t="str">
        <f>IF($B104&lt;&gt;"",TEXT(1-manut_MP($B104,C$1,C$2)/VLOOKUP(VALUE(MID($A104,5,3)),BASE_Pot!$A$2:$B$321,2,FALSE),"0.000"),"")</f>
        <v>1.000</v>
      </c>
      <c r="D104" s="11" t="str">
        <f>IF($B104&lt;&gt;"",TEXT(1-manut_MP($B104,D$1,D$2)/VLOOKUP(VALUE(MID($A104,5,3)),BASE_Pot!$A$2:$B$321,2,FALSE),"0.000"),"")</f>
        <v>1.000</v>
      </c>
      <c r="E104" s="11" t="str">
        <f>IF($B104&lt;&gt;"",TEXT(1-manut_MP($B104,E$1,E$2)/VLOOKUP(VALUE(MID($A104,5,3)),BASE_Pot!$A$2:$B$321,2,FALSE),"0.000"),"")</f>
        <v>1.000</v>
      </c>
      <c r="F104" s="11" t="str">
        <f>IF($B104&lt;&gt;"",TEXT(1-manut_MP($B104,F$1,F$2)/VLOOKUP(VALUE(MID($A104,5,3)),BASE_Pot!$A$2:$B$321,2,FALSE),"0.000"),"")</f>
        <v>1.000</v>
      </c>
      <c r="G104" s="11" t="str">
        <f>IF($B104&lt;&gt;"",TEXT(1-manut_MP($B104,G$1,G$2)/VLOOKUP(VALUE(MID($A104,5,3)),BASE_Pot!$A$2:$B$321,2,FALSE),"0.000"),"")</f>
        <v>1.000</v>
      </c>
      <c r="H104" s="11" t="str">
        <f>IF($B104&lt;&gt;"",TEXT(1-manut_MP($B104,H$1,H$2)/VLOOKUP(VALUE(MID($A104,5,3)),BASE_Pot!$A$2:$B$321,2,FALSE),"0.000"),"")</f>
        <v>1.000</v>
      </c>
      <c r="I104" s="11" t="str">
        <f>IF($B104&lt;&gt;"",TEXT(1-manut_MP($B104,I$1,I$2)/VLOOKUP(VALUE(MID($A104,5,3)),BASE_Pot!$A$2:$B$321,2,FALSE),"0.000"),"")</f>
        <v>1.000</v>
      </c>
      <c r="J104" t="str">
        <f>""</f>
        <v/>
      </c>
      <c r="L104" t="str">
        <f t="shared" si="6"/>
        <v>MP   20  1.0001.0001.0001.0001.0001.0001.000</v>
      </c>
    </row>
    <row r="105" spans="1:12" x14ac:dyDescent="0.25">
      <c r="A105" t="s">
        <v>348</v>
      </c>
      <c r="B105" t="str">
        <f t="shared" si="5"/>
        <v/>
      </c>
      <c r="C105" s="11" t="str">
        <f>IF($B105&lt;&gt;"",TEXT(1-manut_MP($B105,C$1,C$2)/VLOOKUP(VALUE(MID($A105,5,3)),BASE_Pot!$A$2:$B$321,2,FALSE),"0.000"),"")</f>
        <v/>
      </c>
      <c r="D105" s="11" t="str">
        <f>IF($B105&lt;&gt;"",TEXT(1-manut_MP($B105,D$1,D$2)/VLOOKUP(VALUE(MID($A105,5,3)),BASE_Pot!$A$2:$B$321,2,FALSE),"0.000"),"")</f>
        <v/>
      </c>
      <c r="E105" s="11" t="str">
        <f>IF($B105&lt;&gt;"",TEXT(1-manut_MP($B105,E$1,E$2)/VLOOKUP(VALUE(MID($A105,5,3)),BASE_Pot!$A$2:$B$321,2,FALSE),"0.000"),"")</f>
        <v/>
      </c>
      <c r="F105" s="11" t="str">
        <f>IF($B105&lt;&gt;"",TEXT(1-manut_MP($B105,F$1,F$2)/VLOOKUP(VALUE(MID($A105,5,3)),BASE_Pot!$A$2:$B$321,2,FALSE),"0.000"),"")</f>
        <v/>
      </c>
      <c r="G105" s="11" t="str">
        <f>IF($B105&lt;&gt;"",TEXT(1-manut_MP($B105,G$1,G$2)/VLOOKUP(VALUE(MID($A105,5,3)),BASE_Pot!$A$2:$B$321,2,FALSE),"0.000"),"")</f>
        <v/>
      </c>
      <c r="H105" s="11" t="str">
        <f>IF($B105&lt;&gt;"",TEXT(1-manut_MP($B105,H$1,H$2)/VLOOKUP(VALUE(MID($A105,5,3)),BASE_Pot!$A$2:$B$321,2,FALSE),"0.000"),"")</f>
        <v/>
      </c>
      <c r="I105" s="11" t="str">
        <f>IF($B105&lt;&gt;"",TEXT(1-manut_MP($B105,I$1,I$2)/VLOOKUP(VALUE(MID($A105,5,3)),BASE_Pot!$A$2:$B$321,2,FALSE),"0.000"),"")</f>
        <v/>
      </c>
      <c r="J105" t="str">
        <f>""</f>
        <v/>
      </c>
      <c r="L105" t="str">
        <f t="shared" si="6"/>
        <v>&amp;CORUMBA I</v>
      </c>
    </row>
    <row r="106" spans="1:12" x14ac:dyDescent="0.25">
      <c r="A106" t="s">
        <v>536</v>
      </c>
      <c r="B106" t="str">
        <f t="shared" si="5"/>
        <v xml:space="preserve"> 30-H</v>
      </c>
      <c r="C106" s="11" t="str">
        <f>IF($B106&lt;&gt;"",TEXT(1-manut_MP($B106,C$1,C$2)/VLOOKUP(VALUE(MID($A106,5,3)),BASE_Pot!$A$2:$B$321,2,FALSE),"0.000"),"")</f>
        <v>1.000</v>
      </c>
      <c r="D106" s="11" t="str">
        <f>IF($B106&lt;&gt;"",TEXT(1-manut_MP($B106,D$1,D$2)/VLOOKUP(VALUE(MID($A106,5,3)),BASE_Pot!$A$2:$B$321,2,FALSE),"0.000"),"")</f>
        <v>1.000</v>
      </c>
      <c r="E106" s="11" t="str">
        <f>IF($B106&lt;&gt;"",TEXT(1-manut_MP($B106,E$1,E$2)/VLOOKUP(VALUE(MID($A106,5,3)),BASE_Pot!$A$2:$B$321,2,FALSE),"0.000"),"")</f>
        <v>1.000</v>
      </c>
      <c r="F106" s="11" t="str">
        <f>IF($B106&lt;&gt;"",TEXT(1-manut_MP($B106,F$1,F$2)/VLOOKUP(VALUE(MID($A106,5,3)),BASE_Pot!$A$2:$B$321,2,FALSE),"0.000"),"")</f>
        <v>1.000</v>
      </c>
      <c r="G106" s="11" t="str">
        <f>IF($B106&lt;&gt;"",TEXT(1-manut_MP($B106,G$1,G$2)/VLOOKUP(VALUE(MID($A106,5,3)),BASE_Pot!$A$2:$B$321,2,FALSE),"0.000"),"")</f>
        <v>1.000</v>
      </c>
      <c r="H106" s="11" t="str">
        <f>IF($B106&lt;&gt;"",TEXT(1-manut_MP($B106,H$1,H$2)/VLOOKUP(VALUE(MID($A106,5,3)),BASE_Pot!$A$2:$B$321,2,FALSE),"0.000"),"")</f>
        <v>1.000</v>
      </c>
      <c r="I106" s="11" t="str">
        <f>IF($B106&lt;&gt;"",TEXT(1-manut_MP($B106,I$1,I$2)/VLOOKUP(VALUE(MID($A106,5,3)),BASE_Pot!$A$2:$B$321,2,FALSE),"0.000"),"")</f>
        <v>1.000</v>
      </c>
      <c r="J106" t="str">
        <f>""</f>
        <v/>
      </c>
      <c r="L106" t="str">
        <f t="shared" si="6"/>
        <v>MP   30  1.0001.0001.0001.0001.0001.0001.000</v>
      </c>
    </row>
    <row r="107" spans="1:12" x14ac:dyDescent="0.25">
      <c r="A107" t="s">
        <v>349</v>
      </c>
      <c r="B107" t="str">
        <f t="shared" si="5"/>
        <v/>
      </c>
      <c r="C107" s="11" t="str">
        <f>IF($B107&lt;&gt;"",TEXT(1-manut_MP($B107,C$1,C$2)/VLOOKUP(VALUE(MID($A107,5,3)),BASE_Pot!$A$2:$B$321,2,FALSE),"0.000"),"")</f>
        <v/>
      </c>
      <c r="D107" s="11" t="str">
        <f>IF($B107&lt;&gt;"",TEXT(1-manut_MP($B107,D$1,D$2)/VLOOKUP(VALUE(MID($A107,5,3)),BASE_Pot!$A$2:$B$321,2,FALSE),"0.000"),"")</f>
        <v/>
      </c>
      <c r="E107" s="11" t="str">
        <f>IF($B107&lt;&gt;"",TEXT(1-manut_MP($B107,E$1,E$2)/VLOOKUP(VALUE(MID($A107,5,3)),BASE_Pot!$A$2:$B$321,2,FALSE),"0.000"),"")</f>
        <v/>
      </c>
      <c r="F107" s="11" t="str">
        <f>IF($B107&lt;&gt;"",TEXT(1-manut_MP($B107,F$1,F$2)/VLOOKUP(VALUE(MID($A107,5,3)),BASE_Pot!$A$2:$B$321,2,FALSE),"0.000"),"")</f>
        <v/>
      </c>
      <c r="G107" s="11" t="str">
        <f>IF($B107&lt;&gt;"",TEXT(1-manut_MP($B107,G$1,G$2)/VLOOKUP(VALUE(MID($A107,5,3)),BASE_Pot!$A$2:$B$321,2,FALSE),"0.000"),"")</f>
        <v/>
      </c>
      <c r="H107" s="11" t="str">
        <f>IF($B107&lt;&gt;"",TEXT(1-manut_MP($B107,H$1,H$2)/VLOOKUP(VALUE(MID($A107,5,3)),BASE_Pot!$A$2:$B$321,2,FALSE),"0.000"),"")</f>
        <v/>
      </c>
      <c r="I107" s="11" t="str">
        <f>IF($B107&lt;&gt;"",TEXT(1-manut_MP($B107,I$1,I$2)/VLOOKUP(VALUE(MID($A107,5,3)),BASE_Pot!$A$2:$B$321,2,FALSE),"0.000"),"")</f>
        <v/>
      </c>
      <c r="J107" t="str">
        <f>""</f>
        <v/>
      </c>
      <c r="L107" t="str">
        <f t="shared" si="6"/>
        <v>&amp;ITUMBIARA</v>
      </c>
    </row>
    <row r="108" spans="1:12" x14ac:dyDescent="0.25">
      <c r="A108" t="s">
        <v>537</v>
      </c>
      <c r="B108" t="str">
        <f t="shared" si="5"/>
        <v xml:space="preserve"> 31-H</v>
      </c>
      <c r="C108" s="11" t="str">
        <f>IF($B108&lt;&gt;"",TEXT(1-manut_MP($B108,C$1,C$2)/VLOOKUP(VALUE(MID($A108,5,3)),BASE_Pot!$A$2:$B$321,2,FALSE),"0.000"),"")</f>
        <v>1.000</v>
      </c>
      <c r="D108" s="11" t="str">
        <f>IF($B108&lt;&gt;"",TEXT(1-manut_MP($B108,D$1,D$2)/VLOOKUP(VALUE(MID($A108,5,3)),BASE_Pot!$A$2:$B$321,2,FALSE),"0.000"),"")</f>
        <v>1.000</v>
      </c>
      <c r="E108" s="11" t="str">
        <f>IF($B108&lt;&gt;"",TEXT(1-manut_MP($B108,E$1,E$2)/VLOOKUP(VALUE(MID($A108,5,3)),BASE_Pot!$A$2:$B$321,2,FALSE),"0.000"),"")</f>
        <v>1.000</v>
      </c>
      <c r="F108" s="11" t="str">
        <f>IF($B108&lt;&gt;"",TEXT(1-manut_MP($B108,F$1,F$2)/VLOOKUP(VALUE(MID($A108,5,3)),BASE_Pot!$A$2:$B$321,2,FALSE),"0.000"),"")</f>
        <v>1.000</v>
      </c>
      <c r="G108" s="11" t="str">
        <f>IF($B108&lt;&gt;"",TEXT(1-manut_MP($B108,G$1,G$2)/VLOOKUP(VALUE(MID($A108,5,3)),BASE_Pot!$A$2:$B$321,2,FALSE),"0.000"),"")</f>
        <v>1.000</v>
      </c>
      <c r="H108" s="11" t="str">
        <f>IF($B108&lt;&gt;"",TEXT(1-manut_MP($B108,H$1,H$2)/VLOOKUP(VALUE(MID($A108,5,3)),BASE_Pot!$A$2:$B$321,2,FALSE),"0.000"),"")</f>
        <v>1.000</v>
      </c>
      <c r="I108" s="11" t="str">
        <f>IF($B108&lt;&gt;"",TEXT(1-manut_MP($B108,I$1,I$2)/VLOOKUP(VALUE(MID($A108,5,3)),BASE_Pot!$A$2:$B$321,2,FALSE),"0.000"),"")</f>
        <v>1.000</v>
      </c>
      <c r="J108" t="str">
        <f>""</f>
        <v/>
      </c>
      <c r="L108" t="str">
        <f t="shared" si="6"/>
        <v>MP   31  1.0001.0001.0001.0001.0001.0001.000</v>
      </c>
    </row>
    <row r="109" spans="1:12" x14ac:dyDescent="0.25">
      <c r="A109" t="s">
        <v>350</v>
      </c>
      <c r="B109" t="str">
        <f t="shared" si="5"/>
        <v/>
      </c>
      <c r="C109" s="11" t="str">
        <f>IF($B109&lt;&gt;"",TEXT(1-manut_MP($B109,C$1,C$2)/VLOOKUP(VALUE(MID($A109,5,3)),BASE_Pot!$A$2:$B$321,2,FALSE),"0.000"),"")</f>
        <v/>
      </c>
      <c r="D109" s="11" t="str">
        <f>IF($B109&lt;&gt;"",TEXT(1-manut_MP($B109,D$1,D$2)/VLOOKUP(VALUE(MID($A109,5,3)),BASE_Pot!$A$2:$B$321,2,FALSE),"0.000"),"")</f>
        <v/>
      </c>
      <c r="E109" s="11" t="str">
        <f>IF($B109&lt;&gt;"",TEXT(1-manut_MP($B109,E$1,E$2)/VLOOKUP(VALUE(MID($A109,5,3)),BASE_Pot!$A$2:$B$321,2,FALSE),"0.000"),"")</f>
        <v/>
      </c>
      <c r="F109" s="11" t="str">
        <f>IF($B109&lt;&gt;"",TEXT(1-manut_MP($B109,F$1,F$2)/VLOOKUP(VALUE(MID($A109,5,3)),BASE_Pot!$A$2:$B$321,2,FALSE),"0.000"),"")</f>
        <v/>
      </c>
      <c r="G109" s="11" t="str">
        <f>IF($B109&lt;&gt;"",TEXT(1-manut_MP($B109,G$1,G$2)/VLOOKUP(VALUE(MID($A109,5,3)),BASE_Pot!$A$2:$B$321,2,FALSE),"0.000"),"")</f>
        <v/>
      </c>
      <c r="H109" s="11" t="str">
        <f>IF($B109&lt;&gt;"",TEXT(1-manut_MP($B109,H$1,H$2)/VLOOKUP(VALUE(MID($A109,5,3)),BASE_Pot!$A$2:$B$321,2,FALSE),"0.000"),"")</f>
        <v/>
      </c>
      <c r="I109" s="11" t="str">
        <f>IF($B109&lt;&gt;"",TEXT(1-manut_MP($B109,I$1,I$2)/VLOOKUP(VALUE(MID($A109,5,3)),BASE_Pot!$A$2:$B$321,2,FALSE),"0.000"),"")</f>
        <v/>
      </c>
      <c r="J109" t="str">
        <f>""</f>
        <v/>
      </c>
      <c r="L109" t="str">
        <f t="shared" si="6"/>
        <v>&amp;FUNIL</v>
      </c>
    </row>
    <row r="110" spans="1:12" x14ac:dyDescent="0.25">
      <c r="A110" t="s">
        <v>538</v>
      </c>
      <c r="B110" t="str">
        <f t="shared" si="5"/>
        <v>123-H</v>
      </c>
      <c r="C110" s="11" t="str">
        <f>IF($B110&lt;&gt;"",TEXT(1-manut_MP($B110,C$1,C$2)/VLOOKUP(VALUE(MID($A110,5,3)),BASE_Pot!$A$2:$B$321,2,FALSE),"0.000"),"")</f>
        <v>1.000</v>
      </c>
      <c r="D110" s="11" t="str">
        <f>IF($B110&lt;&gt;"",TEXT(1-manut_MP($B110,D$1,D$2)/VLOOKUP(VALUE(MID($A110,5,3)),BASE_Pot!$A$2:$B$321,2,FALSE),"0.000"),"")</f>
        <v>1.000</v>
      </c>
      <c r="E110" s="11" t="str">
        <f>IF($B110&lt;&gt;"",TEXT(1-manut_MP($B110,E$1,E$2)/VLOOKUP(VALUE(MID($A110,5,3)),BASE_Pot!$A$2:$B$321,2,FALSE),"0.000"),"")</f>
        <v>1.000</v>
      </c>
      <c r="F110" s="11" t="str">
        <f>IF($B110&lt;&gt;"",TEXT(1-manut_MP($B110,F$1,F$2)/VLOOKUP(VALUE(MID($A110,5,3)),BASE_Pot!$A$2:$B$321,2,FALSE),"0.000"),"")</f>
        <v>1.000</v>
      </c>
      <c r="G110" s="11" t="str">
        <f>IF($B110&lt;&gt;"",TEXT(1-manut_MP($B110,G$1,G$2)/VLOOKUP(VALUE(MID($A110,5,3)),BASE_Pot!$A$2:$B$321,2,FALSE),"0.000"),"")</f>
        <v>1.000</v>
      </c>
      <c r="H110" s="11" t="str">
        <f>IF($B110&lt;&gt;"",TEXT(1-manut_MP($B110,H$1,H$2)/VLOOKUP(VALUE(MID($A110,5,3)),BASE_Pot!$A$2:$B$321,2,FALSE),"0.000"),"")</f>
        <v>1.000</v>
      </c>
      <c r="I110" s="11" t="str">
        <f>IF($B110&lt;&gt;"",TEXT(1-manut_MP($B110,I$1,I$2)/VLOOKUP(VALUE(MID($A110,5,3)),BASE_Pot!$A$2:$B$321,2,FALSE),"0.000"),"")</f>
        <v>1.000</v>
      </c>
      <c r="J110" t="str">
        <f>""</f>
        <v/>
      </c>
      <c r="L110" t="str">
        <f t="shared" si="6"/>
        <v>MP  123  1.0001.0001.0001.0001.0001.0001.000</v>
      </c>
    </row>
    <row r="111" spans="1:12" x14ac:dyDescent="0.25">
      <c r="A111" t="s">
        <v>351</v>
      </c>
      <c r="B111" t="str">
        <f t="shared" si="5"/>
        <v/>
      </c>
      <c r="C111" s="11" t="str">
        <f>IF($B111&lt;&gt;"",TEXT(1-manut_MP($B111,C$1,C$2)/VLOOKUP(VALUE(MID($A111,5,3)),BASE_Pot!$A$2:$B$321,2,FALSE),"0.000"),"")</f>
        <v/>
      </c>
      <c r="D111" s="11" t="str">
        <f>IF($B111&lt;&gt;"",TEXT(1-manut_MP($B111,D$1,D$2)/VLOOKUP(VALUE(MID($A111,5,3)),BASE_Pot!$A$2:$B$321,2,FALSE),"0.000"),"")</f>
        <v/>
      </c>
      <c r="E111" s="11" t="str">
        <f>IF($B111&lt;&gt;"",TEXT(1-manut_MP($B111,E$1,E$2)/VLOOKUP(VALUE(MID($A111,5,3)),BASE_Pot!$A$2:$B$321,2,FALSE),"0.000"),"")</f>
        <v/>
      </c>
      <c r="F111" s="11" t="str">
        <f>IF($B111&lt;&gt;"",TEXT(1-manut_MP($B111,F$1,F$2)/VLOOKUP(VALUE(MID($A111,5,3)),BASE_Pot!$A$2:$B$321,2,FALSE),"0.000"),"")</f>
        <v/>
      </c>
      <c r="G111" s="11" t="str">
        <f>IF($B111&lt;&gt;"",TEXT(1-manut_MP($B111,G$1,G$2)/VLOOKUP(VALUE(MID($A111,5,3)),BASE_Pot!$A$2:$B$321,2,FALSE),"0.000"),"")</f>
        <v/>
      </c>
      <c r="H111" s="11" t="str">
        <f>IF($B111&lt;&gt;"",TEXT(1-manut_MP($B111,H$1,H$2)/VLOOKUP(VALUE(MID($A111,5,3)),BASE_Pot!$A$2:$B$321,2,FALSE),"0.000"),"")</f>
        <v/>
      </c>
      <c r="I111" s="11" t="str">
        <f>IF($B111&lt;&gt;"",TEXT(1-manut_MP($B111,I$1,I$2)/VLOOKUP(VALUE(MID($A111,5,3)),BASE_Pot!$A$2:$B$321,2,FALSE),"0.000"),"")</f>
        <v/>
      </c>
      <c r="J111" t="str">
        <f>""</f>
        <v/>
      </c>
      <c r="L111" t="str">
        <f t="shared" si="6"/>
        <v>&amp;SIMPLICIO</v>
      </c>
    </row>
    <row r="112" spans="1:12" x14ac:dyDescent="0.25">
      <c r="A112" t="s">
        <v>539</v>
      </c>
      <c r="B112" t="str">
        <f t="shared" si="5"/>
        <v>129-H</v>
      </c>
      <c r="C112" s="11" t="str">
        <f>IF($B112&lt;&gt;"",TEXT(1-manut_MP($B112,C$1,C$2)/VLOOKUP(VALUE(MID($A112,5,3)),BASE_Pot!$A$2:$B$321,2,FALSE),"0.000"),"")</f>
        <v>1.000</v>
      </c>
      <c r="D112" s="11" t="str">
        <f>IF($B112&lt;&gt;"",TEXT(1-manut_MP($B112,D$1,D$2)/VLOOKUP(VALUE(MID($A112,5,3)),BASE_Pot!$A$2:$B$321,2,FALSE),"0.000"),"")</f>
        <v>1.000</v>
      </c>
      <c r="E112" s="11" t="str">
        <f>IF($B112&lt;&gt;"",TEXT(1-manut_MP($B112,E$1,E$2)/VLOOKUP(VALUE(MID($A112,5,3)),BASE_Pot!$A$2:$B$321,2,FALSE),"0.000"),"")</f>
        <v>1.000</v>
      </c>
      <c r="F112" s="11" t="str">
        <f>IF($B112&lt;&gt;"",TEXT(1-manut_MP($B112,F$1,F$2)/VLOOKUP(VALUE(MID($A112,5,3)),BASE_Pot!$A$2:$B$321,2,FALSE),"0.000"),"")</f>
        <v>1.000</v>
      </c>
      <c r="G112" s="11" t="str">
        <f>IF($B112&lt;&gt;"",TEXT(1-manut_MP($B112,G$1,G$2)/VLOOKUP(VALUE(MID($A112,5,3)),BASE_Pot!$A$2:$B$321,2,FALSE),"0.000"),"")</f>
        <v>1.000</v>
      </c>
      <c r="H112" s="11" t="str">
        <f>IF($B112&lt;&gt;"",TEXT(1-manut_MP($B112,H$1,H$2)/VLOOKUP(VALUE(MID($A112,5,3)),BASE_Pot!$A$2:$B$321,2,FALSE),"0.000"),"")</f>
        <v>1.000</v>
      </c>
      <c r="I112" s="11" t="str">
        <f>IF($B112&lt;&gt;"",TEXT(1-manut_MP($B112,I$1,I$2)/VLOOKUP(VALUE(MID($A112,5,3)),BASE_Pot!$A$2:$B$321,2,FALSE),"0.000"),"")</f>
        <v>1.000</v>
      </c>
      <c r="J112" t="str">
        <f>""</f>
        <v/>
      </c>
      <c r="L112" t="str">
        <f t="shared" si="6"/>
        <v>MP  129  1.0001.0001.0001.0001.0001.0001.000</v>
      </c>
    </row>
    <row r="113" spans="1:12" x14ac:dyDescent="0.25">
      <c r="A113" t="s">
        <v>352</v>
      </c>
      <c r="B113" t="str">
        <f t="shared" si="5"/>
        <v/>
      </c>
      <c r="C113" s="11" t="str">
        <f>IF($B113&lt;&gt;"",TEXT(1-manut_MP($B113,C$1,C$2)/VLOOKUP(VALUE(MID($A113,5,3)),BASE_Pot!$A$2:$B$321,2,FALSE),"0.000"),"")</f>
        <v/>
      </c>
      <c r="D113" s="11" t="str">
        <f>IF($B113&lt;&gt;"",TEXT(1-manut_MP($B113,D$1,D$2)/VLOOKUP(VALUE(MID($A113,5,3)),BASE_Pot!$A$2:$B$321,2,FALSE),"0.000"),"")</f>
        <v/>
      </c>
      <c r="E113" s="11" t="str">
        <f>IF($B113&lt;&gt;"",TEXT(1-manut_MP($B113,E$1,E$2)/VLOOKUP(VALUE(MID($A113,5,3)),BASE_Pot!$A$2:$B$321,2,FALSE),"0.000"),"")</f>
        <v/>
      </c>
      <c r="F113" s="11" t="str">
        <f>IF($B113&lt;&gt;"",TEXT(1-manut_MP($B113,F$1,F$2)/VLOOKUP(VALUE(MID($A113,5,3)),BASE_Pot!$A$2:$B$321,2,FALSE),"0.000"),"")</f>
        <v/>
      </c>
      <c r="G113" s="11" t="str">
        <f>IF($B113&lt;&gt;"",TEXT(1-manut_MP($B113,G$1,G$2)/VLOOKUP(VALUE(MID($A113,5,3)),BASE_Pot!$A$2:$B$321,2,FALSE),"0.000"),"")</f>
        <v/>
      </c>
      <c r="H113" s="11" t="str">
        <f>IF($B113&lt;&gt;"",TEXT(1-manut_MP($B113,H$1,H$2)/VLOOKUP(VALUE(MID($A113,5,3)),BASE_Pot!$A$2:$B$321,2,FALSE),"0.000"),"")</f>
        <v/>
      </c>
      <c r="I113" s="11" t="str">
        <f>IF($B113&lt;&gt;"",TEXT(1-manut_MP($B113,I$1,I$2)/VLOOKUP(VALUE(MID($A113,5,3)),BASE_Pot!$A$2:$B$321,2,FALSE),"0.000"),"")</f>
        <v/>
      </c>
      <c r="J113" t="str">
        <f>""</f>
        <v/>
      </c>
      <c r="L113" t="str">
        <f t="shared" si="6"/>
        <v>&amp;SERRA MESA</v>
      </c>
    </row>
    <row r="114" spans="1:12" x14ac:dyDescent="0.25">
      <c r="A114" t="s">
        <v>540</v>
      </c>
      <c r="B114" t="str">
        <f t="shared" si="5"/>
        <v>251-H</v>
      </c>
      <c r="C114" s="11" t="str">
        <f>IF($B114&lt;&gt;"",TEXT(1-manut_MP($B114,C$1,C$2)/VLOOKUP(VALUE(MID($A114,5,3)),BASE_Pot!$A$2:$B$321,2,FALSE),"0.000"),"")</f>
        <v>0.667</v>
      </c>
      <c r="D114" s="11" t="str">
        <f>IF($B114&lt;&gt;"",TEXT(1-manut_MP($B114,D$1,D$2)/VLOOKUP(VALUE(MID($A114,5,3)),BASE_Pot!$A$2:$B$321,2,FALSE),"0.000"),"")</f>
        <v>0.667</v>
      </c>
      <c r="E114" s="11" t="str">
        <f>IF($B114&lt;&gt;"",TEXT(1-manut_MP($B114,E$1,E$2)/VLOOKUP(VALUE(MID($A114,5,3)),BASE_Pot!$A$2:$B$321,2,FALSE),"0.000"),"")</f>
        <v>0.667</v>
      </c>
      <c r="F114" s="11" t="str">
        <f>IF($B114&lt;&gt;"",TEXT(1-manut_MP($B114,F$1,F$2)/VLOOKUP(VALUE(MID($A114,5,3)),BASE_Pot!$A$2:$B$321,2,FALSE),"0.000"),"")</f>
        <v>0.667</v>
      </c>
      <c r="G114" s="11" t="str">
        <f>IF($B114&lt;&gt;"",TEXT(1-manut_MP($B114,G$1,G$2)/VLOOKUP(VALUE(MID($A114,5,3)),BASE_Pot!$A$2:$B$321,2,FALSE),"0.000"),"")</f>
        <v>0.667</v>
      </c>
      <c r="H114" s="11" t="str">
        <f>IF($B114&lt;&gt;"",TEXT(1-manut_MP($B114,H$1,H$2)/VLOOKUP(VALUE(MID($A114,5,3)),BASE_Pot!$A$2:$B$321,2,FALSE),"0.000"),"")</f>
        <v>0.952</v>
      </c>
      <c r="I114" s="11" t="str">
        <f>IF($B114&lt;&gt;"",TEXT(1-manut_MP($B114,I$1,I$2)/VLOOKUP(VALUE(MID($A114,5,3)),BASE_Pot!$A$2:$B$321,2,FALSE),"0.000"),"")</f>
        <v>1.000</v>
      </c>
      <c r="J114" t="str">
        <f>""</f>
        <v/>
      </c>
      <c r="L114" t="str">
        <f t="shared" si="6"/>
        <v>MP  251  0.6670.6670.6670.6670.6670.9521.000</v>
      </c>
    </row>
    <row r="115" spans="1:12" x14ac:dyDescent="0.25">
      <c r="A115" t="s">
        <v>353</v>
      </c>
      <c r="B115" t="str">
        <f t="shared" si="5"/>
        <v/>
      </c>
      <c r="C115" s="11" t="str">
        <f>IF($B115&lt;&gt;"",TEXT(1-manut_MP($B115,C$1,C$2)/VLOOKUP(VALUE(MID($A115,5,3)),BASE_Pot!$A$2:$B$321,2,FALSE),"0.000"),"")</f>
        <v/>
      </c>
      <c r="D115" s="11" t="str">
        <f>IF($B115&lt;&gt;"",TEXT(1-manut_MP($B115,D$1,D$2)/VLOOKUP(VALUE(MID($A115,5,3)),BASE_Pot!$A$2:$B$321,2,FALSE),"0.000"),"")</f>
        <v/>
      </c>
      <c r="E115" s="11" t="str">
        <f>IF($B115&lt;&gt;"",TEXT(1-manut_MP($B115,E$1,E$2)/VLOOKUP(VALUE(MID($A115,5,3)),BASE_Pot!$A$2:$B$321,2,FALSE),"0.000"),"")</f>
        <v/>
      </c>
      <c r="F115" s="11" t="str">
        <f>IF($B115&lt;&gt;"",TEXT(1-manut_MP($B115,F$1,F$2)/VLOOKUP(VALUE(MID($A115,5,3)),BASE_Pot!$A$2:$B$321,2,FALSE),"0.000"),"")</f>
        <v/>
      </c>
      <c r="G115" s="11" t="str">
        <f>IF($B115&lt;&gt;"",TEXT(1-manut_MP($B115,G$1,G$2)/VLOOKUP(VALUE(MID($A115,5,3)),BASE_Pot!$A$2:$B$321,2,FALSE),"0.000"),"")</f>
        <v/>
      </c>
      <c r="H115" s="11" t="str">
        <f>IF($B115&lt;&gt;"",TEXT(1-manut_MP($B115,H$1,H$2)/VLOOKUP(VALUE(MID($A115,5,3)),BASE_Pot!$A$2:$B$321,2,FALSE),"0.000"),"")</f>
        <v/>
      </c>
      <c r="I115" s="11" t="str">
        <f>IF($B115&lt;&gt;"",TEXT(1-manut_MP($B115,I$1,I$2)/VLOOKUP(VALUE(MID($A115,5,3)),BASE_Pot!$A$2:$B$321,2,FALSE),"0.000"),"")</f>
        <v/>
      </c>
      <c r="J115" t="str">
        <f>""</f>
        <v/>
      </c>
      <c r="L115" t="str">
        <f t="shared" si="6"/>
        <v>&amp;PEIXE ANGIC</v>
      </c>
    </row>
    <row r="116" spans="1:12" x14ac:dyDescent="0.25">
      <c r="A116" t="s">
        <v>541</v>
      </c>
      <c r="B116" t="str">
        <f t="shared" si="5"/>
        <v>257-H</v>
      </c>
      <c r="C116" s="11" t="str">
        <f>IF($B116&lt;&gt;"",TEXT(1-manut_MP($B116,C$1,C$2)/VLOOKUP(VALUE(MID($A116,5,3)),BASE_Pot!$A$2:$B$321,2,FALSE),"0.000"),"")</f>
        <v>1.000</v>
      </c>
      <c r="D116" s="11" t="str">
        <f>IF($B116&lt;&gt;"",TEXT(1-manut_MP($B116,D$1,D$2)/VLOOKUP(VALUE(MID($A116,5,3)),BASE_Pot!$A$2:$B$321,2,FALSE),"0.000"),"")</f>
        <v>1.000</v>
      </c>
      <c r="E116" s="11" t="str">
        <f>IF($B116&lt;&gt;"",TEXT(1-manut_MP($B116,E$1,E$2)/VLOOKUP(VALUE(MID($A116,5,3)),BASE_Pot!$A$2:$B$321,2,FALSE),"0.000"),"")</f>
        <v>1.000</v>
      </c>
      <c r="F116" s="11" t="str">
        <f>IF($B116&lt;&gt;"",TEXT(1-manut_MP($B116,F$1,F$2)/VLOOKUP(VALUE(MID($A116,5,3)),BASE_Pot!$A$2:$B$321,2,FALSE),"0.000"),"")</f>
        <v>1.000</v>
      </c>
      <c r="G116" s="11" t="str">
        <f>IF($B116&lt;&gt;"",TEXT(1-manut_MP($B116,G$1,G$2)/VLOOKUP(VALUE(MID($A116,5,3)),BASE_Pot!$A$2:$B$321,2,FALSE),"0.000"),"")</f>
        <v>1.000</v>
      </c>
      <c r="H116" s="11" t="str">
        <f>IF($B116&lt;&gt;"",TEXT(1-manut_MP($B116,H$1,H$2)/VLOOKUP(VALUE(MID($A116,5,3)),BASE_Pot!$A$2:$B$321,2,FALSE),"0.000"),"")</f>
        <v>1.000</v>
      </c>
      <c r="I116" s="11" t="str">
        <f>IF($B116&lt;&gt;"",TEXT(1-manut_MP($B116,I$1,I$2)/VLOOKUP(VALUE(MID($A116,5,3)),BASE_Pot!$A$2:$B$321,2,FALSE),"0.000"),"")</f>
        <v>1.000</v>
      </c>
      <c r="J116" t="str">
        <f>""</f>
        <v/>
      </c>
      <c r="L116" t="str">
        <f t="shared" si="6"/>
        <v>MP  257  1.0001.0001.0001.0001.0001.0001.000</v>
      </c>
    </row>
    <row r="117" spans="1:12" x14ac:dyDescent="0.25">
      <c r="A117" t="s">
        <v>354</v>
      </c>
      <c r="B117" t="str">
        <f t="shared" si="5"/>
        <v/>
      </c>
      <c r="C117" s="11" t="str">
        <f>IF($B117&lt;&gt;"",TEXT(1-manut_MP($B117,C$1,C$2)/VLOOKUP(VALUE(MID($A117,5,3)),BASE_Pot!$A$2:$B$321,2,FALSE),"0.000"),"")</f>
        <v/>
      </c>
      <c r="D117" s="11" t="str">
        <f>IF($B117&lt;&gt;"",TEXT(1-manut_MP($B117,D$1,D$2)/VLOOKUP(VALUE(MID($A117,5,3)),BASE_Pot!$A$2:$B$321,2,FALSE),"0.000"),"")</f>
        <v/>
      </c>
      <c r="E117" s="11" t="str">
        <f>IF($B117&lt;&gt;"",TEXT(1-manut_MP($B117,E$1,E$2)/VLOOKUP(VALUE(MID($A117,5,3)),BASE_Pot!$A$2:$B$321,2,FALSE),"0.000"),"")</f>
        <v/>
      </c>
      <c r="F117" s="11" t="str">
        <f>IF($B117&lt;&gt;"",TEXT(1-manut_MP($B117,F$1,F$2)/VLOOKUP(VALUE(MID($A117,5,3)),BASE_Pot!$A$2:$B$321,2,FALSE),"0.000"),"")</f>
        <v/>
      </c>
      <c r="G117" s="11" t="str">
        <f>IF($B117&lt;&gt;"",TEXT(1-manut_MP($B117,G$1,G$2)/VLOOKUP(VALUE(MID($A117,5,3)),BASE_Pot!$A$2:$B$321,2,FALSE),"0.000"),"")</f>
        <v/>
      </c>
      <c r="H117" s="11" t="str">
        <f>IF($B117&lt;&gt;"",TEXT(1-manut_MP($B117,H$1,H$2)/VLOOKUP(VALUE(MID($A117,5,3)),BASE_Pot!$A$2:$B$321,2,FALSE),"0.000"),"")</f>
        <v/>
      </c>
      <c r="I117" s="11" t="str">
        <f>IF($B117&lt;&gt;"",TEXT(1-manut_MP($B117,I$1,I$2)/VLOOKUP(VALUE(MID($A117,5,3)),BASE_Pot!$A$2:$B$321,2,FALSE),"0.000"),"")</f>
        <v/>
      </c>
      <c r="J117" t="str">
        <f>""</f>
        <v/>
      </c>
      <c r="L117" t="str">
        <f t="shared" si="6"/>
        <v>&amp;MANSO</v>
      </c>
    </row>
    <row r="118" spans="1:12" x14ac:dyDescent="0.25">
      <c r="A118" t="s">
        <v>542</v>
      </c>
      <c r="B118" t="str">
        <f t="shared" si="5"/>
        <v>278-H</v>
      </c>
      <c r="C118" s="11" t="str">
        <f>IF($B118&lt;&gt;"",TEXT(1-manut_MP($B118,C$1,C$2)/VLOOKUP(VALUE(MID($A118,5,3)),BASE_Pot!$A$2:$B$321,2,FALSE),"0.000"),"")</f>
        <v>0.821</v>
      </c>
      <c r="D118" s="11" t="str">
        <f>IF($B118&lt;&gt;"",TEXT(1-manut_MP($B118,D$1,D$2)/VLOOKUP(VALUE(MID($A118,5,3)),BASE_Pot!$A$2:$B$321,2,FALSE),"0.000"),"")</f>
        <v>0.750</v>
      </c>
      <c r="E118" s="11" t="str">
        <f>IF($B118&lt;&gt;"",TEXT(1-manut_MP($B118,E$1,E$2)/VLOOKUP(VALUE(MID($A118,5,3)),BASE_Pot!$A$2:$B$321,2,FALSE),"0.000"),"")</f>
        <v>0.821</v>
      </c>
      <c r="F118" s="11" t="str">
        <f>IF($B118&lt;&gt;"",TEXT(1-manut_MP($B118,F$1,F$2)/VLOOKUP(VALUE(MID($A118,5,3)),BASE_Pot!$A$2:$B$321,2,FALSE),"0.000"),"")</f>
        <v>1.000</v>
      </c>
      <c r="G118" s="11" t="str">
        <f>IF($B118&lt;&gt;"",TEXT(1-manut_MP($B118,G$1,G$2)/VLOOKUP(VALUE(MID($A118,5,3)),BASE_Pot!$A$2:$B$321,2,FALSE),"0.000"),"")</f>
        <v>1.000</v>
      </c>
      <c r="H118" s="11" t="str">
        <f>IF($B118&lt;&gt;"",TEXT(1-manut_MP($B118,H$1,H$2)/VLOOKUP(VALUE(MID($A118,5,3)),BASE_Pot!$A$2:$B$321,2,FALSE),"0.000"),"")</f>
        <v>1.000</v>
      </c>
      <c r="I118" s="11" t="str">
        <f>IF($B118&lt;&gt;"",TEXT(1-manut_MP($B118,I$1,I$2)/VLOOKUP(VALUE(MID($A118,5,3)),BASE_Pot!$A$2:$B$321,2,FALSE),"0.000"),"")</f>
        <v>1.000</v>
      </c>
      <c r="J118" t="str">
        <f>""</f>
        <v/>
      </c>
      <c r="L118" t="str">
        <f t="shared" si="6"/>
        <v>MP  278  0.8210.7500.8211.0001.0001.0001.000</v>
      </c>
    </row>
    <row r="119" spans="1:12" x14ac:dyDescent="0.25">
      <c r="A119" t="s">
        <v>304</v>
      </c>
      <c r="B119" t="str">
        <f t="shared" si="5"/>
        <v/>
      </c>
      <c r="C119" s="11" t="str">
        <f>IF($B119&lt;&gt;"",TEXT(1-manut_MP($B119,C$1,C$2)/VLOOKUP(VALUE(MID($A119,5,3)),BASE_Pot!$A$2:$B$321,2,FALSE),"0.000"),"")</f>
        <v/>
      </c>
      <c r="D119" s="11" t="str">
        <f>IF($B119&lt;&gt;"",TEXT(1-manut_MP($B119,D$1,D$2)/VLOOKUP(VALUE(MID($A119,5,3)),BASE_Pot!$A$2:$B$321,2,FALSE),"0.000"),"")</f>
        <v/>
      </c>
      <c r="E119" s="11" t="str">
        <f>IF($B119&lt;&gt;"",TEXT(1-manut_MP($B119,E$1,E$2)/VLOOKUP(VALUE(MID($A119,5,3)),BASE_Pot!$A$2:$B$321,2,FALSE),"0.000"),"")</f>
        <v/>
      </c>
      <c r="F119" s="11" t="str">
        <f>IF($B119&lt;&gt;"",TEXT(1-manut_MP($B119,F$1,F$2)/VLOOKUP(VALUE(MID($A119,5,3)),BASE_Pot!$A$2:$B$321,2,FALSE),"0.000"),"")</f>
        <v/>
      </c>
      <c r="G119" s="11" t="str">
        <f>IF($B119&lt;&gt;"",TEXT(1-manut_MP($B119,G$1,G$2)/VLOOKUP(VALUE(MID($A119,5,3)),BASE_Pot!$A$2:$B$321,2,FALSE),"0.000"),"")</f>
        <v/>
      </c>
      <c r="H119" s="11" t="str">
        <f>IF($B119&lt;&gt;"",TEXT(1-manut_MP($B119,H$1,H$2)/VLOOKUP(VALUE(MID($A119,5,3)),BASE_Pot!$A$2:$B$321,2,FALSE),"0.000"),"")</f>
        <v/>
      </c>
      <c r="I119" s="11" t="str">
        <f>IF($B119&lt;&gt;"",TEXT(1-manut_MP($B119,I$1,I$2)/VLOOKUP(VALUE(MID($A119,5,3)),BASE_Pot!$A$2:$B$321,2,FALSE),"0.000"),"")</f>
        <v/>
      </c>
      <c r="J119" t="str">
        <f>""</f>
        <v/>
      </c>
      <c r="L119" t="str">
        <f t="shared" si="6"/>
        <v>&amp;.................................</v>
      </c>
    </row>
    <row r="120" spans="1:12" x14ac:dyDescent="0.25">
      <c r="A120" t="s">
        <v>355</v>
      </c>
      <c r="B120" t="str">
        <f t="shared" si="5"/>
        <v/>
      </c>
      <c r="C120" s="11" t="str">
        <f>IF($B120&lt;&gt;"",TEXT(1-manut_MP($B120,C$1,C$2)/VLOOKUP(VALUE(MID($A120,5,3)),BASE_Pot!$A$2:$B$321,2,FALSE),"0.000"),"")</f>
        <v/>
      </c>
      <c r="D120" s="11" t="str">
        <f>IF($B120&lt;&gt;"",TEXT(1-manut_MP($B120,D$1,D$2)/VLOOKUP(VALUE(MID($A120,5,3)),BASE_Pot!$A$2:$B$321,2,FALSE),"0.000"),"")</f>
        <v/>
      </c>
      <c r="E120" s="11" t="str">
        <f>IF($B120&lt;&gt;"",TEXT(1-manut_MP($B120,E$1,E$2)/VLOOKUP(VALUE(MID($A120,5,3)),BASE_Pot!$A$2:$B$321,2,FALSE),"0.000"),"")</f>
        <v/>
      </c>
      <c r="F120" s="11" t="str">
        <f>IF($B120&lt;&gt;"",TEXT(1-manut_MP($B120,F$1,F$2)/VLOOKUP(VALUE(MID($A120,5,3)),BASE_Pot!$A$2:$B$321,2,FALSE),"0.000"),"")</f>
        <v/>
      </c>
      <c r="G120" s="11" t="str">
        <f>IF($B120&lt;&gt;"",TEXT(1-manut_MP($B120,G$1,G$2)/VLOOKUP(VALUE(MID($A120,5,3)),BASE_Pot!$A$2:$B$321,2,FALSE),"0.000"),"")</f>
        <v/>
      </c>
      <c r="H120" s="11" t="str">
        <f>IF($B120&lt;&gt;"",TEXT(1-manut_MP($B120,H$1,H$2)/VLOOKUP(VALUE(MID($A120,5,3)),BASE_Pot!$A$2:$B$321,2,FALSE),"0.000"),"")</f>
        <v/>
      </c>
      <c r="I120" s="11" t="str">
        <f>IF($B120&lt;&gt;"",TEXT(1-manut_MP($B120,I$1,I$2)/VLOOKUP(VALUE(MID($A120,5,3)),BASE_Pot!$A$2:$B$321,2,FALSE),"0.000"),"")</f>
        <v/>
      </c>
      <c r="J120" t="str">
        <f>""</f>
        <v/>
      </c>
      <c r="L120" t="str">
        <f t="shared" si="6"/>
        <v>&amp;         CEEE</v>
      </c>
    </row>
    <row r="121" spans="1:12" x14ac:dyDescent="0.25">
      <c r="A121" t="s">
        <v>304</v>
      </c>
      <c r="B121" t="str">
        <f t="shared" si="5"/>
        <v/>
      </c>
      <c r="C121" s="11" t="str">
        <f>IF($B121&lt;&gt;"",TEXT(1-manut_MP($B121,C$1,C$2)/VLOOKUP(VALUE(MID($A121,5,3)),BASE_Pot!$A$2:$B$321,2,FALSE),"0.000"),"")</f>
        <v/>
      </c>
      <c r="D121" s="11" t="str">
        <f>IF($B121&lt;&gt;"",TEXT(1-manut_MP($B121,D$1,D$2)/VLOOKUP(VALUE(MID($A121,5,3)),BASE_Pot!$A$2:$B$321,2,FALSE),"0.000"),"")</f>
        <v/>
      </c>
      <c r="E121" s="11" t="str">
        <f>IF($B121&lt;&gt;"",TEXT(1-manut_MP($B121,E$1,E$2)/VLOOKUP(VALUE(MID($A121,5,3)),BASE_Pot!$A$2:$B$321,2,FALSE),"0.000"),"")</f>
        <v/>
      </c>
      <c r="F121" s="11" t="str">
        <f>IF($B121&lt;&gt;"",TEXT(1-manut_MP($B121,F$1,F$2)/VLOOKUP(VALUE(MID($A121,5,3)),BASE_Pot!$A$2:$B$321,2,FALSE),"0.000"),"")</f>
        <v/>
      </c>
      <c r="G121" s="11" t="str">
        <f>IF($B121&lt;&gt;"",TEXT(1-manut_MP($B121,G$1,G$2)/VLOOKUP(VALUE(MID($A121,5,3)),BASE_Pot!$A$2:$B$321,2,FALSE),"0.000"),"")</f>
        <v/>
      </c>
      <c r="H121" s="11" t="str">
        <f>IF($B121&lt;&gt;"",TEXT(1-manut_MP($B121,H$1,H$2)/VLOOKUP(VALUE(MID($A121,5,3)),BASE_Pot!$A$2:$B$321,2,FALSE),"0.000"),"")</f>
        <v/>
      </c>
      <c r="I121" s="11" t="str">
        <f>IF($B121&lt;&gt;"",TEXT(1-manut_MP($B121,I$1,I$2)/VLOOKUP(VALUE(MID($A121,5,3)),BASE_Pot!$A$2:$B$321,2,FALSE),"0.000"),"")</f>
        <v/>
      </c>
      <c r="J121" t="str">
        <f>""</f>
        <v/>
      </c>
      <c r="L121" t="str">
        <f t="shared" si="6"/>
        <v>&amp;.................................</v>
      </c>
    </row>
    <row r="122" spans="1:12" x14ac:dyDescent="0.25">
      <c r="A122" t="s">
        <v>356</v>
      </c>
      <c r="B122" t="str">
        <f t="shared" si="5"/>
        <v/>
      </c>
      <c r="C122" s="11" t="str">
        <f>IF($B122&lt;&gt;"",TEXT(1-manut_MP($B122,C$1,C$2)/VLOOKUP(VALUE(MID($A122,5,3)),BASE_Pot!$A$2:$B$321,2,FALSE),"0.000"),"")</f>
        <v/>
      </c>
      <c r="D122" s="11" t="str">
        <f>IF($B122&lt;&gt;"",TEXT(1-manut_MP($B122,D$1,D$2)/VLOOKUP(VALUE(MID($A122,5,3)),BASE_Pot!$A$2:$B$321,2,FALSE),"0.000"),"")</f>
        <v/>
      </c>
      <c r="E122" s="11" t="str">
        <f>IF($B122&lt;&gt;"",TEXT(1-manut_MP($B122,E$1,E$2)/VLOOKUP(VALUE(MID($A122,5,3)),BASE_Pot!$A$2:$B$321,2,FALSE),"0.000"),"")</f>
        <v/>
      </c>
      <c r="F122" s="11" t="str">
        <f>IF($B122&lt;&gt;"",TEXT(1-manut_MP($B122,F$1,F$2)/VLOOKUP(VALUE(MID($A122,5,3)),BASE_Pot!$A$2:$B$321,2,FALSE),"0.000"),"")</f>
        <v/>
      </c>
      <c r="G122" s="11" t="str">
        <f>IF($B122&lt;&gt;"",TEXT(1-manut_MP($B122,G$1,G$2)/VLOOKUP(VALUE(MID($A122,5,3)),BASE_Pot!$A$2:$B$321,2,FALSE),"0.000"),"")</f>
        <v/>
      </c>
      <c r="H122" s="11" t="str">
        <f>IF($B122&lt;&gt;"",TEXT(1-manut_MP($B122,H$1,H$2)/VLOOKUP(VALUE(MID($A122,5,3)),BASE_Pot!$A$2:$B$321,2,FALSE),"0.000"),"")</f>
        <v/>
      </c>
      <c r="I122" s="11" t="str">
        <f>IF($B122&lt;&gt;"",TEXT(1-manut_MP($B122,I$1,I$2)/VLOOKUP(VALUE(MID($A122,5,3)),BASE_Pot!$A$2:$B$321,2,FALSE),"0.000"),"")</f>
        <v/>
      </c>
      <c r="J122" t="str">
        <f>""</f>
        <v/>
      </c>
      <c r="L122" t="str">
        <f t="shared" si="6"/>
        <v>&amp;PASSO REAL</v>
      </c>
    </row>
    <row r="123" spans="1:12" x14ac:dyDescent="0.25">
      <c r="A123" t="s">
        <v>543</v>
      </c>
      <c r="B123" t="str">
        <f t="shared" si="5"/>
        <v>111-H</v>
      </c>
      <c r="C123" s="11" t="str">
        <f>IF($B123&lt;&gt;"",TEXT(1-manut_MP($B123,C$1,C$2)/VLOOKUP(VALUE(MID($A123,5,3)),BASE_Pot!$A$2:$B$321,2,FALSE),"0.000"),"")</f>
        <v>1.000</v>
      </c>
      <c r="D123" s="11" t="str">
        <f>IF($B123&lt;&gt;"",TEXT(1-manut_MP($B123,D$1,D$2)/VLOOKUP(VALUE(MID($A123,5,3)),BASE_Pot!$A$2:$B$321,2,FALSE),"0.000"),"")</f>
        <v>1.000</v>
      </c>
      <c r="E123" s="11" t="str">
        <f>IF($B123&lt;&gt;"",TEXT(1-manut_MP($B123,E$1,E$2)/VLOOKUP(VALUE(MID($A123,5,3)),BASE_Pot!$A$2:$B$321,2,FALSE),"0.000"),"")</f>
        <v>1.000</v>
      </c>
      <c r="F123" s="11" t="str">
        <f>IF($B123&lt;&gt;"",TEXT(1-manut_MP($B123,F$1,F$2)/VLOOKUP(VALUE(MID($A123,5,3)),BASE_Pot!$A$2:$B$321,2,FALSE),"0.000"),"")</f>
        <v>1.000</v>
      </c>
      <c r="G123" s="11" t="str">
        <f>IF($B123&lt;&gt;"",TEXT(1-manut_MP($B123,G$1,G$2)/VLOOKUP(VALUE(MID($A123,5,3)),BASE_Pot!$A$2:$B$321,2,FALSE),"0.000"),"")</f>
        <v>1.000</v>
      </c>
      <c r="H123" s="11" t="str">
        <f>IF($B123&lt;&gt;"",TEXT(1-manut_MP($B123,H$1,H$2)/VLOOKUP(VALUE(MID($A123,5,3)),BASE_Pot!$A$2:$B$321,2,FALSE),"0.000"),"")</f>
        <v>1.000</v>
      </c>
      <c r="I123" s="11" t="str">
        <f>IF($B123&lt;&gt;"",TEXT(1-manut_MP($B123,I$1,I$2)/VLOOKUP(VALUE(MID($A123,5,3)),BASE_Pot!$A$2:$B$321,2,FALSE),"0.000"),"")</f>
        <v>1.000</v>
      </c>
      <c r="J123" t="str">
        <f>""</f>
        <v/>
      </c>
      <c r="L123" t="str">
        <f t="shared" si="6"/>
        <v>MP  111  1.0001.0001.0001.0001.0001.0001.000</v>
      </c>
    </row>
    <row r="124" spans="1:12" x14ac:dyDescent="0.25">
      <c r="A124" t="s">
        <v>357</v>
      </c>
      <c r="B124" t="str">
        <f t="shared" si="5"/>
        <v/>
      </c>
      <c r="C124" s="11" t="str">
        <f>IF($B124&lt;&gt;"",TEXT(1-manut_MP($B124,C$1,C$2)/VLOOKUP(VALUE(MID($A124,5,3)),BASE_Pot!$A$2:$B$321,2,FALSE),"0.000"),"")</f>
        <v/>
      </c>
      <c r="D124" s="11" t="str">
        <f>IF($B124&lt;&gt;"",TEXT(1-manut_MP($B124,D$1,D$2)/VLOOKUP(VALUE(MID($A124,5,3)),BASE_Pot!$A$2:$B$321,2,FALSE),"0.000"),"")</f>
        <v/>
      </c>
      <c r="E124" s="11" t="str">
        <f>IF($B124&lt;&gt;"",TEXT(1-manut_MP($B124,E$1,E$2)/VLOOKUP(VALUE(MID($A124,5,3)),BASE_Pot!$A$2:$B$321,2,FALSE),"0.000"),"")</f>
        <v/>
      </c>
      <c r="F124" s="11" t="str">
        <f>IF($B124&lt;&gt;"",TEXT(1-manut_MP($B124,F$1,F$2)/VLOOKUP(VALUE(MID($A124,5,3)),BASE_Pot!$A$2:$B$321,2,FALSE),"0.000"),"")</f>
        <v/>
      </c>
      <c r="G124" s="11" t="str">
        <f>IF($B124&lt;&gt;"",TEXT(1-manut_MP($B124,G$1,G$2)/VLOOKUP(VALUE(MID($A124,5,3)),BASE_Pot!$A$2:$B$321,2,FALSE),"0.000"),"")</f>
        <v/>
      </c>
      <c r="H124" s="11" t="str">
        <f>IF($B124&lt;&gt;"",TEXT(1-manut_MP($B124,H$1,H$2)/VLOOKUP(VALUE(MID($A124,5,3)),BASE_Pot!$A$2:$B$321,2,FALSE),"0.000"),"")</f>
        <v/>
      </c>
      <c r="I124" s="11" t="str">
        <f>IF($B124&lt;&gt;"",TEXT(1-manut_MP($B124,I$1,I$2)/VLOOKUP(VALUE(MID($A124,5,3)),BASE_Pot!$A$2:$B$321,2,FALSE),"0.000"),"")</f>
        <v/>
      </c>
      <c r="J124" t="str">
        <f>""</f>
        <v/>
      </c>
      <c r="L124" t="str">
        <f t="shared" si="6"/>
        <v>&amp;JACUI</v>
      </c>
    </row>
    <row r="125" spans="1:12" x14ac:dyDescent="0.25">
      <c r="A125" t="s">
        <v>544</v>
      </c>
      <c r="B125" t="str">
        <f t="shared" si="5"/>
        <v>112-H</v>
      </c>
      <c r="C125" s="11" t="str">
        <f>IF($B125&lt;&gt;"",TEXT(1-manut_MP($B125,C$1,C$2)/VLOOKUP(VALUE(MID($A125,5,3)),BASE_Pot!$A$2:$B$321,2,FALSE),"0.000"),"")</f>
        <v>0.905</v>
      </c>
      <c r="D125" s="11" t="str">
        <f>IF($B125&lt;&gt;"",TEXT(1-manut_MP($B125,D$1,D$2)/VLOOKUP(VALUE(MID($A125,5,3)),BASE_Pot!$A$2:$B$321,2,FALSE),"0.000"),"")</f>
        <v>1.000</v>
      </c>
      <c r="E125" s="11" t="str">
        <f>IF($B125&lt;&gt;"",TEXT(1-manut_MP($B125,E$1,E$2)/VLOOKUP(VALUE(MID($A125,5,3)),BASE_Pot!$A$2:$B$321,2,FALSE),"0.000"),"")</f>
        <v>1.000</v>
      </c>
      <c r="F125" s="11" t="str">
        <f>IF($B125&lt;&gt;"",TEXT(1-manut_MP($B125,F$1,F$2)/VLOOKUP(VALUE(MID($A125,5,3)),BASE_Pot!$A$2:$B$321,2,FALSE),"0.000"),"")</f>
        <v>1.000</v>
      </c>
      <c r="G125" s="11" t="str">
        <f>IF($B125&lt;&gt;"",TEXT(1-manut_MP($B125,G$1,G$2)/VLOOKUP(VALUE(MID($A125,5,3)),BASE_Pot!$A$2:$B$321,2,FALSE),"0.000"),"")</f>
        <v>1.000</v>
      </c>
      <c r="H125" s="11" t="str">
        <f>IF($B125&lt;&gt;"",TEXT(1-manut_MP($B125,H$1,H$2)/VLOOKUP(VALUE(MID($A125,5,3)),BASE_Pot!$A$2:$B$321,2,FALSE),"0.000"),"")</f>
        <v>1.000</v>
      </c>
      <c r="I125" s="11" t="str">
        <f>IF($B125&lt;&gt;"",TEXT(1-manut_MP($B125,I$1,I$2)/VLOOKUP(VALUE(MID($A125,5,3)),BASE_Pot!$A$2:$B$321,2,FALSE),"0.000"),"")</f>
        <v>1.000</v>
      </c>
      <c r="J125" t="str">
        <f>""</f>
        <v/>
      </c>
      <c r="L125" t="str">
        <f t="shared" si="6"/>
        <v>MP  112  0.9051.0001.0001.0001.0001.0001.000</v>
      </c>
    </row>
    <row r="126" spans="1:12" x14ac:dyDescent="0.25">
      <c r="A126" t="s">
        <v>358</v>
      </c>
      <c r="B126" t="str">
        <f t="shared" si="5"/>
        <v/>
      </c>
      <c r="C126" s="11" t="str">
        <f>IF($B126&lt;&gt;"",TEXT(1-manut_MP($B126,C$1,C$2)/VLOOKUP(VALUE(MID($A126,5,3)),BASE_Pot!$A$2:$B$321,2,FALSE),"0.000"),"")</f>
        <v/>
      </c>
      <c r="D126" s="11" t="str">
        <f>IF($B126&lt;&gt;"",TEXT(1-manut_MP($B126,D$1,D$2)/VLOOKUP(VALUE(MID($A126,5,3)),BASE_Pot!$A$2:$B$321,2,FALSE),"0.000"),"")</f>
        <v/>
      </c>
      <c r="E126" s="11" t="str">
        <f>IF($B126&lt;&gt;"",TEXT(1-manut_MP($B126,E$1,E$2)/VLOOKUP(VALUE(MID($A126,5,3)),BASE_Pot!$A$2:$B$321,2,FALSE),"0.000"),"")</f>
        <v/>
      </c>
      <c r="F126" s="11" t="str">
        <f>IF($B126&lt;&gt;"",TEXT(1-manut_MP($B126,F$1,F$2)/VLOOKUP(VALUE(MID($A126,5,3)),BASE_Pot!$A$2:$B$321,2,FALSE),"0.000"),"")</f>
        <v/>
      </c>
      <c r="G126" s="11" t="str">
        <f>IF($B126&lt;&gt;"",TEXT(1-manut_MP($B126,G$1,G$2)/VLOOKUP(VALUE(MID($A126,5,3)),BASE_Pot!$A$2:$B$321,2,FALSE),"0.000"),"")</f>
        <v/>
      </c>
      <c r="H126" s="11" t="str">
        <f>IF($B126&lt;&gt;"",TEXT(1-manut_MP($B126,H$1,H$2)/VLOOKUP(VALUE(MID($A126,5,3)),BASE_Pot!$A$2:$B$321,2,FALSE),"0.000"),"")</f>
        <v/>
      </c>
      <c r="I126" s="11" t="str">
        <f>IF($B126&lt;&gt;"",TEXT(1-manut_MP($B126,I$1,I$2)/VLOOKUP(VALUE(MID($A126,5,3)),BASE_Pot!$A$2:$B$321,2,FALSE),"0.000"),"")</f>
        <v/>
      </c>
      <c r="J126" t="str">
        <f>""</f>
        <v/>
      </c>
      <c r="L126" t="str">
        <f t="shared" si="6"/>
        <v>&amp;ITAUBA</v>
      </c>
    </row>
    <row r="127" spans="1:12" x14ac:dyDescent="0.25">
      <c r="A127" t="s">
        <v>545</v>
      </c>
      <c r="B127" t="str">
        <f t="shared" si="5"/>
        <v>113-H</v>
      </c>
      <c r="C127" s="11" t="str">
        <f>IF($B127&lt;&gt;"",TEXT(1-manut_MP($B127,C$1,C$2)/VLOOKUP(VALUE(MID($A127,5,3)),BASE_Pot!$A$2:$B$321,2,FALSE),"0.000"),"")</f>
        <v>1.000</v>
      </c>
      <c r="D127" s="11" t="str">
        <f>IF($B127&lt;&gt;"",TEXT(1-manut_MP($B127,D$1,D$2)/VLOOKUP(VALUE(MID($A127,5,3)),BASE_Pot!$A$2:$B$321,2,FALSE),"0.000"),"")</f>
        <v>1.000</v>
      </c>
      <c r="E127" s="11" t="str">
        <f>IF($B127&lt;&gt;"",TEXT(1-manut_MP($B127,E$1,E$2)/VLOOKUP(VALUE(MID($A127,5,3)),BASE_Pot!$A$2:$B$321,2,FALSE),"0.000"),"")</f>
        <v>1.000</v>
      </c>
      <c r="F127" s="11" t="str">
        <f>IF($B127&lt;&gt;"",TEXT(1-manut_MP($B127,F$1,F$2)/VLOOKUP(VALUE(MID($A127,5,3)),BASE_Pot!$A$2:$B$321,2,FALSE),"0.000"),"")</f>
        <v>1.000</v>
      </c>
      <c r="G127" s="11" t="str">
        <f>IF($B127&lt;&gt;"",TEXT(1-manut_MP($B127,G$1,G$2)/VLOOKUP(VALUE(MID($A127,5,3)),BASE_Pot!$A$2:$B$321,2,FALSE),"0.000"),"")</f>
        <v>1.000</v>
      </c>
      <c r="H127" s="11" t="str">
        <f>IF($B127&lt;&gt;"",TEXT(1-manut_MP($B127,H$1,H$2)/VLOOKUP(VALUE(MID($A127,5,3)),BASE_Pot!$A$2:$B$321,2,FALSE),"0.000"),"")</f>
        <v>1.000</v>
      </c>
      <c r="I127" s="11" t="str">
        <f>IF($B127&lt;&gt;"",TEXT(1-manut_MP($B127,I$1,I$2)/VLOOKUP(VALUE(MID($A127,5,3)),BASE_Pot!$A$2:$B$321,2,FALSE),"0.000"),"")</f>
        <v>1.000</v>
      </c>
      <c r="J127" t="str">
        <f>""</f>
        <v/>
      </c>
      <c r="L127" t="str">
        <f t="shared" si="6"/>
        <v>MP  113  1.0001.0001.0001.0001.0001.0001.000</v>
      </c>
    </row>
    <row r="128" spans="1:12" x14ac:dyDescent="0.25">
      <c r="A128" t="s">
        <v>359</v>
      </c>
      <c r="B128" t="str">
        <f t="shared" si="5"/>
        <v/>
      </c>
      <c r="C128" s="11" t="str">
        <f>IF($B128&lt;&gt;"",TEXT(1-manut_MP($B128,C$1,C$2)/VLOOKUP(VALUE(MID($A128,5,3)),BASE_Pot!$A$2:$B$321,2,FALSE),"0.000"),"")</f>
        <v/>
      </c>
      <c r="D128" s="11" t="str">
        <f>IF($B128&lt;&gt;"",TEXT(1-manut_MP($B128,D$1,D$2)/VLOOKUP(VALUE(MID($A128,5,3)),BASE_Pot!$A$2:$B$321,2,FALSE),"0.000"),"")</f>
        <v/>
      </c>
      <c r="E128" s="11" t="str">
        <f>IF($B128&lt;&gt;"",TEXT(1-manut_MP($B128,E$1,E$2)/VLOOKUP(VALUE(MID($A128,5,3)),BASE_Pot!$A$2:$B$321,2,FALSE),"0.000"),"")</f>
        <v/>
      </c>
      <c r="F128" s="11" t="str">
        <f>IF($B128&lt;&gt;"",TEXT(1-manut_MP($B128,F$1,F$2)/VLOOKUP(VALUE(MID($A128,5,3)),BASE_Pot!$A$2:$B$321,2,FALSE),"0.000"),"")</f>
        <v/>
      </c>
      <c r="G128" s="11" t="str">
        <f>IF($B128&lt;&gt;"",TEXT(1-manut_MP($B128,G$1,G$2)/VLOOKUP(VALUE(MID($A128,5,3)),BASE_Pot!$A$2:$B$321,2,FALSE),"0.000"),"")</f>
        <v/>
      </c>
      <c r="H128" s="11" t="str">
        <f>IF($B128&lt;&gt;"",TEXT(1-manut_MP($B128,H$1,H$2)/VLOOKUP(VALUE(MID($A128,5,3)),BASE_Pot!$A$2:$B$321,2,FALSE),"0.000"),"")</f>
        <v/>
      </c>
      <c r="I128" s="11" t="str">
        <f>IF($B128&lt;&gt;"",TEXT(1-manut_MP($B128,I$1,I$2)/VLOOKUP(VALUE(MID($A128,5,3)),BASE_Pot!$A$2:$B$321,2,FALSE),"0.000"),"")</f>
        <v/>
      </c>
      <c r="J128" t="str">
        <f>""</f>
        <v/>
      </c>
      <c r="L128" t="str">
        <f t="shared" si="6"/>
        <v>&amp;D. FRANCISCA</v>
      </c>
    </row>
    <row r="129" spans="1:12" x14ac:dyDescent="0.25">
      <c r="A129" t="s">
        <v>546</v>
      </c>
      <c r="B129" t="str">
        <f t="shared" si="5"/>
        <v>114-H</v>
      </c>
      <c r="C129" s="11" t="str">
        <f>IF($B129&lt;&gt;"",TEXT(1-manut_MP($B129,C$1,C$2)/VLOOKUP(VALUE(MID($A129,5,3)),BASE_Pot!$A$2:$B$321,2,FALSE),"0.000"),"")</f>
        <v>1.000</v>
      </c>
      <c r="D129" s="11" t="str">
        <f>IF($B129&lt;&gt;"",TEXT(1-manut_MP($B129,D$1,D$2)/VLOOKUP(VALUE(MID($A129,5,3)),BASE_Pot!$A$2:$B$321,2,FALSE),"0.000"),"")</f>
        <v>1.000</v>
      </c>
      <c r="E129" s="11" t="str">
        <f>IF($B129&lt;&gt;"",TEXT(1-manut_MP($B129,E$1,E$2)/VLOOKUP(VALUE(MID($A129,5,3)),BASE_Pot!$A$2:$B$321,2,FALSE),"0.000"),"")</f>
        <v>1.000</v>
      </c>
      <c r="F129" s="11" t="str">
        <f>IF($B129&lt;&gt;"",TEXT(1-manut_MP($B129,F$1,F$2)/VLOOKUP(VALUE(MID($A129,5,3)),BASE_Pot!$A$2:$B$321,2,FALSE),"0.000"),"")</f>
        <v>1.000</v>
      </c>
      <c r="G129" s="11" t="str">
        <f>IF($B129&lt;&gt;"",TEXT(1-manut_MP($B129,G$1,G$2)/VLOOKUP(VALUE(MID($A129,5,3)),BASE_Pot!$A$2:$B$321,2,FALSE),"0.000"),"")</f>
        <v>1.000</v>
      </c>
      <c r="H129" s="11" t="str">
        <f>IF($B129&lt;&gt;"",TEXT(1-manut_MP($B129,H$1,H$2)/VLOOKUP(VALUE(MID($A129,5,3)),BASE_Pot!$A$2:$B$321,2,FALSE),"0.000"),"")</f>
        <v>1.000</v>
      </c>
      <c r="I129" s="11" t="str">
        <f>IF($B129&lt;&gt;"",TEXT(1-manut_MP($B129,I$1,I$2)/VLOOKUP(VALUE(MID($A129,5,3)),BASE_Pot!$A$2:$B$321,2,FALSE),"0.000"),"")</f>
        <v>1.000</v>
      </c>
      <c r="J129" t="str">
        <f>""</f>
        <v/>
      </c>
      <c r="L129" t="str">
        <f t="shared" si="6"/>
        <v>MP  114  1.0001.0001.0001.0001.0001.0001.000</v>
      </c>
    </row>
    <row r="130" spans="1:12" x14ac:dyDescent="0.25">
      <c r="A130" t="s">
        <v>304</v>
      </c>
      <c r="B130" t="str">
        <f t="shared" si="5"/>
        <v/>
      </c>
      <c r="C130" s="11" t="str">
        <f>IF($B130&lt;&gt;"",TEXT(1-manut_MP($B130,C$1,C$2)/VLOOKUP(VALUE(MID($A130,5,3)),BASE_Pot!$A$2:$B$321,2,FALSE),"0.000"),"")</f>
        <v/>
      </c>
      <c r="D130" s="11" t="str">
        <f>IF($B130&lt;&gt;"",TEXT(1-manut_MP($B130,D$1,D$2)/VLOOKUP(VALUE(MID($A130,5,3)),BASE_Pot!$A$2:$B$321,2,FALSE),"0.000"),"")</f>
        <v/>
      </c>
      <c r="E130" s="11" t="str">
        <f>IF($B130&lt;&gt;"",TEXT(1-manut_MP($B130,E$1,E$2)/VLOOKUP(VALUE(MID($A130,5,3)),BASE_Pot!$A$2:$B$321,2,FALSE),"0.000"),"")</f>
        <v/>
      </c>
      <c r="F130" s="11" t="str">
        <f>IF($B130&lt;&gt;"",TEXT(1-manut_MP($B130,F$1,F$2)/VLOOKUP(VALUE(MID($A130,5,3)),BASE_Pot!$A$2:$B$321,2,FALSE),"0.000"),"")</f>
        <v/>
      </c>
      <c r="G130" s="11" t="str">
        <f>IF($B130&lt;&gt;"",TEXT(1-manut_MP($B130,G$1,G$2)/VLOOKUP(VALUE(MID($A130,5,3)),BASE_Pot!$A$2:$B$321,2,FALSE),"0.000"),"")</f>
        <v/>
      </c>
      <c r="H130" s="11" t="str">
        <f>IF($B130&lt;&gt;"",TEXT(1-manut_MP($B130,H$1,H$2)/VLOOKUP(VALUE(MID($A130,5,3)),BASE_Pot!$A$2:$B$321,2,FALSE),"0.000"),"")</f>
        <v/>
      </c>
      <c r="I130" s="11" t="str">
        <f>IF($B130&lt;&gt;"",TEXT(1-manut_MP($B130,I$1,I$2)/VLOOKUP(VALUE(MID($A130,5,3)),BASE_Pot!$A$2:$B$321,2,FALSE),"0.000"),"")</f>
        <v/>
      </c>
      <c r="J130" t="str">
        <f>""</f>
        <v/>
      </c>
      <c r="L130" t="str">
        <f t="shared" si="6"/>
        <v>&amp;.................................</v>
      </c>
    </row>
    <row r="131" spans="1:12" x14ac:dyDescent="0.25">
      <c r="A131" t="s">
        <v>360</v>
      </c>
      <c r="B131" t="str">
        <f t="shared" si="5"/>
        <v/>
      </c>
      <c r="C131" s="11" t="str">
        <f>IF($B131&lt;&gt;"",TEXT(1-manut_MP($B131,C$1,C$2)/VLOOKUP(VALUE(MID($A131,5,3)),BASE_Pot!$A$2:$B$321,2,FALSE),"0.000"),"")</f>
        <v/>
      </c>
      <c r="D131" s="11" t="str">
        <f>IF($B131&lt;&gt;"",TEXT(1-manut_MP($B131,D$1,D$2)/VLOOKUP(VALUE(MID($A131,5,3)),BASE_Pot!$A$2:$B$321,2,FALSE),"0.000"),"")</f>
        <v/>
      </c>
      <c r="E131" s="11" t="str">
        <f>IF($B131&lt;&gt;"",TEXT(1-manut_MP($B131,E$1,E$2)/VLOOKUP(VALUE(MID($A131,5,3)),BASE_Pot!$A$2:$B$321,2,FALSE),"0.000"),"")</f>
        <v/>
      </c>
      <c r="F131" s="11" t="str">
        <f>IF($B131&lt;&gt;"",TEXT(1-manut_MP($B131,F$1,F$2)/VLOOKUP(VALUE(MID($A131,5,3)),BASE_Pot!$A$2:$B$321,2,FALSE),"0.000"),"")</f>
        <v/>
      </c>
      <c r="G131" s="11" t="str">
        <f>IF($B131&lt;&gt;"",TEXT(1-manut_MP($B131,G$1,G$2)/VLOOKUP(VALUE(MID($A131,5,3)),BASE_Pot!$A$2:$B$321,2,FALSE),"0.000"),"")</f>
        <v/>
      </c>
      <c r="H131" s="11" t="str">
        <f>IF($B131&lt;&gt;"",TEXT(1-manut_MP($B131,H$1,H$2)/VLOOKUP(VALUE(MID($A131,5,3)),BASE_Pot!$A$2:$B$321,2,FALSE),"0.000"),"")</f>
        <v/>
      </c>
      <c r="I131" s="11" t="str">
        <f>IF($B131&lt;&gt;"",TEXT(1-manut_MP($B131,I$1,I$2)/VLOOKUP(VALUE(MID($A131,5,3)),BASE_Pot!$A$2:$B$321,2,FALSE),"0.000"),"")</f>
        <v/>
      </c>
      <c r="J131" t="str">
        <f>""</f>
        <v/>
      </c>
      <c r="L131" t="str">
        <f t="shared" si="6"/>
        <v>&amp;         COPEL</v>
      </c>
    </row>
    <row r="132" spans="1:12" x14ac:dyDescent="0.25">
      <c r="A132" t="s">
        <v>304</v>
      </c>
      <c r="B132" t="str">
        <f t="shared" ref="B132:B195" si="7">IF(LEFT(A132,1)="&amp;","",MID(A132,5,3)&amp;"-H")</f>
        <v/>
      </c>
      <c r="C132" s="11" t="str">
        <f>IF($B132&lt;&gt;"",TEXT(1-manut_MP($B132,C$1,C$2)/VLOOKUP(VALUE(MID($A132,5,3)),BASE_Pot!$A$2:$B$321,2,FALSE),"0.000"),"")</f>
        <v/>
      </c>
      <c r="D132" s="11" t="str">
        <f>IF($B132&lt;&gt;"",TEXT(1-manut_MP($B132,D$1,D$2)/VLOOKUP(VALUE(MID($A132,5,3)),BASE_Pot!$A$2:$B$321,2,FALSE),"0.000"),"")</f>
        <v/>
      </c>
      <c r="E132" s="11" t="str">
        <f>IF($B132&lt;&gt;"",TEXT(1-manut_MP($B132,E$1,E$2)/VLOOKUP(VALUE(MID($A132,5,3)),BASE_Pot!$A$2:$B$321,2,FALSE),"0.000"),"")</f>
        <v/>
      </c>
      <c r="F132" s="11" t="str">
        <f>IF($B132&lt;&gt;"",TEXT(1-manut_MP($B132,F$1,F$2)/VLOOKUP(VALUE(MID($A132,5,3)),BASE_Pot!$A$2:$B$321,2,FALSE),"0.000"),"")</f>
        <v/>
      </c>
      <c r="G132" s="11" t="str">
        <f>IF($B132&lt;&gt;"",TEXT(1-manut_MP($B132,G$1,G$2)/VLOOKUP(VALUE(MID($A132,5,3)),BASE_Pot!$A$2:$B$321,2,FALSE),"0.000"),"")</f>
        <v/>
      </c>
      <c r="H132" s="11" t="str">
        <f>IF($B132&lt;&gt;"",TEXT(1-manut_MP($B132,H$1,H$2)/VLOOKUP(VALUE(MID($A132,5,3)),BASE_Pot!$A$2:$B$321,2,FALSE),"0.000"),"")</f>
        <v/>
      </c>
      <c r="I132" s="11" t="str">
        <f>IF($B132&lt;&gt;"",TEXT(1-manut_MP($B132,I$1,I$2)/VLOOKUP(VALUE(MID($A132,5,3)),BASE_Pot!$A$2:$B$321,2,FALSE),"0.000"),"")</f>
        <v/>
      </c>
      <c r="J132" t="str">
        <f>""</f>
        <v/>
      </c>
      <c r="L132" t="str">
        <f t="shared" si="6"/>
        <v>&amp;.................................</v>
      </c>
    </row>
    <row r="133" spans="1:12" x14ac:dyDescent="0.25">
      <c r="A133" t="s">
        <v>361</v>
      </c>
      <c r="B133" t="str">
        <f t="shared" si="7"/>
        <v/>
      </c>
      <c r="C133" s="11" t="str">
        <f>IF($B133&lt;&gt;"",TEXT(1-manut_MP($B133,C$1,C$2)/VLOOKUP(VALUE(MID($A133,5,3)),BASE_Pot!$A$2:$B$321,2,FALSE),"0.000"),"")</f>
        <v/>
      </c>
      <c r="D133" s="11" t="str">
        <f>IF($B133&lt;&gt;"",TEXT(1-manut_MP($B133,D$1,D$2)/VLOOKUP(VALUE(MID($A133,5,3)),BASE_Pot!$A$2:$B$321,2,FALSE),"0.000"),"")</f>
        <v/>
      </c>
      <c r="E133" s="11" t="str">
        <f>IF($B133&lt;&gt;"",TEXT(1-manut_MP($B133,E$1,E$2)/VLOOKUP(VALUE(MID($A133,5,3)),BASE_Pot!$A$2:$B$321,2,FALSE),"0.000"),"")</f>
        <v/>
      </c>
      <c r="F133" s="11" t="str">
        <f>IF($B133&lt;&gt;"",TEXT(1-manut_MP($B133,F$1,F$2)/VLOOKUP(VALUE(MID($A133,5,3)),BASE_Pot!$A$2:$B$321,2,FALSE),"0.000"),"")</f>
        <v/>
      </c>
      <c r="G133" s="11" t="str">
        <f>IF($B133&lt;&gt;"",TEXT(1-manut_MP($B133,G$1,G$2)/VLOOKUP(VALUE(MID($A133,5,3)),BASE_Pot!$A$2:$B$321,2,FALSE),"0.000"),"")</f>
        <v/>
      </c>
      <c r="H133" s="11" t="str">
        <f>IF($B133&lt;&gt;"",TEXT(1-manut_MP($B133,H$1,H$2)/VLOOKUP(VALUE(MID($A133,5,3)),BASE_Pot!$A$2:$B$321,2,FALSE),"0.000"),"")</f>
        <v/>
      </c>
      <c r="I133" s="11" t="str">
        <f>IF($B133&lt;&gt;"",TEXT(1-manut_MP($B133,I$1,I$2)/VLOOKUP(VALUE(MID($A133,5,3)),BASE_Pot!$A$2:$B$321,2,FALSE),"0.000"),"")</f>
        <v/>
      </c>
      <c r="J133" t="str">
        <f>""</f>
        <v/>
      </c>
      <c r="L133" t="str">
        <f t="shared" si="6"/>
        <v>&amp;MAUA</v>
      </c>
    </row>
    <row r="134" spans="1:12" x14ac:dyDescent="0.25">
      <c r="A134" t="s">
        <v>547</v>
      </c>
      <c r="B134" t="str">
        <f t="shared" si="7"/>
        <v xml:space="preserve"> 57-H</v>
      </c>
      <c r="C134" s="11" t="str">
        <f>IF($B134&lt;&gt;"",TEXT(1-manut_MP($B134,C$1,C$2)/VLOOKUP(VALUE(MID($A134,5,3)),BASE_Pot!$A$2:$B$321,2,FALSE),"0.000"),"")</f>
        <v>1.000</v>
      </c>
      <c r="D134" s="11" t="str">
        <f>IF($B134&lt;&gt;"",TEXT(1-manut_MP($B134,D$1,D$2)/VLOOKUP(VALUE(MID($A134,5,3)),BASE_Pot!$A$2:$B$321,2,FALSE),"0.000"),"")</f>
        <v>1.000</v>
      </c>
      <c r="E134" s="11" t="str">
        <f>IF($B134&lt;&gt;"",TEXT(1-manut_MP($B134,E$1,E$2)/VLOOKUP(VALUE(MID($A134,5,3)),BASE_Pot!$A$2:$B$321,2,FALSE),"0.000"),"")</f>
        <v>1.000</v>
      </c>
      <c r="F134" s="11" t="str">
        <f>IF($B134&lt;&gt;"",TEXT(1-manut_MP($B134,F$1,F$2)/VLOOKUP(VALUE(MID($A134,5,3)),BASE_Pot!$A$2:$B$321,2,FALSE),"0.000"),"")</f>
        <v>1.000</v>
      </c>
      <c r="G134" s="11" t="str">
        <f>IF($B134&lt;&gt;"",TEXT(1-manut_MP($B134,G$1,G$2)/VLOOKUP(VALUE(MID($A134,5,3)),BASE_Pot!$A$2:$B$321,2,FALSE),"0.000"),"")</f>
        <v>1.000</v>
      </c>
      <c r="H134" s="11" t="str">
        <f>IF($B134&lt;&gt;"",TEXT(1-manut_MP($B134,H$1,H$2)/VLOOKUP(VALUE(MID($A134,5,3)),BASE_Pot!$A$2:$B$321,2,FALSE),"0.000"),"")</f>
        <v>1.000</v>
      </c>
      <c r="I134" s="11" t="str">
        <f>IF($B134&lt;&gt;"",TEXT(1-manut_MP($B134,I$1,I$2)/VLOOKUP(VALUE(MID($A134,5,3)),BASE_Pot!$A$2:$B$321,2,FALSE),"0.000"),"")</f>
        <v>1.000</v>
      </c>
      <c r="J134" t="str">
        <f>""</f>
        <v/>
      </c>
      <c r="L134" t="str">
        <f t="shared" si="6"/>
        <v>MP   57  1.0001.0001.0001.0001.0001.0001.000</v>
      </c>
    </row>
    <row r="135" spans="1:12" x14ac:dyDescent="0.25">
      <c r="A135" t="s">
        <v>362</v>
      </c>
      <c r="B135" t="str">
        <f t="shared" si="7"/>
        <v/>
      </c>
      <c r="C135" s="11" t="str">
        <f>IF($B135&lt;&gt;"",TEXT(1-manut_MP($B135,C$1,C$2)/VLOOKUP(VALUE(MID($A135,5,3)),BASE_Pot!$A$2:$B$321,2,FALSE),"0.000"),"")</f>
        <v/>
      </c>
      <c r="D135" s="11" t="str">
        <f>IF($B135&lt;&gt;"",TEXT(1-manut_MP($B135,D$1,D$2)/VLOOKUP(VALUE(MID($A135,5,3)),BASE_Pot!$A$2:$B$321,2,FALSE),"0.000"),"")</f>
        <v/>
      </c>
      <c r="E135" s="11" t="str">
        <f>IF($B135&lt;&gt;"",TEXT(1-manut_MP($B135,E$1,E$2)/VLOOKUP(VALUE(MID($A135,5,3)),BASE_Pot!$A$2:$B$321,2,FALSE),"0.000"),"")</f>
        <v/>
      </c>
      <c r="F135" s="11" t="str">
        <f>IF($B135&lt;&gt;"",TEXT(1-manut_MP($B135,F$1,F$2)/VLOOKUP(VALUE(MID($A135,5,3)),BASE_Pot!$A$2:$B$321,2,FALSE),"0.000"),"")</f>
        <v/>
      </c>
      <c r="G135" s="11" t="str">
        <f>IF($B135&lt;&gt;"",TEXT(1-manut_MP($B135,G$1,G$2)/VLOOKUP(VALUE(MID($A135,5,3)),BASE_Pot!$A$2:$B$321,2,FALSE),"0.000"),"")</f>
        <v/>
      </c>
      <c r="H135" s="11" t="str">
        <f>IF($B135&lt;&gt;"",TEXT(1-manut_MP($B135,H$1,H$2)/VLOOKUP(VALUE(MID($A135,5,3)),BASE_Pot!$A$2:$B$321,2,FALSE),"0.000"),"")</f>
        <v/>
      </c>
      <c r="I135" s="11" t="str">
        <f>IF($B135&lt;&gt;"",TEXT(1-manut_MP($B135,I$1,I$2)/VLOOKUP(VALUE(MID($A135,5,3)),BASE_Pot!$A$2:$B$321,2,FALSE),"0.000"),"")</f>
        <v/>
      </c>
      <c r="J135" t="str">
        <f>""</f>
        <v/>
      </c>
      <c r="L135" t="str">
        <f t="shared" si="6"/>
        <v>&amp;STA CLARA PR</v>
      </c>
    </row>
    <row r="136" spans="1:12" x14ac:dyDescent="0.25">
      <c r="A136" t="s">
        <v>548</v>
      </c>
      <c r="B136" t="str">
        <f t="shared" si="7"/>
        <v xml:space="preserve"> 71-H</v>
      </c>
      <c r="C136" s="11" t="str">
        <f>IF($B136&lt;&gt;"",TEXT(1-manut_MP($B136,C$1,C$2)/VLOOKUP(VALUE(MID($A136,5,3)),BASE_Pot!$A$2:$B$321,2,FALSE),"0.000"),"")</f>
        <v>1.000</v>
      </c>
      <c r="D136" s="11" t="str">
        <f>IF($B136&lt;&gt;"",TEXT(1-manut_MP($B136,D$1,D$2)/VLOOKUP(VALUE(MID($A136,5,3)),BASE_Pot!$A$2:$B$321,2,FALSE),"0.000"),"")</f>
        <v>1.000</v>
      </c>
      <c r="E136" s="11" t="str">
        <f>IF($B136&lt;&gt;"",TEXT(1-manut_MP($B136,E$1,E$2)/VLOOKUP(VALUE(MID($A136,5,3)),BASE_Pot!$A$2:$B$321,2,FALSE),"0.000"),"")</f>
        <v>1.000</v>
      </c>
      <c r="F136" s="11" t="str">
        <f>IF($B136&lt;&gt;"",TEXT(1-manut_MP($B136,F$1,F$2)/VLOOKUP(VALUE(MID($A136,5,3)),BASE_Pot!$A$2:$B$321,2,FALSE),"0.000"),"")</f>
        <v>1.000</v>
      </c>
      <c r="G136" s="11" t="str">
        <f>IF($B136&lt;&gt;"",TEXT(1-manut_MP($B136,G$1,G$2)/VLOOKUP(VALUE(MID($A136,5,3)),BASE_Pot!$A$2:$B$321,2,FALSE),"0.000"),"")</f>
        <v>1.000</v>
      </c>
      <c r="H136" s="11" t="str">
        <f>IF($B136&lt;&gt;"",TEXT(1-manut_MP($B136,H$1,H$2)/VLOOKUP(VALUE(MID($A136,5,3)),BASE_Pot!$A$2:$B$321,2,FALSE),"0.000"),"")</f>
        <v>1.000</v>
      </c>
      <c r="I136" s="11" t="str">
        <f>IF($B136&lt;&gt;"",TEXT(1-manut_MP($B136,I$1,I$2)/VLOOKUP(VALUE(MID($A136,5,3)),BASE_Pot!$A$2:$B$321,2,FALSE),"0.000"),"")</f>
        <v>1.000</v>
      </c>
      <c r="J136" t="str">
        <f>""</f>
        <v/>
      </c>
      <c r="L136" t="str">
        <f t="shared" si="6"/>
        <v>MP   71  1.0001.0001.0001.0001.0001.0001.000</v>
      </c>
    </row>
    <row r="137" spans="1:12" x14ac:dyDescent="0.25">
      <c r="A137" t="s">
        <v>363</v>
      </c>
      <c r="B137" t="str">
        <f t="shared" si="7"/>
        <v/>
      </c>
      <c r="C137" s="11" t="str">
        <f>IF($B137&lt;&gt;"",TEXT(1-manut_MP($B137,C$1,C$2)/VLOOKUP(VALUE(MID($A137,5,3)),BASE_Pot!$A$2:$B$321,2,FALSE),"0.000"),"")</f>
        <v/>
      </c>
      <c r="D137" s="11" t="str">
        <f>IF($B137&lt;&gt;"",TEXT(1-manut_MP($B137,D$1,D$2)/VLOOKUP(VALUE(MID($A137,5,3)),BASE_Pot!$A$2:$B$321,2,FALSE),"0.000"),"")</f>
        <v/>
      </c>
      <c r="E137" s="11" t="str">
        <f>IF($B137&lt;&gt;"",TEXT(1-manut_MP($B137,E$1,E$2)/VLOOKUP(VALUE(MID($A137,5,3)),BASE_Pot!$A$2:$B$321,2,FALSE),"0.000"),"")</f>
        <v/>
      </c>
      <c r="F137" s="11" t="str">
        <f>IF($B137&lt;&gt;"",TEXT(1-manut_MP($B137,F$1,F$2)/VLOOKUP(VALUE(MID($A137,5,3)),BASE_Pot!$A$2:$B$321,2,FALSE),"0.000"),"")</f>
        <v/>
      </c>
      <c r="G137" s="11" t="str">
        <f>IF($B137&lt;&gt;"",TEXT(1-manut_MP($B137,G$1,G$2)/VLOOKUP(VALUE(MID($A137,5,3)),BASE_Pot!$A$2:$B$321,2,FALSE),"0.000"),"")</f>
        <v/>
      </c>
      <c r="H137" s="11" t="str">
        <f>IF($B137&lt;&gt;"",TEXT(1-manut_MP($B137,H$1,H$2)/VLOOKUP(VALUE(MID($A137,5,3)),BASE_Pot!$A$2:$B$321,2,FALSE),"0.000"),"")</f>
        <v/>
      </c>
      <c r="I137" s="11" t="str">
        <f>IF($B137&lt;&gt;"",TEXT(1-manut_MP($B137,I$1,I$2)/VLOOKUP(VALUE(MID($A137,5,3)),BASE_Pot!$A$2:$B$321,2,FALSE),"0.000"),"")</f>
        <v/>
      </c>
      <c r="J137" t="str">
        <f>""</f>
        <v/>
      </c>
      <c r="L137" t="str">
        <f t="shared" si="6"/>
        <v>&amp;FUNDAO</v>
      </c>
    </row>
    <row r="138" spans="1:12" x14ac:dyDescent="0.25">
      <c r="A138" t="s">
        <v>549</v>
      </c>
      <c r="B138" t="str">
        <f t="shared" si="7"/>
        <v xml:space="preserve"> 72-H</v>
      </c>
      <c r="C138" s="11" t="str">
        <f>IF($B138&lt;&gt;"",TEXT(1-manut_MP($B138,C$1,C$2)/VLOOKUP(VALUE(MID($A138,5,3)),BASE_Pot!$A$2:$B$321,2,FALSE),"0.000"),"")</f>
        <v>1.000</v>
      </c>
      <c r="D138" s="11" t="str">
        <f>IF($B138&lt;&gt;"",TEXT(1-manut_MP($B138,D$1,D$2)/VLOOKUP(VALUE(MID($A138,5,3)),BASE_Pot!$A$2:$B$321,2,FALSE),"0.000"),"")</f>
        <v>1.000</v>
      </c>
      <c r="E138" s="11" t="str">
        <f>IF($B138&lt;&gt;"",TEXT(1-manut_MP($B138,E$1,E$2)/VLOOKUP(VALUE(MID($A138,5,3)),BASE_Pot!$A$2:$B$321,2,FALSE),"0.000"),"")</f>
        <v>1.000</v>
      </c>
      <c r="F138" s="11" t="str">
        <f>IF($B138&lt;&gt;"",TEXT(1-manut_MP($B138,F$1,F$2)/VLOOKUP(VALUE(MID($A138,5,3)),BASE_Pot!$A$2:$B$321,2,FALSE),"0.000"),"")</f>
        <v>1.000</v>
      </c>
      <c r="G138" s="11" t="str">
        <f>IF($B138&lt;&gt;"",TEXT(1-manut_MP($B138,G$1,G$2)/VLOOKUP(VALUE(MID($A138,5,3)),BASE_Pot!$A$2:$B$321,2,FALSE),"0.000"),"")</f>
        <v>1.000</v>
      </c>
      <c r="H138" s="11" t="str">
        <f>IF($B138&lt;&gt;"",TEXT(1-manut_MP($B138,H$1,H$2)/VLOOKUP(VALUE(MID($A138,5,3)),BASE_Pot!$A$2:$B$321,2,FALSE),"0.000"),"")</f>
        <v>1.000</v>
      </c>
      <c r="I138" s="11" t="str">
        <f>IF($B138&lt;&gt;"",TEXT(1-manut_MP($B138,I$1,I$2)/VLOOKUP(VALUE(MID($A138,5,3)),BASE_Pot!$A$2:$B$321,2,FALSE),"0.000"),"")</f>
        <v>1.000</v>
      </c>
      <c r="J138" t="str">
        <f>""</f>
        <v/>
      </c>
      <c r="L138" t="str">
        <f t="shared" si="6"/>
        <v>MP   72  1.0001.0001.0001.0001.0001.0001.000</v>
      </c>
    </row>
    <row r="139" spans="1:12" x14ac:dyDescent="0.25">
      <c r="A139" t="s">
        <v>364</v>
      </c>
      <c r="B139" t="str">
        <f t="shared" si="7"/>
        <v/>
      </c>
      <c r="C139" s="11" t="str">
        <f>IF($B139&lt;&gt;"",TEXT(1-manut_MP($B139,C$1,C$2)/VLOOKUP(VALUE(MID($A139,5,3)),BASE_Pot!$A$2:$B$321,2,FALSE),"0.000"),"")</f>
        <v/>
      </c>
      <c r="D139" s="11" t="str">
        <f>IF($B139&lt;&gt;"",TEXT(1-manut_MP($B139,D$1,D$2)/VLOOKUP(VALUE(MID($A139,5,3)),BASE_Pot!$A$2:$B$321,2,FALSE),"0.000"),"")</f>
        <v/>
      </c>
      <c r="E139" s="11" t="str">
        <f>IF($B139&lt;&gt;"",TEXT(1-manut_MP($B139,E$1,E$2)/VLOOKUP(VALUE(MID($A139,5,3)),BASE_Pot!$A$2:$B$321,2,FALSE),"0.000"),"")</f>
        <v/>
      </c>
      <c r="F139" s="11" t="str">
        <f>IF($B139&lt;&gt;"",TEXT(1-manut_MP($B139,F$1,F$2)/VLOOKUP(VALUE(MID($A139,5,3)),BASE_Pot!$A$2:$B$321,2,FALSE),"0.000"),"")</f>
        <v/>
      </c>
      <c r="G139" s="11" t="str">
        <f>IF($B139&lt;&gt;"",TEXT(1-manut_MP($B139,G$1,G$2)/VLOOKUP(VALUE(MID($A139,5,3)),BASE_Pot!$A$2:$B$321,2,FALSE),"0.000"),"")</f>
        <v/>
      </c>
      <c r="H139" s="11" t="str">
        <f>IF($B139&lt;&gt;"",TEXT(1-manut_MP($B139,H$1,H$2)/VLOOKUP(VALUE(MID($A139,5,3)),BASE_Pot!$A$2:$B$321,2,FALSE),"0.000"),"")</f>
        <v/>
      </c>
      <c r="I139" s="11" t="str">
        <f>IF($B139&lt;&gt;"",TEXT(1-manut_MP($B139,I$1,I$2)/VLOOKUP(VALUE(MID($A139,5,3)),BASE_Pot!$A$2:$B$321,2,FALSE),"0.000"),"")</f>
        <v/>
      </c>
      <c r="J139" t="str">
        <f>""</f>
        <v/>
      </c>
      <c r="L139" t="str">
        <f t="shared" si="6"/>
        <v>&amp;G.B. MUNHOZ</v>
      </c>
    </row>
    <row r="140" spans="1:12" x14ac:dyDescent="0.25">
      <c r="A140" t="s">
        <v>550</v>
      </c>
      <c r="B140" t="str">
        <f t="shared" si="7"/>
        <v xml:space="preserve"> 74-H</v>
      </c>
      <c r="C140" s="11" t="str">
        <f>IF($B140&lt;&gt;"",TEXT(1-manut_MP($B140,C$1,C$2)/VLOOKUP(VALUE(MID($A140,5,3)),BASE_Pot!$A$2:$B$321,2,FALSE),"0.000"),"")</f>
        <v>1.000</v>
      </c>
      <c r="D140" s="11" t="str">
        <f>IF($B140&lt;&gt;"",TEXT(1-manut_MP($B140,D$1,D$2)/VLOOKUP(VALUE(MID($A140,5,3)),BASE_Pot!$A$2:$B$321,2,FALSE),"0.000"),"")</f>
        <v>1.000</v>
      </c>
      <c r="E140" s="11" t="str">
        <f>IF($B140&lt;&gt;"",TEXT(1-manut_MP($B140,E$1,E$2)/VLOOKUP(VALUE(MID($A140,5,3)),BASE_Pot!$A$2:$B$321,2,FALSE),"0.000"),"")</f>
        <v>1.000</v>
      </c>
      <c r="F140" s="11" t="str">
        <f>IF($B140&lt;&gt;"",TEXT(1-manut_MP($B140,F$1,F$2)/VLOOKUP(VALUE(MID($A140,5,3)),BASE_Pot!$A$2:$B$321,2,FALSE),"0.000"),"")</f>
        <v>1.000</v>
      </c>
      <c r="G140" s="11" t="str">
        <f>IF($B140&lt;&gt;"",TEXT(1-manut_MP($B140,G$1,G$2)/VLOOKUP(VALUE(MID($A140,5,3)),BASE_Pot!$A$2:$B$321,2,FALSE),"0.000"),"")</f>
        <v>1.000</v>
      </c>
      <c r="H140" s="11" t="str">
        <f>IF($B140&lt;&gt;"",TEXT(1-manut_MP($B140,H$1,H$2)/VLOOKUP(VALUE(MID($A140,5,3)),BASE_Pot!$A$2:$B$321,2,FALSE),"0.000"),"")</f>
        <v>1.000</v>
      </c>
      <c r="I140" s="11" t="str">
        <f>IF($B140&lt;&gt;"",TEXT(1-manut_MP($B140,I$1,I$2)/VLOOKUP(VALUE(MID($A140,5,3)),BASE_Pot!$A$2:$B$321,2,FALSE),"0.000"),"")</f>
        <v>1.000</v>
      </c>
      <c r="J140" t="str">
        <f>""</f>
        <v/>
      </c>
      <c r="L140" t="str">
        <f t="shared" si="6"/>
        <v>MP   74  1.0001.0001.0001.0001.0001.0001.000</v>
      </c>
    </row>
    <row r="141" spans="1:12" x14ac:dyDescent="0.25">
      <c r="A141" t="s">
        <v>365</v>
      </c>
      <c r="B141" t="str">
        <f t="shared" si="7"/>
        <v/>
      </c>
      <c r="C141" s="11" t="str">
        <f>IF($B141&lt;&gt;"",TEXT(1-manut_MP($B141,C$1,C$2)/VLOOKUP(VALUE(MID($A141,5,3)),BASE_Pot!$A$2:$B$321,2,FALSE),"0.000"),"")</f>
        <v/>
      </c>
      <c r="D141" s="11" t="str">
        <f>IF($B141&lt;&gt;"",TEXT(1-manut_MP($B141,D$1,D$2)/VLOOKUP(VALUE(MID($A141,5,3)),BASE_Pot!$A$2:$B$321,2,FALSE),"0.000"),"")</f>
        <v/>
      </c>
      <c r="E141" s="11" t="str">
        <f>IF($B141&lt;&gt;"",TEXT(1-manut_MP($B141,E$1,E$2)/VLOOKUP(VALUE(MID($A141,5,3)),BASE_Pot!$A$2:$B$321,2,FALSE),"0.000"),"")</f>
        <v/>
      </c>
      <c r="F141" s="11" t="str">
        <f>IF($B141&lt;&gt;"",TEXT(1-manut_MP($B141,F$1,F$2)/VLOOKUP(VALUE(MID($A141,5,3)),BASE_Pot!$A$2:$B$321,2,FALSE),"0.000"),"")</f>
        <v/>
      </c>
      <c r="G141" s="11" t="str">
        <f>IF($B141&lt;&gt;"",TEXT(1-manut_MP($B141,G$1,G$2)/VLOOKUP(VALUE(MID($A141,5,3)),BASE_Pot!$A$2:$B$321,2,FALSE),"0.000"),"")</f>
        <v/>
      </c>
      <c r="H141" s="11" t="str">
        <f>IF($B141&lt;&gt;"",TEXT(1-manut_MP($B141,H$1,H$2)/VLOOKUP(VALUE(MID($A141,5,3)),BASE_Pot!$A$2:$B$321,2,FALSE),"0.000"),"")</f>
        <v/>
      </c>
      <c r="I141" s="11" t="str">
        <f>IF($B141&lt;&gt;"",TEXT(1-manut_MP($B141,I$1,I$2)/VLOOKUP(VALUE(MID($A141,5,3)),BASE_Pot!$A$2:$B$321,2,FALSE),"0.000"),"")</f>
        <v/>
      </c>
      <c r="J141" t="str">
        <f>""</f>
        <v/>
      </c>
      <c r="L141" t="str">
        <f t="shared" si="6"/>
        <v>&amp;SEGREDO</v>
      </c>
    </row>
    <row r="142" spans="1:12" x14ac:dyDescent="0.25">
      <c r="A142" t="s">
        <v>551</v>
      </c>
      <c r="B142" t="str">
        <f t="shared" si="7"/>
        <v xml:space="preserve"> 76-H</v>
      </c>
      <c r="C142" s="11" t="str">
        <f>IF($B142&lt;&gt;"",TEXT(1-manut_MP($B142,C$1,C$2)/VLOOKUP(VALUE(MID($A142,5,3)),BASE_Pot!$A$2:$B$321,2,FALSE),"0.000"),"")</f>
        <v>0.857</v>
      </c>
      <c r="D142" s="11" t="str">
        <f>IF($B142&lt;&gt;"",TEXT(1-manut_MP($B142,D$1,D$2)/VLOOKUP(VALUE(MID($A142,5,3)),BASE_Pot!$A$2:$B$321,2,FALSE),"0.000"),"")</f>
        <v>0.750</v>
      </c>
      <c r="E142" s="11" t="str">
        <f>IF($B142&lt;&gt;"",TEXT(1-manut_MP($B142,E$1,E$2)/VLOOKUP(VALUE(MID($A142,5,3)),BASE_Pot!$A$2:$B$321,2,FALSE),"0.000"),"")</f>
        <v>0.750</v>
      </c>
      <c r="F142" s="11" t="str">
        <f>IF($B142&lt;&gt;"",TEXT(1-manut_MP($B142,F$1,F$2)/VLOOKUP(VALUE(MID($A142,5,3)),BASE_Pot!$A$2:$B$321,2,FALSE),"0.000"),"")</f>
        <v>0.750</v>
      </c>
      <c r="G142" s="11" t="str">
        <f>IF($B142&lt;&gt;"",TEXT(1-manut_MP($B142,G$1,G$2)/VLOOKUP(VALUE(MID($A142,5,3)),BASE_Pot!$A$2:$B$321,2,FALSE),"0.000"),"")</f>
        <v>0.786</v>
      </c>
      <c r="H142" s="11" t="str">
        <f>IF($B142&lt;&gt;"",TEXT(1-manut_MP($B142,H$1,H$2)/VLOOKUP(VALUE(MID($A142,5,3)),BASE_Pot!$A$2:$B$321,2,FALSE),"0.000"),"")</f>
        <v>1.000</v>
      </c>
      <c r="I142" s="11" t="str">
        <f>IF($B142&lt;&gt;"",TEXT(1-manut_MP($B142,I$1,I$2)/VLOOKUP(VALUE(MID($A142,5,3)),BASE_Pot!$A$2:$B$321,2,FALSE),"0.000"),"")</f>
        <v>1.000</v>
      </c>
      <c r="J142" t="str">
        <f>""</f>
        <v/>
      </c>
      <c r="L142" t="str">
        <f t="shared" si="6"/>
        <v>MP   76  0.8570.7500.7500.7500.7861.0001.000</v>
      </c>
    </row>
    <row r="143" spans="1:12" x14ac:dyDescent="0.25">
      <c r="A143" t="s">
        <v>366</v>
      </c>
      <c r="B143" t="str">
        <f t="shared" si="7"/>
        <v/>
      </c>
      <c r="C143" s="11" t="str">
        <f>IF($B143&lt;&gt;"",TEXT(1-manut_MP($B143,C$1,C$2)/VLOOKUP(VALUE(MID($A143,5,3)),BASE_Pot!$A$2:$B$321,2,FALSE),"0.000"),"")</f>
        <v/>
      </c>
      <c r="D143" s="11" t="str">
        <f>IF($B143&lt;&gt;"",TEXT(1-manut_MP($B143,D$1,D$2)/VLOOKUP(VALUE(MID($A143,5,3)),BASE_Pot!$A$2:$B$321,2,FALSE),"0.000"),"")</f>
        <v/>
      </c>
      <c r="E143" s="11" t="str">
        <f>IF($B143&lt;&gt;"",TEXT(1-manut_MP($B143,E$1,E$2)/VLOOKUP(VALUE(MID($A143,5,3)),BASE_Pot!$A$2:$B$321,2,FALSE),"0.000"),"")</f>
        <v/>
      </c>
      <c r="F143" s="11" t="str">
        <f>IF($B143&lt;&gt;"",TEXT(1-manut_MP($B143,F$1,F$2)/VLOOKUP(VALUE(MID($A143,5,3)),BASE_Pot!$A$2:$B$321,2,FALSE),"0.000"),"")</f>
        <v/>
      </c>
      <c r="G143" s="11" t="str">
        <f>IF($B143&lt;&gt;"",TEXT(1-manut_MP($B143,G$1,G$2)/VLOOKUP(VALUE(MID($A143,5,3)),BASE_Pot!$A$2:$B$321,2,FALSE),"0.000"),"")</f>
        <v/>
      </c>
      <c r="H143" s="11" t="str">
        <f>IF($B143&lt;&gt;"",TEXT(1-manut_MP($B143,H$1,H$2)/VLOOKUP(VALUE(MID($A143,5,3)),BASE_Pot!$A$2:$B$321,2,FALSE),"0.000"),"")</f>
        <v/>
      </c>
      <c r="I143" s="11" t="str">
        <f>IF($B143&lt;&gt;"",TEXT(1-manut_MP($B143,I$1,I$2)/VLOOKUP(VALUE(MID($A143,5,3)),BASE_Pot!$A$2:$B$321,2,FALSE),"0.000"),"")</f>
        <v/>
      </c>
      <c r="J143" t="str">
        <f>""</f>
        <v/>
      </c>
      <c r="L143" t="str">
        <f t="shared" si="6"/>
        <v>&amp;SALTO CAXIAS</v>
      </c>
    </row>
    <row r="144" spans="1:12" x14ac:dyDescent="0.25">
      <c r="A144" t="s">
        <v>552</v>
      </c>
      <c r="B144" t="str">
        <f t="shared" si="7"/>
        <v xml:space="preserve"> 82-H</v>
      </c>
      <c r="C144" s="11" t="str">
        <f>IF($B144&lt;&gt;"",TEXT(1-manut_MP($B144,C$1,C$2)/VLOOKUP(VALUE(MID($A144,5,3)),BASE_Pot!$A$2:$B$321,2,FALSE),"0.000"),"")</f>
        <v>1.000</v>
      </c>
      <c r="D144" s="11" t="str">
        <f>IF($B144&lt;&gt;"",TEXT(1-manut_MP($B144,D$1,D$2)/VLOOKUP(VALUE(MID($A144,5,3)),BASE_Pot!$A$2:$B$321,2,FALSE),"0.000"),"")</f>
        <v>1.000</v>
      </c>
      <c r="E144" s="11" t="str">
        <f>IF($B144&lt;&gt;"",TEXT(1-manut_MP($B144,E$1,E$2)/VLOOKUP(VALUE(MID($A144,5,3)),BASE_Pot!$A$2:$B$321,2,FALSE),"0.000"),"")</f>
        <v>1.000</v>
      </c>
      <c r="F144" s="11" t="str">
        <f>IF($B144&lt;&gt;"",TEXT(1-manut_MP($B144,F$1,F$2)/VLOOKUP(VALUE(MID($A144,5,3)),BASE_Pot!$A$2:$B$321,2,FALSE),"0.000"),"")</f>
        <v>1.000</v>
      </c>
      <c r="G144" s="11" t="str">
        <f>IF($B144&lt;&gt;"",TEXT(1-manut_MP($B144,G$1,G$2)/VLOOKUP(VALUE(MID($A144,5,3)),BASE_Pot!$A$2:$B$321,2,FALSE),"0.000"),"")</f>
        <v>1.000</v>
      </c>
      <c r="H144" s="11" t="str">
        <f>IF($B144&lt;&gt;"",TEXT(1-manut_MP($B144,H$1,H$2)/VLOOKUP(VALUE(MID($A144,5,3)),BASE_Pot!$A$2:$B$321,2,FALSE),"0.000"),"")</f>
        <v>1.000</v>
      </c>
      <c r="I144" s="11" t="str">
        <f>IF($B144&lt;&gt;"",TEXT(1-manut_MP($B144,I$1,I$2)/VLOOKUP(VALUE(MID($A144,5,3)),BASE_Pot!$A$2:$B$321,2,FALSE),"0.000"),"")</f>
        <v>1.000</v>
      </c>
      <c r="J144" t="str">
        <f>""</f>
        <v/>
      </c>
      <c r="L144" t="str">
        <f t="shared" si="6"/>
        <v>MP   82  1.0001.0001.0001.0001.0001.0001.000</v>
      </c>
    </row>
    <row r="145" spans="1:12" x14ac:dyDescent="0.25">
      <c r="A145" t="s">
        <v>367</v>
      </c>
      <c r="B145" t="str">
        <f t="shared" si="7"/>
        <v/>
      </c>
      <c r="C145" s="11" t="str">
        <f>IF($B145&lt;&gt;"",TEXT(1-manut_MP($B145,C$1,C$2)/VLOOKUP(VALUE(MID($A145,5,3)),BASE_Pot!$A$2:$B$321,2,FALSE),"0.000"),"")</f>
        <v/>
      </c>
      <c r="D145" s="11" t="str">
        <f>IF($B145&lt;&gt;"",TEXT(1-manut_MP($B145,D$1,D$2)/VLOOKUP(VALUE(MID($A145,5,3)),BASE_Pot!$A$2:$B$321,2,FALSE),"0.000"),"")</f>
        <v/>
      </c>
      <c r="E145" s="11" t="str">
        <f>IF($B145&lt;&gt;"",TEXT(1-manut_MP($B145,E$1,E$2)/VLOOKUP(VALUE(MID($A145,5,3)),BASE_Pot!$A$2:$B$321,2,FALSE),"0.000"),"")</f>
        <v/>
      </c>
      <c r="F145" s="11" t="str">
        <f>IF($B145&lt;&gt;"",TEXT(1-manut_MP($B145,F$1,F$2)/VLOOKUP(VALUE(MID($A145,5,3)),BASE_Pot!$A$2:$B$321,2,FALSE),"0.000"),"")</f>
        <v/>
      </c>
      <c r="G145" s="11" t="str">
        <f>IF($B145&lt;&gt;"",TEXT(1-manut_MP($B145,G$1,G$2)/VLOOKUP(VALUE(MID($A145,5,3)),BASE_Pot!$A$2:$B$321,2,FALSE),"0.000"),"")</f>
        <v/>
      </c>
      <c r="H145" s="11" t="str">
        <f>IF($B145&lt;&gt;"",TEXT(1-manut_MP($B145,H$1,H$2)/VLOOKUP(VALUE(MID($A145,5,3)),BASE_Pot!$A$2:$B$321,2,FALSE),"0.000"),"")</f>
        <v/>
      </c>
      <c r="I145" s="11" t="str">
        <f>IF($B145&lt;&gt;"",TEXT(1-manut_MP($B145,I$1,I$2)/VLOOKUP(VALUE(MID($A145,5,3)),BASE_Pot!$A$2:$B$321,2,FALSE),"0.000"),"")</f>
        <v/>
      </c>
      <c r="J145" t="str">
        <f>""</f>
        <v/>
      </c>
      <c r="L145" t="str">
        <f t="shared" si="6"/>
        <v>&amp;G.P. SOUZA</v>
      </c>
    </row>
    <row r="146" spans="1:12" x14ac:dyDescent="0.25">
      <c r="A146" t="s">
        <v>553</v>
      </c>
      <c r="B146" t="str">
        <f t="shared" si="7"/>
        <v>115-H</v>
      </c>
      <c r="C146" s="11" t="str">
        <f>IF($B146&lt;&gt;"",TEXT(1-manut_MP($B146,C$1,C$2)/VLOOKUP(VALUE(MID($A146,5,3)),BASE_Pot!$A$2:$B$321,2,FALSE),"0.000"),"")</f>
        <v>1.000</v>
      </c>
      <c r="D146" s="11" t="str">
        <f>IF($B146&lt;&gt;"",TEXT(1-manut_MP($B146,D$1,D$2)/VLOOKUP(VALUE(MID($A146,5,3)),BASE_Pot!$A$2:$B$321,2,FALSE),"0.000"),"")</f>
        <v>1.000</v>
      </c>
      <c r="E146" s="11" t="str">
        <f>IF($B146&lt;&gt;"",TEXT(1-manut_MP($B146,E$1,E$2)/VLOOKUP(VALUE(MID($A146,5,3)),BASE_Pot!$A$2:$B$321,2,FALSE),"0.000"),"")</f>
        <v>1.000</v>
      </c>
      <c r="F146" s="11" t="str">
        <f>IF($B146&lt;&gt;"",TEXT(1-manut_MP($B146,F$1,F$2)/VLOOKUP(VALUE(MID($A146,5,3)),BASE_Pot!$A$2:$B$321,2,FALSE),"0.000"),"")</f>
        <v>1.000</v>
      </c>
      <c r="G146" s="11" t="str">
        <f>IF($B146&lt;&gt;"",TEXT(1-manut_MP($B146,G$1,G$2)/VLOOKUP(VALUE(MID($A146,5,3)),BASE_Pot!$A$2:$B$321,2,FALSE),"0.000"),"")</f>
        <v>1.000</v>
      </c>
      <c r="H146" s="11" t="str">
        <f>IF($B146&lt;&gt;"",TEXT(1-manut_MP($B146,H$1,H$2)/VLOOKUP(VALUE(MID($A146,5,3)),BASE_Pot!$A$2:$B$321,2,FALSE),"0.000"),"")</f>
        <v>1.000</v>
      </c>
      <c r="I146" s="11" t="str">
        <f>IF($B146&lt;&gt;"",TEXT(1-manut_MP($B146,I$1,I$2)/VLOOKUP(VALUE(MID($A146,5,3)),BASE_Pot!$A$2:$B$321,2,FALSE),"0.000"),"")</f>
        <v>1.000</v>
      </c>
      <c r="J146" t="str">
        <f>""</f>
        <v/>
      </c>
      <c r="L146" t="str">
        <f t="shared" si="6"/>
        <v>MP  115  1.0001.0001.0001.0001.0001.0001.000</v>
      </c>
    </row>
    <row r="147" spans="1:12" x14ac:dyDescent="0.25">
      <c r="A147" t="s">
        <v>304</v>
      </c>
      <c r="B147" t="str">
        <f t="shared" si="7"/>
        <v/>
      </c>
      <c r="C147" s="11" t="str">
        <f>IF($B147&lt;&gt;"",TEXT(1-manut_MP($B147,C$1,C$2)/VLOOKUP(VALUE(MID($A147,5,3)),BASE_Pot!$A$2:$B$321,2,FALSE),"0.000"),"")</f>
        <v/>
      </c>
      <c r="D147" s="11" t="str">
        <f>IF($B147&lt;&gt;"",TEXT(1-manut_MP($B147,D$1,D$2)/VLOOKUP(VALUE(MID($A147,5,3)),BASE_Pot!$A$2:$B$321,2,FALSE),"0.000"),"")</f>
        <v/>
      </c>
      <c r="E147" s="11" t="str">
        <f>IF($B147&lt;&gt;"",TEXT(1-manut_MP($B147,E$1,E$2)/VLOOKUP(VALUE(MID($A147,5,3)),BASE_Pot!$A$2:$B$321,2,FALSE),"0.000"),"")</f>
        <v/>
      </c>
      <c r="F147" s="11" t="str">
        <f>IF($B147&lt;&gt;"",TEXT(1-manut_MP($B147,F$1,F$2)/VLOOKUP(VALUE(MID($A147,5,3)),BASE_Pot!$A$2:$B$321,2,FALSE),"0.000"),"")</f>
        <v/>
      </c>
      <c r="G147" s="11" t="str">
        <f>IF($B147&lt;&gt;"",TEXT(1-manut_MP($B147,G$1,G$2)/VLOOKUP(VALUE(MID($A147,5,3)),BASE_Pot!$A$2:$B$321,2,FALSE),"0.000"),"")</f>
        <v/>
      </c>
      <c r="H147" s="11" t="str">
        <f>IF($B147&lt;&gt;"",TEXT(1-manut_MP($B147,H$1,H$2)/VLOOKUP(VALUE(MID($A147,5,3)),BASE_Pot!$A$2:$B$321,2,FALSE),"0.000"),"")</f>
        <v/>
      </c>
      <c r="I147" s="11" t="str">
        <f>IF($B147&lt;&gt;"",TEXT(1-manut_MP($B147,I$1,I$2)/VLOOKUP(VALUE(MID($A147,5,3)),BASE_Pot!$A$2:$B$321,2,FALSE),"0.000"),"")</f>
        <v/>
      </c>
      <c r="J147" t="str">
        <f>""</f>
        <v/>
      </c>
      <c r="L147" t="str">
        <f t="shared" ref="L147:L210" si="8">IF(LEFT(A147,1)="&amp;",A147,A147&amp;"  "&amp;LEFT(INDEX($C147:$J147,1,MIN($M$1,8))&amp;INDEX($C147:$J147,1,MIN($M$1+1,8))&amp;INDEX($C147:$J147,1,MIN($M$1+2,8))&amp;INDEX($C147:$J147,1,MIN($M$1+3,8))&amp;INDEX($C147:$J147,1,MIN($M$1+4,8))&amp;INDEX($C147:$J147,1,MIN($M$1+5,8))&amp;INDEX($C147:$J147,1,MIN($M$1+6,8))&amp;INDEX($C147:$J147,1,MIN($M$1+7,8)),5*($P$1-1))&amp;"1.000")</f>
        <v>&amp;.................................</v>
      </c>
    </row>
    <row r="148" spans="1:12" x14ac:dyDescent="0.25">
      <c r="A148" t="s">
        <v>368</v>
      </c>
      <c r="B148" t="str">
        <f t="shared" si="7"/>
        <v/>
      </c>
      <c r="C148" s="11" t="str">
        <f>IF($B148&lt;&gt;"",TEXT(1-manut_MP($B148,C$1,C$2)/VLOOKUP(VALUE(MID($A148,5,3)),BASE_Pot!$A$2:$B$321,2,FALSE),"0.000"),"")</f>
        <v/>
      </c>
      <c r="D148" s="11" t="str">
        <f>IF($B148&lt;&gt;"",TEXT(1-manut_MP($B148,D$1,D$2)/VLOOKUP(VALUE(MID($A148,5,3)),BASE_Pot!$A$2:$B$321,2,FALSE),"0.000"),"")</f>
        <v/>
      </c>
      <c r="E148" s="11" t="str">
        <f>IF($B148&lt;&gt;"",TEXT(1-manut_MP($B148,E$1,E$2)/VLOOKUP(VALUE(MID($A148,5,3)),BASE_Pot!$A$2:$B$321,2,FALSE),"0.000"),"")</f>
        <v/>
      </c>
      <c r="F148" s="11" t="str">
        <f>IF($B148&lt;&gt;"",TEXT(1-manut_MP($B148,F$1,F$2)/VLOOKUP(VALUE(MID($A148,5,3)),BASE_Pot!$A$2:$B$321,2,FALSE),"0.000"),"")</f>
        <v/>
      </c>
      <c r="G148" s="11" t="str">
        <f>IF($B148&lt;&gt;"",TEXT(1-manut_MP($B148,G$1,G$2)/VLOOKUP(VALUE(MID($A148,5,3)),BASE_Pot!$A$2:$B$321,2,FALSE),"0.000"),"")</f>
        <v/>
      </c>
      <c r="H148" s="11" t="str">
        <f>IF($B148&lt;&gt;"",TEXT(1-manut_MP($B148,H$1,H$2)/VLOOKUP(VALUE(MID($A148,5,3)),BASE_Pot!$A$2:$B$321,2,FALSE),"0.000"),"")</f>
        <v/>
      </c>
      <c r="I148" s="11" t="str">
        <f>IF($B148&lt;&gt;"",TEXT(1-manut_MP($B148,I$1,I$2)/VLOOKUP(VALUE(MID($A148,5,3)),BASE_Pot!$A$2:$B$321,2,FALSE),"0.000"),"")</f>
        <v/>
      </c>
      <c r="J148" t="str">
        <f>""</f>
        <v/>
      </c>
      <c r="L148" t="str">
        <f t="shared" si="8"/>
        <v>&amp;         TRACTEBEL</v>
      </c>
    </row>
    <row r="149" spans="1:12" x14ac:dyDescent="0.25">
      <c r="A149" t="s">
        <v>304</v>
      </c>
      <c r="B149" t="str">
        <f t="shared" si="7"/>
        <v/>
      </c>
      <c r="C149" s="11" t="str">
        <f>IF($B149&lt;&gt;"",TEXT(1-manut_MP($B149,C$1,C$2)/VLOOKUP(VALUE(MID($A149,5,3)),BASE_Pot!$A$2:$B$321,2,FALSE),"0.000"),"")</f>
        <v/>
      </c>
      <c r="D149" s="11" t="str">
        <f>IF($B149&lt;&gt;"",TEXT(1-manut_MP($B149,D$1,D$2)/VLOOKUP(VALUE(MID($A149,5,3)),BASE_Pot!$A$2:$B$321,2,FALSE),"0.000"),"")</f>
        <v/>
      </c>
      <c r="E149" s="11" t="str">
        <f>IF($B149&lt;&gt;"",TEXT(1-manut_MP($B149,E$1,E$2)/VLOOKUP(VALUE(MID($A149,5,3)),BASE_Pot!$A$2:$B$321,2,FALSE),"0.000"),"")</f>
        <v/>
      </c>
      <c r="F149" s="11" t="str">
        <f>IF($B149&lt;&gt;"",TEXT(1-manut_MP($B149,F$1,F$2)/VLOOKUP(VALUE(MID($A149,5,3)),BASE_Pot!$A$2:$B$321,2,FALSE),"0.000"),"")</f>
        <v/>
      </c>
      <c r="G149" s="11" t="str">
        <f>IF($B149&lt;&gt;"",TEXT(1-manut_MP($B149,G$1,G$2)/VLOOKUP(VALUE(MID($A149,5,3)),BASE_Pot!$A$2:$B$321,2,FALSE),"0.000"),"")</f>
        <v/>
      </c>
      <c r="H149" s="11" t="str">
        <f>IF($B149&lt;&gt;"",TEXT(1-manut_MP($B149,H$1,H$2)/VLOOKUP(VALUE(MID($A149,5,3)),BASE_Pot!$A$2:$B$321,2,FALSE),"0.000"),"")</f>
        <v/>
      </c>
      <c r="I149" s="11" t="str">
        <f>IF($B149&lt;&gt;"",TEXT(1-manut_MP($B149,I$1,I$2)/VLOOKUP(VALUE(MID($A149,5,3)),BASE_Pot!$A$2:$B$321,2,FALSE),"0.000"),"")</f>
        <v/>
      </c>
      <c r="J149" t="str">
        <f>""</f>
        <v/>
      </c>
      <c r="L149" t="str">
        <f t="shared" si="8"/>
        <v>&amp;.................................</v>
      </c>
    </row>
    <row r="150" spans="1:12" x14ac:dyDescent="0.25">
      <c r="A150" t="s">
        <v>369</v>
      </c>
      <c r="B150" t="str">
        <f t="shared" si="7"/>
        <v/>
      </c>
      <c r="C150" s="11" t="str">
        <f>IF($B150&lt;&gt;"",TEXT(1-manut_MP($B150,C$1,C$2)/VLOOKUP(VALUE(MID($A150,5,3)),BASE_Pot!$A$2:$B$321,2,FALSE),"0.000"),"")</f>
        <v/>
      </c>
      <c r="D150" s="11" t="str">
        <f>IF($B150&lt;&gt;"",TEXT(1-manut_MP($B150,D$1,D$2)/VLOOKUP(VALUE(MID($A150,5,3)),BASE_Pot!$A$2:$B$321,2,FALSE),"0.000"),"")</f>
        <v/>
      </c>
      <c r="E150" s="11" t="str">
        <f>IF($B150&lt;&gt;"",TEXT(1-manut_MP($B150,E$1,E$2)/VLOOKUP(VALUE(MID($A150,5,3)),BASE_Pot!$A$2:$B$321,2,FALSE),"0.000"),"")</f>
        <v/>
      </c>
      <c r="F150" s="11" t="str">
        <f>IF($B150&lt;&gt;"",TEXT(1-manut_MP($B150,F$1,F$2)/VLOOKUP(VALUE(MID($A150,5,3)),BASE_Pot!$A$2:$B$321,2,FALSE),"0.000"),"")</f>
        <v/>
      </c>
      <c r="G150" s="11" t="str">
        <f>IF($B150&lt;&gt;"",TEXT(1-manut_MP($B150,G$1,G$2)/VLOOKUP(VALUE(MID($A150,5,3)),BASE_Pot!$A$2:$B$321,2,FALSE),"0.000"),"")</f>
        <v/>
      </c>
      <c r="H150" s="11" t="str">
        <f>IF($B150&lt;&gt;"",TEXT(1-manut_MP($B150,H$1,H$2)/VLOOKUP(VALUE(MID($A150,5,3)),BASE_Pot!$A$2:$B$321,2,FALSE),"0.000"),"")</f>
        <v/>
      </c>
      <c r="I150" s="11" t="str">
        <f>IF($B150&lt;&gt;"",TEXT(1-manut_MP($B150,I$1,I$2)/VLOOKUP(VALUE(MID($A150,5,3)),BASE_Pot!$A$2:$B$321,2,FALSE),"0.000"),"")</f>
        <v/>
      </c>
      <c r="J150" t="str">
        <f>""</f>
        <v/>
      </c>
      <c r="L150" t="str">
        <f t="shared" si="8"/>
        <v>&amp;SLT.SANTIAGO</v>
      </c>
    </row>
    <row r="151" spans="1:12" x14ac:dyDescent="0.25">
      <c r="A151" t="s">
        <v>554</v>
      </c>
      <c r="B151" t="str">
        <f t="shared" si="7"/>
        <v xml:space="preserve"> 77-H</v>
      </c>
      <c r="C151" s="11" t="str">
        <f>IF($B151&lt;&gt;"",TEXT(1-manut_MP($B151,C$1,C$2)/VLOOKUP(VALUE(MID($A151,5,3)),BASE_Pot!$A$2:$B$321,2,FALSE),"0.000"),"")</f>
        <v>0.500</v>
      </c>
      <c r="D151" s="11" t="str">
        <f>IF($B151&lt;&gt;"",TEXT(1-manut_MP($B151,D$1,D$2)/VLOOKUP(VALUE(MID($A151,5,3)),BASE_Pot!$A$2:$B$321,2,FALSE),"0.000"),"")</f>
        <v>0.536</v>
      </c>
      <c r="E151" s="11" t="str">
        <f>IF($B151&lt;&gt;"",TEXT(1-manut_MP($B151,E$1,E$2)/VLOOKUP(VALUE(MID($A151,5,3)),BASE_Pot!$A$2:$B$321,2,FALSE),"0.000"),"")</f>
        <v>0.750</v>
      </c>
      <c r="F151" s="11" t="str">
        <f>IF($B151&lt;&gt;"",TEXT(1-manut_MP($B151,F$1,F$2)/VLOOKUP(VALUE(MID($A151,5,3)),BASE_Pot!$A$2:$B$321,2,FALSE),"0.000"),"")</f>
        <v>0.750</v>
      </c>
      <c r="G151" s="11" t="str">
        <f>IF($B151&lt;&gt;"",TEXT(1-manut_MP($B151,G$1,G$2)/VLOOKUP(VALUE(MID($A151,5,3)),BASE_Pot!$A$2:$B$321,2,FALSE),"0.000"),"")</f>
        <v>0.750</v>
      </c>
      <c r="H151" s="11" t="str">
        <f>IF($B151&lt;&gt;"",TEXT(1-manut_MP($B151,H$1,H$2)/VLOOKUP(VALUE(MID($A151,5,3)),BASE_Pot!$A$2:$B$321,2,FALSE),"0.000"),"")</f>
        <v>0.964</v>
      </c>
      <c r="I151" s="11" t="str">
        <f>IF($B151&lt;&gt;"",TEXT(1-manut_MP($B151,I$1,I$2)/VLOOKUP(VALUE(MID($A151,5,3)),BASE_Pot!$A$2:$B$321,2,FALSE),"0.000"),"")</f>
        <v>1.000</v>
      </c>
      <c r="J151" t="str">
        <f>""</f>
        <v/>
      </c>
      <c r="L151" t="str">
        <f t="shared" si="8"/>
        <v>MP   77  0.5000.5360.7500.7500.7500.9641.000</v>
      </c>
    </row>
    <row r="152" spans="1:12" x14ac:dyDescent="0.25">
      <c r="A152" t="s">
        <v>370</v>
      </c>
      <c r="B152" t="str">
        <f t="shared" si="7"/>
        <v/>
      </c>
      <c r="C152" s="11" t="str">
        <f>IF($B152&lt;&gt;"",TEXT(1-manut_MP($B152,C$1,C$2)/VLOOKUP(VALUE(MID($A152,5,3)),BASE_Pot!$A$2:$B$321,2,FALSE),"0.000"),"")</f>
        <v/>
      </c>
      <c r="D152" s="11" t="str">
        <f>IF($B152&lt;&gt;"",TEXT(1-manut_MP($B152,D$1,D$2)/VLOOKUP(VALUE(MID($A152,5,3)),BASE_Pot!$A$2:$B$321,2,FALSE),"0.000"),"")</f>
        <v/>
      </c>
      <c r="E152" s="11" t="str">
        <f>IF($B152&lt;&gt;"",TEXT(1-manut_MP($B152,E$1,E$2)/VLOOKUP(VALUE(MID($A152,5,3)),BASE_Pot!$A$2:$B$321,2,FALSE),"0.000"),"")</f>
        <v/>
      </c>
      <c r="F152" s="11" t="str">
        <f>IF($B152&lt;&gt;"",TEXT(1-manut_MP($B152,F$1,F$2)/VLOOKUP(VALUE(MID($A152,5,3)),BASE_Pot!$A$2:$B$321,2,FALSE),"0.000"),"")</f>
        <v/>
      </c>
      <c r="G152" s="11" t="str">
        <f>IF($B152&lt;&gt;"",TEXT(1-manut_MP($B152,G$1,G$2)/VLOOKUP(VALUE(MID($A152,5,3)),BASE_Pot!$A$2:$B$321,2,FALSE),"0.000"),"")</f>
        <v/>
      </c>
      <c r="H152" s="11" t="str">
        <f>IF($B152&lt;&gt;"",TEXT(1-manut_MP($B152,H$1,H$2)/VLOOKUP(VALUE(MID($A152,5,3)),BASE_Pot!$A$2:$B$321,2,FALSE),"0.000"),"")</f>
        <v/>
      </c>
      <c r="I152" s="11" t="str">
        <f>IF($B152&lt;&gt;"",TEXT(1-manut_MP($B152,I$1,I$2)/VLOOKUP(VALUE(MID($A152,5,3)),BASE_Pot!$A$2:$B$321,2,FALSE),"0.000"),"")</f>
        <v/>
      </c>
      <c r="J152" t="str">
        <f>""</f>
        <v/>
      </c>
      <c r="L152" t="str">
        <f t="shared" si="8"/>
        <v>&amp;SALTO OSORIO</v>
      </c>
    </row>
    <row r="153" spans="1:12" x14ac:dyDescent="0.25">
      <c r="A153" t="s">
        <v>555</v>
      </c>
      <c r="B153" t="str">
        <f t="shared" si="7"/>
        <v xml:space="preserve"> 78-H</v>
      </c>
      <c r="C153" s="11" t="str">
        <f>IF($B153&lt;&gt;"",TEXT(1-manut_MP($B153,C$1,C$2)/VLOOKUP(VALUE(MID($A153,5,3)),BASE_Pot!$A$2:$B$321,2,FALSE),"0.000"),"")</f>
        <v>1.000</v>
      </c>
      <c r="D153" s="11" t="str">
        <f>IF($B153&lt;&gt;"",TEXT(1-manut_MP($B153,D$1,D$2)/VLOOKUP(VALUE(MID($A153,5,3)),BASE_Pot!$A$2:$B$321,2,FALSE),"0.000"),"")</f>
        <v>0.976</v>
      </c>
      <c r="E153" s="11" t="str">
        <f>IF($B153&lt;&gt;"",TEXT(1-manut_MP($B153,E$1,E$2)/VLOOKUP(VALUE(MID($A153,5,3)),BASE_Pot!$A$2:$B$321,2,FALSE),"0.000"),"")</f>
        <v>0.831</v>
      </c>
      <c r="F153" s="11" t="str">
        <f>IF($B153&lt;&gt;"",TEXT(1-manut_MP($B153,F$1,F$2)/VLOOKUP(VALUE(MID($A153,5,3)),BASE_Pot!$A$2:$B$321,2,FALSE),"0.000"),"")</f>
        <v>0.831</v>
      </c>
      <c r="G153" s="11" t="str">
        <f>IF($B153&lt;&gt;"",TEXT(1-manut_MP($B153,G$1,G$2)/VLOOKUP(VALUE(MID($A153,5,3)),BASE_Pot!$A$2:$B$321,2,FALSE),"0.000"),"")</f>
        <v>0.952</v>
      </c>
      <c r="H153" s="11" t="str">
        <f>IF($B153&lt;&gt;"",TEXT(1-manut_MP($B153,H$1,H$2)/VLOOKUP(VALUE(MID($A153,5,3)),BASE_Pot!$A$2:$B$321,2,FALSE),"0.000"),"")</f>
        <v>1.000</v>
      </c>
      <c r="I153" s="11" t="str">
        <f>IF($B153&lt;&gt;"",TEXT(1-manut_MP($B153,I$1,I$2)/VLOOKUP(VALUE(MID($A153,5,3)),BASE_Pot!$A$2:$B$321,2,FALSE),"0.000"),"")</f>
        <v>1.000</v>
      </c>
      <c r="J153" t="str">
        <f>""</f>
        <v/>
      </c>
      <c r="L153" t="str">
        <f t="shared" si="8"/>
        <v>MP   78  1.0000.9760.8310.8310.9521.0001.000</v>
      </c>
    </row>
    <row r="154" spans="1:12" x14ac:dyDescent="0.25">
      <c r="A154" t="s">
        <v>371</v>
      </c>
      <c r="B154" t="str">
        <f t="shared" si="7"/>
        <v/>
      </c>
      <c r="C154" s="11" t="str">
        <f>IF($B154&lt;&gt;"",TEXT(1-manut_MP($B154,C$1,C$2)/VLOOKUP(VALUE(MID($A154,5,3)),BASE_Pot!$A$2:$B$321,2,FALSE),"0.000"),"")</f>
        <v/>
      </c>
      <c r="D154" s="11" t="str">
        <f>IF($B154&lt;&gt;"",TEXT(1-manut_MP($B154,D$1,D$2)/VLOOKUP(VALUE(MID($A154,5,3)),BASE_Pot!$A$2:$B$321,2,FALSE),"0.000"),"")</f>
        <v/>
      </c>
      <c r="E154" s="11" t="str">
        <f>IF($B154&lt;&gt;"",TEXT(1-manut_MP($B154,E$1,E$2)/VLOOKUP(VALUE(MID($A154,5,3)),BASE_Pot!$A$2:$B$321,2,FALSE),"0.000"),"")</f>
        <v/>
      </c>
      <c r="F154" s="11" t="str">
        <f>IF($B154&lt;&gt;"",TEXT(1-manut_MP($B154,F$1,F$2)/VLOOKUP(VALUE(MID($A154,5,3)),BASE_Pot!$A$2:$B$321,2,FALSE),"0.000"),"")</f>
        <v/>
      </c>
      <c r="G154" s="11" t="str">
        <f>IF($B154&lt;&gt;"",TEXT(1-manut_MP($B154,G$1,G$2)/VLOOKUP(VALUE(MID($A154,5,3)),BASE_Pot!$A$2:$B$321,2,FALSE),"0.000"),"")</f>
        <v/>
      </c>
      <c r="H154" s="11" t="str">
        <f>IF($B154&lt;&gt;"",TEXT(1-manut_MP($B154,H$1,H$2)/VLOOKUP(VALUE(MID($A154,5,3)),BASE_Pot!$A$2:$B$321,2,FALSE),"0.000"),"")</f>
        <v/>
      </c>
      <c r="I154" s="11" t="str">
        <f>IF($B154&lt;&gt;"",TEXT(1-manut_MP($B154,I$1,I$2)/VLOOKUP(VALUE(MID($A154,5,3)),BASE_Pot!$A$2:$B$321,2,FALSE),"0.000"),"")</f>
        <v/>
      </c>
      <c r="J154" t="str">
        <f>""</f>
        <v/>
      </c>
      <c r="L154" t="str">
        <f t="shared" si="8"/>
        <v>&amp;MACHADINHO</v>
      </c>
    </row>
    <row r="155" spans="1:12" x14ac:dyDescent="0.25">
      <c r="A155" t="s">
        <v>556</v>
      </c>
      <c r="B155" t="str">
        <f t="shared" si="7"/>
        <v xml:space="preserve"> 91-H</v>
      </c>
      <c r="C155" s="11" t="str">
        <f>IF($B155&lt;&gt;"",TEXT(1-manut_MP($B155,C$1,C$2)/VLOOKUP(VALUE(MID($A155,5,3)),BASE_Pot!$A$2:$B$321,2,FALSE),"0.000"),"")</f>
        <v>0.762</v>
      </c>
      <c r="D155" s="11" t="str">
        <f>IF($B155&lt;&gt;"",TEXT(1-manut_MP($B155,D$1,D$2)/VLOOKUP(VALUE(MID($A155,5,3)),BASE_Pot!$A$2:$B$321,2,FALSE),"0.000"),"")</f>
        <v>0.667</v>
      </c>
      <c r="E155" s="11" t="str">
        <f>IF($B155&lt;&gt;"",TEXT(1-manut_MP($B155,E$1,E$2)/VLOOKUP(VALUE(MID($A155,5,3)),BASE_Pot!$A$2:$B$321,2,FALSE),"0.000"),"")</f>
        <v>0.667</v>
      </c>
      <c r="F155" s="11" t="str">
        <f>IF($B155&lt;&gt;"",TEXT(1-manut_MP($B155,F$1,F$2)/VLOOKUP(VALUE(MID($A155,5,3)),BASE_Pot!$A$2:$B$321,2,FALSE),"0.000"),"")</f>
        <v>0.905</v>
      </c>
      <c r="G155" s="11" t="str">
        <f>IF($B155&lt;&gt;"",TEXT(1-manut_MP($B155,G$1,G$2)/VLOOKUP(VALUE(MID($A155,5,3)),BASE_Pot!$A$2:$B$321,2,FALSE),"0.000"),"")</f>
        <v>1.000</v>
      </c>
      <c r="H155" s="11" t="str">
        <f>IF($B155&lt;&gt;"",TEXT(1-manut_MP($B155,H$1,H$2)/VLOOKUP(VALUE(MID($A155,5,3)),BASE_Pot!$A$2:$B$321,2,FALSE),"0.000"),"")</f>
        <v>1.000</v>
      </c>
      <c r="I155" s="11" t="str">
        <f>IF($B155&lt;&gt;"",TEXT(1-manut_MP($B155,I$1,I$2)/VLOOKUP(VALUE(MID($A155,5,3)),BASE_Pot!$A$2:$B$321,2,FALSE),"0.000"),"")</f>
        <v>1.000</v>
      </c>
      <c r="J155" t="str">
        <f>""</f>
        <v/>
      </c>
      <c r="L155" t="str">
        <f t="shared" si="8"/>
        <v>MP   91  0.7620.6670.6670.9051.0001.0001.000</v>
      </c>
    </row>
    <row r="156" spans="1:12" x14ac:dyDescent="0.25">
      <c r="A156" t="s">
        <v>372</v>
      </c>
      <c r="B156" t="str">
        <f t="shared" si="7"/>
        <v/>
      </c>
      <c r="C156" s="11" t="str">
        <f>IF($B156&lt;&gt;"",TEXT(1-manut_MP($B156,C$1,C$2)/VLOOKUP(VALUE(MID($A156,5,3)),BASE_Pot!$A$2:$B$321,2,FALSE),"0.000"),"")</f>
        <v/>
      </c>
      <c r="D156" s="11" t="str">
        <f>IF($B156&lt;&gt;"",TEXT(1-manut_MP($B156,D$1,D$2)/VLOOKUP(VALUE(MID($A156,5,3)),BASE_Pot!$A$2:$B$321,2,FALSE),"0.000"),"")</f>
        <v/>
      </c>
      <c r="E156" s="11" t="str">
        <f>IF($B156&lt;&gt;"",TEXT(1-manut_MP($B156,E$1,E$2)/VLOOKUP(VALUE(MID($A156,5,3)),BASE_Pot!$A$2:$B$321,2,FALSE),"0.000"),"")</f>
        <v/>
      </c>
      <c r="F156" s="11" t="str">
        <f>IF($B156&lt;&gt;"",TEXT(1-manut_MP($B156,F$1,F$2)/VLOOKUP(VALUE(MID($A156,5,3)),BASE_Pot!$A$2:$B$321,2,FALSE),"0.000"),"")</f>
        <v/>
      </c>
      <c r="G156" s="11" t="str">
        <f>IF($B156&lt;&gt;"",TEXT(1-manut_MP($B156,G$1,G$2)/VLOOKUP(VALUE(MID($A156,5,3)),BASE_Pot!$A$2:$B$321,2,FALSE),"0.000"),"")</f>
        <v/>
      </c>
      <c r="H156" s="11" t="str">
        <f>IF($B156&lt;&gt;"",TEXT(1-manut_MP($B156,H$1,H$2)/VLOOKUP(VALUE(MID($A156,5,3)),BASE_Pot!$A$2:$B$321,2,FALSE),"0.000"),"")</f>
        <v/>
      </c>
      <c r="I156" s="11" t="str">
        <f>IF($B156&lt;&gt;"",TEXT(1-manut_MP($B156,I$1,I$2)/VLOOKUP(VALUE(MID($A156,5,3)),BASE_Pot!$A$2:$B$321,2,FALSE),"0.000"),"")</f>
        <v/>
      </c>
      <c r="J156" t="str">
        <f>""</f>
        <v/>
      </c>
      <c r="L156" t="str">
        <f t="shared" si="8"/>
        <v>&amp;ITA</v>
      </c>
    </row>
    <row r="157" spans="1:12" x14ac:dyDescent="0.25">
      <c r="A157" t="s">
        <v>557</v>
      </c>
      <c r="B157" t="str">
        <f t="shared" si="7"/>
        <v xml:space="preserve"> 92-H</v>
      </c>
      <c r="C157" s="11" t="str">
        <f>IF($B157&lt;&gt;"",TEXT(1-manut_MP($B157,C$1,C$2)/VLOOKUP(VALUE(MID($A157,5,3)),BASE_Pot!$A$2:$B$321,2,FALSE),"0.000"),"")</f>
        <v>1.000</v>
      </c>
      <c r="D157" s="11" t="str">
        <f>IF($B157&lt;&gt;"",TEXT(1-manut_MP($B157,D$1,D$2)/VLOOKUP(VALUE(MID($A157,5,3)),BASE_Pot!$A$2:$B$321,2,FALSE),"0.000"),"")</f>
        <v>1.000</v>
      </c>
      <c r="E157" s="11" t="str">
        <f>IF($B157&lt;&gt;"",TEXT(1-manut_MP($B157,E$1,E$2)/VLOOKUP(VALUE(MID($A157,5,3)),BASE_Pot!$A$2:$B$321,2,FALSE),"0.000"),"")</f>
        <v>1.000</v>
      </c>
      <c r="F157" s="11" t="str">
        <f>IF($B157&lt;&gt;"",TEXT(1-manut_MP($B157,F$1,F$2)/VLOOKUP(VALUE(MID($A157,5,3)),BASE_Pot!$A$2:$B$321,2,FALSE),"0.000"),"")</f>
        <v>1.000</v>
      </c>
      <c r="G157" s="11" t="str">
        <f>IF($B157&lt;&gt;"",TEXT(1-manut_MP($B157,G$1,G$2)/VLOOKUP(VALUE(MID($A157,5,3)),BASE_Pot!$A$2:$B$321,2,FALSE),"0.000"),"")</f>
        <v>1.000</v>
      </c>
      <c r="H157" s="11" t="str">
        <f>IF($B157&lt;&gt;"",TEXT(1-manut_MP($B157,H$1,H$2)/VLOOKUP(VALUE(MID($A157,5,3)),BASE_Pot!$A$2:$B$321,2,FALSE),"0.000"),"")</f>
        <v>1.000</v>
      </c>
      <c r="I157" s="11" t="str">
        <f>IF($B157&lt;&gt;"",TEXT(1-manut_MP($B157,I$1,I$2)/VLOOKUP(VALUE(MID($A157,5,3)),BASE_Pot!$A$2:$B$321,2,FALSE),"0.000"),"")</f>
        <v>1.000</v>
      </c>
      <c r="J157" t="str">
        <f>""</f>
        <v/>
      </c>
      <c r="L157" t="str">
        <f t="shared" si="8"/>
        <v>MP   92  1.0001.0001.0001.0001.0001.0001.000</v>
      </c>
    </row>
    <row r="158" spans="1:12" x14ac:dyDescent="0.25">
      <c r="A158" t="s">
        <v>373</v>
      </c>
      <c r="B158" t="str">
        <f t="shared" si="7"/>
        <v/>
      </c>
      <c r="C158" s="11" t="str">
        <f>IF($B158&lt;&gt;"",TEXT(1-manut_MP($B158,C$1,C$2)/VLOOKUP(VALUE(MID($A158,5,3)),BASE_Pot!$A$2:$B$321,2,FALSE),"0.000"),"")</f>
        <v/>
      </c>
      <c r="D158" s="11" t="str">
        <f>IF($B158&lt;&gt;"",TEXT(1-manut_MP($B158,D$1,D$2)/VLOOKUP(VALUE(MID($A158,5,3)),BASE_Pot!$A$2:$B$321,2,FALSE),"0.000"),"")</f>
        <v/>
      </c>
      <c r="E158" s="11" t="str">
        <f>IF($B158&lt;&gt;"",TEXT(1-manut_MP($B158,E$1,E$2)/VLOOKUP(VALUE(MID($A158,5,3)),BASE_Pot!$A$2:$B$321,2,FALSE),"0.000"),"")</f>
        <v/>
      </c>
      <c r="F158" s="11" t="str">
        <f>IF($B158&lt;&gt;"",TEXT(1-manut_MP($B158,F$1,F$2)/VLOOKUP(VALUE(MID($A158,5,3)),BASE_Pot!$A$2:$B$321,2,FALSE),"0.000"),"")</f>
        <v/>
      </c>
      <c r="G158" s="11" t="str">
        <f>IF($B158&lt;&gt;"",TEXT(1-manut_MP($B158,G$1,G$2)/VLOOKUP(VALUE(MID($A158,5,3)),BASE_Pot!$A$2:$B$321,2,FALSE),"0.000"),"")</f>
        <v/>
      </c>
      <c r="H158" s="11" t="str">
        <f>IF($B158&lt;&gt;"",TEXT(1-manut_MP($B158,H$1,H$2)/VLOOKUP(VALUE(MID($A158,5,3)),BASE_Pot!$A$2:$B$321,2,FALSE),"0.000"),"")</f>
        <v/>
      </c>
      <c r="I158" s="11" t="str">
        <f>IF($B158&lt;&gt;"",TEXT(1-manut_MP($B158,I$1,I$2)/VLOOKUP(VALUE(MID($A158,5,3)),BASE_Pot!$A$2:$B$321,2,FALSE),"0.000"),"")</f>
        <v/>
      </c>
      <c r="J158" t="str">
        <f>""</f>
        <v/>
      </c>
      <c r="L158" t="str">
        <f t="shared" si="8"/>
        <v>&amp;PASSO FUNDO</v>
      </c>
    </row>
    <row r="159" spans="1:12" x14ac:dyDescent="0.25">
      <c r="A159" t="s">
        <v>558</v>
      </c>
      <c r="B159" t="str">
        <f t="shared" si="7"/>
        <v xml:space="preserve"> 93-H</v>
      </c>
      <c r="C159" s="11" t="str">
        <f>IF($B159&lt;&gt;"",TEXT(1-manut_MP($B159,C$1,C$2)/VLOOKUP(VALUE(MID($A159,5,3)),BASE_Pot!$A$2:$B$321,2,FALSE),"0.000"),"")</f>
        <v>1.000</v>
      </c>
      <c r="D159" s="11" t="str">
        <f>IF($B159&lt;&gt;"",TEXT(1-manut_MP($B159,D$1,D$2)/VLOOKUP(VALUE(MID($A159,5,3)),BASE_Pot!$A$2:$B$321,2,FALSE),"0.000"),"")</f>
        <v>1.000</v>
      </c>
      <c r="E159" s="11" t="str">
        <f>IF($B159&lt;&gt;"",TEXT(1-manut_MP($B159,E$1,E$2)/VLOOKUP(VALUE(MID($A159,5,3)),BASE_Pot!$A$2:$B$321,2,FALSE),"0.000"),"")</f>
        <v>0.643</v>
      </c>
      <c r="F159" s="11" t="str">
        <f>IF($B159&lt;&gt;"",TEXT(1-manut_MP($B159,F$1,F$2)/VLOOKUP(VALUE(MID($A159,5,3)),BASE_Pot!$A$2:$B$321,2,FALSE),"0.000"),"")</f>
        <v>0.714</v>
      </c>
      <c r="G159" s="11" t="str">
        <f>IF($B159&lt;&gt;"",TEXT(1-manut_MP($B159,G$1,G$2)/VLOOKUP(VALUE(MID($A159,5,3)),BASE_Pot!$A$2:$B$321,2,FALSE),"0.000"),"")</f>
        <v>1.000</v>
      </c>
      <c r="H159" s="11" t="str">
        <f>IF($B159&lt;&gt;"",TEXT(1-manut_MP($B159,H$1,H$2)/VLOOKUP(VALUE(MID($A159,5,3)),BASE_Pot!$A$2:$B$321,2,FALSE),"0.000"),"")</f>
        <v>1.000</v>
      </c>
      <c r="I159" s="11" t="str">
        <f>IF($B159&lt;&gt;"",TEXT(1-manut_MP($B159,I$1,I$2)/VLOOKUP(VALUE(MID($A159,5,3)),BASE_Pot!$A$2:$B$321,2,FALSE),"0.000"),"")</f>
        <v>1.000</v>
      </c>
      <c r="J159" t="str">
        <f>""</f>
        <v/>
      </c>
      <c r="L159" t="str">
        <f t="shared" si="8"/>
        <v>MP   93  1.0001.0000.6430.7141.0001.0001.000</v>
      </c>
    </row>
    <row r="160" spans="1:12" x14ac:dyDescent="0.25">
      <c r="A160" t="s">
        <v>374</v>
      </c>
      <c r="B160" t="str">
        <f t="shared" si="7"/>
        <v/>
      </c>
      <c r="C160" s="11" t="str">
        <f>IF($B160&lt;&gt;"",TEXT(1-manut_MP($B160,C$1,C$2)/VLOOKUP(VALUE(MID($A160,5,3)),BASE_Pot!$A$2:$B$321,2,FALSE),"0.000"),"")</f>
        <v/>
      </c>
      <c r="D160" s="11" t="str">
        <f>IF($B160&lt;&gt;"",TEXT(1-manut_MP($B160,D$1,D$2)/VLOOKUP(VALUE(MID($A160,5,3)),BASE_Pot!$A$2:$B$321,2,FALSE),"0.000"),"")</f>
        <v/>
      </c>
      <c r="E160" s="11" t="str">
        <f>IF($B160&lt;&gt;"",TEXT(1-manut_MP($B160,E$1,E$2)/VLOOKUP(VALUE(MID($A160,5,3)),BASE_Pot!$A$2:$B$321,2,FALSE),"0.000"),"")</f>
        <v/>
      </c>
      <c r="F160" s="11" t="str">
        <f>IF($B160&lt;&gt;"",TEXT(1-manut_MP($B160,F$1,F$2)/VLOOKUP(VALUE(MID($A160,5,3)),BASE_Pot!$A$2:$B$321,2,FALSE),"0.000"),"")</f>
        <v/>
      </c>
      <c r="G160" s="11" t="str">
        <f>IF($B160&lt;&gt;"",TEXT(1-manut_MP($B160,G$1,G$2)/VLOOKUP(VALUE(MID($A160,5,3)),BASE_Pot!$A$2:$B$321,2,FALSE),"0.000"),"")</f>
        <v/>
      </c>
      <c r="H160" s="11" t="str">
        <f>IF($B160&lt;&gt;"",TEXT(1-manut_MP($B160,H$1,H$2)/VLOOKUP(VALUE(MID($A160,5,3)),BASE_Pot!$A$2:$B$321,2,FALSE),"0.000"),"")</f>
        <v/>
      </c>
      <c r="I160" s="11" t="str">
        <f>IF($B160&lt;&gt;"",TEXT(1-manut_MP($B160,I$1,I$2)/VLOOKUP(VALUE(MID($A160,5,3)),BASE_Pot!$A$2:$B$321,2,FALSE),"0.000"),"")</f>
        <v/>
      </c>
      <c r="J160" t="str">
        <f>""</f>
        <v/>
      </c>
      <c r="L160" t="str">
        <f t="shared" si="8"/>
        <v>&amp;CANA BRAVA</v>
      </c>
    </row>
    <row r="161" spans="1:12" x14ac:dyDescent="0.25">
      <c r="A161" t="s">
        <v>559</v>
      </c>
      <c r="B161" t="str">
        <f t="shared" si="7"/>
        <v>252-H</v>
      </c>
      <c r="C161" s="11" t="str">
        <f>IF($B161&lt;&gt;"",TEXT(1-manut_MP($B161,C$1,C$2)/VLOOKUP(VALUE(MID($A161,5,3)),BASE_Pot!$A$2:$B$321,2,FALSE),"0.000"),"")</f>
        <v>1.000</v>
      </c>
      <c r="D161" s="11" t="str">
        <f>IF($B161&lt;&gt;"",TEXT(1-manut_MP($B161,D$1,D$2)/VLOOKUP(VALUE(MID($A161,5,3)),BASE_Pot!$A$2:$B$321,2,FALSE),"0.000"),"")</f>
        <v>1.000</v>
      </c>
      <c r="E161" s="11" t="str">
        <f>IF($B161&lt;&gt;"",TEXT(1-manut_MP($B161,E$1,E$2)/VLOOKUP(VALUE(MID($A161,5,3)),BASE_Pot!$A$2:$B$321,2,FALSE),"0.000"),"")</f>
        <v>1.000</v>
      </c>
      <c r="F161" s="11" t="str">
        <f>IF($B161&lt;&gt;"",TEXT(1-manut_MP($B161,F$1,F$2)/VLOOKUP(VALUE(MID($A161,5,3)),BASE_Pot!$A$2:$B$321,2,FALSE),"0.000"),"")</f>
        <v>1.000</v>
      </c>
      <c r="G161" s="11" t="str">
        <f>IF($B161&lt;&gt;"",TEXT(1-manut_MP($B161,G$1,G$2)/VLOOKUP(VALUE(MID($A161,5,3)),BASE_Pot!$A$2:$B$321,2,FALSE),"0.000"),"")</f>
        <v>1.000</v>
      </c>
      <c r="H161" s="11" t="str">
        <f>IF($B161&lt;&gt;"",TEXT(1-manut_MP($B161,H$1,H$2)/VLOOKUP(VALUE(MID($A161,5,3)),BASE_Pot!$A$2:$B$321,2,FALSE),"0.000"),"")</f>
        <v>1.000</v>
      </c>
      <c r="I161" s="11" t="str">
        <f>IF($B161&lt;&gt;"",TEXT(1-manut_MP($B161,I$1,I$2)/VLOOKUP(VALUE(MID($A161,5,3)),BASE_Pot!$A$2:$B$321,2,FALSE),"0.000"),"")</f>
        <v>1.000</v>
      </c>
      <c r="J161" t="str">
        <f>""</f>
        <v/>
      </c>
      <c r="L161" t="str">
        <f t="shared" si="8"/>
        <v>MP  252  1.0001.0001.0001.0001.0001.0001.000</v>
      </c>
    </row>
    <row r="162" spans="1:12" x14ac:dyDescent="0.25">
      <c r="A162" t="s">
        <v>375</v>
      </c>
      <c r="B162" t="str">
        <f t="shared" si="7"/>
        <v/>
      </c>
      <c r="C162" s="11" t="str">
        <f>IF($B162&lt;&gt;"",TEXT(1-manut_MP($B162,C$1,C$2)/VLOOKUP(VALUE(MID($A162,5,3)),BASE_Pot!$A$2:$B$321,2,FALSE),"0.000"),"")</f>
        <v/>
      </c>
      <c r="D162" s="11" t="str">
        <f>IF($B162&lt;&gt;"",TEXT(1-manut_MP($B162,D$1,D$2)/VLOOKUP(VALUE(MID($A162,5,3)),BASE_Pot!$A$2:$B$321,2,FALSE),"0.000"),"")</f>
        <v/>
      </c>
      <c r="E162" s="11" t="str">
        <f>IF($B162&lt;&gt;"",TEXT(1-manut_MP($B162,E$1,E$2)/VLOOKUP(VALUE(MID($A162,5,3)),BASE_Pot!$A$2:$B$321,2,FALSE),"0.000"),"")</f>
        <v/>
      </c>
      <c r="F162" s="11" t="str">
        <f>IF($B162&lt;&gt;"",TEXT(1-manut_MP($B162,F$1,F$2)/VLOOKUP(VALUE(MID($A162,5,3)),BASE_Pot!$A$2:$B$321,2,FALSE),"0.000"),"")</f>
        <v/>
      </c>
      <c r="G162" s="11" t="str">
        <f>IF($B162&lt;&gt;"",TEXT(1-manut_MP($B162,G$1,G$2)/VLOOKUP(VALUE(MID($A162,5,3)),BASE_Pot!$A$2:$B$321,2,FALSE),"0.000"),"")</f>
        <v/>
      </c>
      <c r="H162" s="11" t="str">
        <f>IF($B162&lt;&gt;"",TEXT(1-manut_MP($B162,H$1,H$2)/VLOOKUP(VALUE(MID($A162,5,3)),BASE_Pot!$A$2:$B$321,2,FALSE),"0.000"),"")</f>
        <v/>
      </c>
      <c r="I162" s="11" t="str">
        <f>IF($B162&lt;&gt;"",TEXT(1-manut_MP($B162,I$1,I$2)/VLOOKUP(VALUE(MID($A162,5,3)),BASE_Pot!$A$2:$B$321,2,FALSE),"0.000"),"")</f>
        <v/>
      </c>
      <c r="J162" t="str">
        <f>""</f>
        <v/>
      </c>
      <c r="L162" t="str">
        <f t="shared" si="8"/>
        <v>&amp;SAO SALVADOR</v>
      </c>
    </row>
    <row r="163" spans="1:12" x14ac:dyDescent="0.25">
      <c r="A163" t="s">
        <v>560</v>
      </c>
      <c r="B163" t="str">
        <f t="shared" si="7"/>
        <v>253-H</v>
      </c>
      <c r="C163" s="11" t="str">
        <f>IF($B163&lt;&gt;"",TEXT(1-manut_MP($B163,C$1,C$2)/VLOOKUP(VALUE(MID($A163,5,3)),BASE_Pot!$A$2:$B$321,2,FALSE),"0.000"),"")</f>
        <v>0.500</v>
      </c>
      <c r="D163" s="11" t="str">
        <f>IF($B163&lt;&gt;"",TEXT(1-manut_MP($B163,D$1,D$2)/VLOOKUP(VALUE(MID($A163,5,3)),BASE_Pot!$A$2:$B$321,2,FALSE),"0.000"),"")</f>
        <v>0.500</v>
      </c>
      <c r="E163" s="11" t="str">
        <f>IF($B163&lt;&gt;"",TEXT(1-manut_MP($B163,E$1,E$2)/VLOOKUP(VALUE(MID($A163,5,3)),BASE_Pot!$A$2:$B$321,2,FALSE),"0.000"),"")</f>
        <v>0.500</v>
      </c>
      <c r="F163" s="11" t="str">
        <f>IF($B163&lt;&gt;"",TEXT(1-manut_MP($B163,F$1,F$2)/VLOOKUP(VALUE(MID($A163,5,3)),BASE_Pot!$A$2:$B$321,2,FALSE),"0.000"),"")</f>
        <v>0.500</v>
      </c>
      <c r="G163" s="11" t="str">
        <f>IF($B163&lt;&gt;"",TEXT(1-manut_MP($B163,G$1,G$2)/VLOOKUP(VALUE(MID($A163,5,3)),BASE_Pot!$A$2:$B$321,2,FALSE),"0.000"),"")</f>
        <v>0.500</v>
      </c>
      <c r="H163" s="11" t="str">
        <f>IF($B163&lt;&gt;"",TEXT(1-manut_MP($B163,H$1,H$2)/VLOOKUP(VALUE(MID($A163,5,3)),BASE_Pot!$A$2:$B$321,2,FALSE),"0.000"),"")</f>
        <v>0.929</v>
      </c>
      <c r="I163" s="11" t="str">
        <f>IF($B163&lt;&gt;"",TEXT(1-manut_MP($B163,I$1,I$2)/VLOOKUP(VALUE(MID($A163,5,3)),BASE_Pot!$A$2:$B$321,2,FALSE),"0.000"),"")</f>
        <v>1.000</v>
      </c>
      <c r="J163" t="str">
        <f>""</f>
        <v/>
      </c>
      <c r="L163" t="str">
        <f t="shared" si="8"/>
        <v>MP  253  0.5000.5000.5000.5000.5000.9291.000</v>
      </c>
    </row>
    <row r="164" spans="1:12" x14ac:dyDescent="0.25">
      <c r="A164" t="s">
        <v>376</v>
      </c>
      <c r="B164" t="str">
        <f t="shared" si="7"/>
        <v/>
      </c>
      <c r="C164" s="11" t="str">
        <f>IF($B164&lt;&gt;"",TEXT(1-manut_MP($B164,C$1,C$2)/VLOOKUP(VALUE(MID($A164,5,3)),BASE_Pot!$A$2:$B$321,2,FALSE),"0.000"),"")</f>
        <v/>
      </c>
      <c r="D164" s="11" t="str">
        <f>IF($B164&lt;&gt;"",TEXT(1-manut_MP($B164,D$1,D$2)/VLOOKUP(VALUE(MID($A164,5,3)),BASE_Pot!$A$2:$B$321,2,FALSE),"0.000"),"")</f>
        <v/>
      </c>
      <c r="E164" s="11" t="str">
        <f>IF($B164&lt;&gt;"",TEXT(1-manut_MP($B164,E$1,E$2)/VLOOKUP(VALUE(MID($A164,5,3)),BASE_Pot!$A$2:$B$321,2,FALSE),"0.000"),"")</f>
        <v/>
      </c>
      <c r="F164" s="11" t="str">
        <f>IF($B164&lt;&gt;"",TEXT(1-manut_MP($B164,F$1,F$2)/VLOOKUP(VALUE(MID($A164,5,3)),BASE_Pot!$A$2:$B$321,2,FALSE),"0.000"),"")</f>
        <v/>
      </c>
      <c r="G164" s="11" t="str">
        <f>IF($B164&lt;&gt;"",TEXT(1-manut_MP($B164,G$1,G$2)/VLOOKUP(VALUE(MID($A164,5,3)),BASE_Pot!$A$2:$B$321,2,FALSE),"0.000"),"")</f>
        <v/>
      </c>
      <c r="H164" s="11" t="str">
        <f>IF($B164&lt;&gt;"",TEXT(1-manut_MP($B164,H$1,H$2)/VLOOKUP(VALUE(MID($A164,5,3)),BASE_Pot!$A$2:$B$321,2,FALSE),"0.000"),"")</f>
        <v/>
      </c>
      <c r="I164" s="11" t="str">
        <f>IF($B164&lt;&gt;"",TEXT(1-manut_MP($B164,I$1,I$2)/VLOOKUP(VALUE(MID($A164,5,3)),BASE_Pot!$A$2:$B$321,2,FALSE),"0.000"),"")</f>
        <v/>
      </c>
      <c r="J164" t="str">
        <f>""</f>
        <v/>
      </c>
      <c r="L164" t="str">
        <f t="shared" si="8"/>
        <v>&amp;ESTREITO TOC</v>
      </c>
    </row>
    <row r="165" spans="1:12" x14ac:dyDescent="0.25">
      <c r="A165" t="s">
        <v>561</v>
      </c>
      <c r="B165" t="str">
        <f t="shared" si="7"/>
        <v>267-H</v>
      </c>
      <c r="C165" s="11" t="str">
        <f>IF($B165&lt;&gt;"",TEXT(1-manut_MP($B165,C$1,C$2)/VLOOKUP(VALUE(MID($A165,5,3)),BASE_Pot!$A$2:$B$321,2,FALSE),"0.000"),"")</f>
        <v>1.000</v>
      </c>
      <c r="D165" s="11" t="str">
        <f>IF($B165&lt;&gt;"",TEXT(1-manut_MP($B165,D$1,D$2)/VLOOKUP(VALUE(MID($A165,5,3)),BASE_Pot!$A$2:$B$321,2,FALSE),"0.000"),"")</f>
        <v>1.000</v>
      </c>
      <c r="E165" s="11" t="str">
        <f>IF($B165&lt;&gt;"",TEXT(1-manut_MP($B165,E$1,E$2)/VLOOKUP(VALUE(MID($A165,5,3)),BASE_Pot!$A$2:$B$321,2,FALSE),"0.000"),"")</f>
        <v>1.000</v>
      </c>
      <c r="F165" s="11" t="str">
        <f>IF($B165&lt;&gt;"",TEXT(1-manut_MP($B165,F$1,F$2)/VLOOKUP(VALUE(MID($A165,5,3)),BASE_Pot!$A$2:$B$321,2,FALSE),"0.000"),"")</f>
        <v>1.000</v>
      </c>
      <c r="G165" s="11" t="str">
        <f>IF($B165&lt;&gt;"",TEXT(1-manut_MP($B165,G$1,G$2)/VLOOKUP(VALUE(MID($A165,5,3)),BASE_Pot!$A$2:$B$321,2,FALSE),"0.000"),"")</f>
        <v>0.875</v>
      </c>
      <c r="H165" s="11" t="str">
        <f>IF($B165&lt;&gt;"",TEXT(1-manut_MP($B165,H$1,H$2)/VLOOKUP(VALUE(MID($A165,5,3)),BASE_Pot!$A$2:$B$321,2,FALSE),"0.000"),"")</f>
        <v>0.982</v>
      </c>
      <c r="I165" s="11" t="str">
        <f>IF($B165&lt;&gt;"",TEXT(1-manut_MP($B165,I$1,I$2)/VLOOKUP(VALUE(MID($A165,5,3)),BASE_Pot!$A$2:$B$321,2,FALSE),"0.000"),"")</f>
        <v>1.000</v>
      </c>
      <c r="J165" t="str">
        <f>""</f>
        <v/>
      </c>
      <c r="L165" t="str">
        <f t="shared" si="8"/>
        <v>MP  267  1.0001.0001.0001.0000.8750.9821.000</v>
      </c>
    </row>
    <row r="166" spans="1:12" x14ac:dyDescent="0.25">
      <c r="A166" t="s">
        <v>377</v>
      </c>
      <c r="B166" t="str">
        <f t="shared" si="7"/>
        <v/>
      </c>
      <c r="C166" s="11" t="str">
        <f>IF($B166&lt;&gt;"",TEXT(1-manut_MP($B166,C$1,C$2)/VLOOKUP(VALUE(MID($A166,5,3)),BASE_Pot!$A$2:$B$321,2,FALSE),"0.000"),"")</f>
        <v/>
      </c>
      <c r="D166" s="11" t="str">
        <f>IF($B166&lt;&gt;"",TEXT(1-manut_MP($B166,D$1,D$2)/VLOOKUP(VALUE(MID($A166,5,3)),BASE_Pot!$A$2:$B$321,2,FALSE),"0.000"),"")</f>
        <v/>
      </c>
      <c r="E166" s="11" t="str">
        <f>IF($B166&lt;&gt;"",TEXT(1-manut_MP($B166,E$1,E$2)/VLOOKUP(VALUE(MID($A166,5,3)),BASE_Pot!$A$2:$B$321,2,FALSE),"0.000"),"")</f>
        <v/>
      </c>
      <c r="F166" s="11" t="str">
        <f>IF($B166&lt;&gt;"",TEXT(1-manut_MP($B166,F$1,F$2)/VLOOKUP(VALUE(MID($A166,5,3)),BASE_Pot!$A$2:$B$321,2,FALSE),"0.000"),"")</f>
        <v/>
      </c>
      <c r="G166" s="11" t="str">
        <f>IF($B166&lt;&gt;"",TEXT(1-manut_MP($B166,G$1,G$2)/VLOOKUP(VALUE(MID($A166,5,3)),BASE_Pot!$A$2:$B$321,2,FALSE),"0.000"),"")</f>
        <v/>
      </c>
      <c r="H166" s="11" t="str">
        <f>IF($B166&lt;&gt;"",TEXT(1-manut_MP($B166,H$1,H$2)/VLOOKUP(VALUE(MID($A166,5,3)),BASE_Pot!$A$2:$B$321,2,FALSE),"0.000"),"")</f>
        <v/>
      </c>
      <c r="I166" s="11" t="str">
        <f>IF($B166&lt;&gt;"",TEXT(1-manut_MP($B166,I$1,I$2)/VLOOKUP(VALUE(MID($A166,5,3)),BASE_Pot!$A$2:$B$321,2,FALSE),"0.000"),"")</f>
        <v/>
      </c>
      <c r="J166" t="str">
        <f>""</f>
        <v/>
      </c>
      <c r="L166" t="str">
        <f t="shared" si="8"/>
        <v>&amp;PONTE PEDRA</v>
      </c>
    </row>
    <row r="167" spans="1:12" x14ac:dyDescent="0.25">
      <c r="A167" t="s">
        <v>562</v>
      </c>
      <c r="B167" t="str">
        <f t="shared" si="7"/>
        <v>281-H</v>
      </c>
      <c r="C167" s="11" t="str">
        <f>IF($B167&lt;&gt;"",TEXT(1-manut_MP($B167,C$1,C$2)/VLOOKUP(VALUE(MID($A167,5,3)),BASE_Pot!$A$2:$B$321,2,FALSE),"0.000"),"")</f>
        <v>0.667</v>
      </c>
      <c r="D167" s="11" t="str">
        <f>IF($B167&lt;&gt;"",TEXT(1-manut_MP($B167,D$1,D$2)/VLOOKUP(VALUE(MID($A167,5,3)),BASE_Pot!$A$2:$B$321,2,FALSE),"0.000"),"")</f>
        <v>0.667</v>
      </c>
      <c r="E167" s="11" t="str">
        <f>IF($B167&lt;&gt;"",TEXT(1-manut_MP($B167,E$1,E$2)/VLOOKUP(VALUE(MID($A167,5,3)),BASE_Pot!$A$2:$B$321,2,FALSE),"0.000"),"")</f>
        <v>0.667</v>
      </c>
      <c r="F167" s="11" t="str">
        <f>IF($B167&lt;&gt;"",TEXT(1-manut_MP($B167,F$1,F$2)/VLOOKUP(VALUE(MID($A167,5,3)),BASE_Pot!$A$2:$B$321,2,FALSE),"0.000"),"")</f>
        <v>0.667</v>
      </c>
      <c r="G167" s="11" t="str">
        <f>IF($B167&lt;&gt;"",TEXT(1-manut_MP($B167,G$1,G$2)/VLOOKUP(VALUE(MID($A167,5,3)),BASE_Pot!$A$2:$B$321,2,FALSE),"0.000"),"")</f>
        <v>0.667</v>
      </c>
      <c r="H167" s="11" t="str">
        <f>IF($B167&lt;&gt;"",TEXT(1-manut_MP($B167,H$1,H$2)/VLOOKUP(VALUE(MID($A167,5,3)),BASE_Pot!$A$2:$B$321,2,FALSE),"0.000"),"")</f>
        <v>0.952</v>
      </c>
      <c r="I167" s="11" t="str">
        <f>IF($B167&lt;&gt;"",TEXT(1-manut_MP($B167,I$1,I$2)/VLOOKUP(VALUE(MID($A167,5,3)),BASE_Pot!$A$2:$B$321,2,FALSE),"0.000"),"")</f>
        <v>1.000</v>
      </c>
      <c r="J167" t="str">
        <f>""</f>
        <v/>
      </c>
      <c r="L167" t="str">
        <f t="shared" si="8"/>
        <v>MP  281  0.6670.6670.6670.6670.6670.9521.000</v>
      </c>
    </row>
    <row r="168" spans="1:12" x14ac:dyDescent="0.25">
      <c r="A168" t="s">
        <v>304</v>
      </c>
      <c r="B168" t="str">
        <f t="shared" si="7"/>
        <v/>
      </c>
      <c r="C168" s="11" t="str">
        <f>IF($B168&lt;&gt;"",TEXT(1-manut_MP($B168,C$1,C$2)/VLOOKUP(VALUE(MID($A168,5,3)),BASE_Pot!$A$2:$B$321,2,FALSE),"0.000"),"")</f>
        <v/>
      </c>
      <c r="D168" s="11" t="str">
        <f>IF($B168&lt;&gt;"",TEXT(1-manut_MP($B168,D$1,D$2)/VLOOKUP(VALUE(MID($A168,5,3)),BASE_Pot!$A$2:$B$321,2,FALSE),"0.000"),"")</f>
        <v/>
      </c>
      <c r="E168" s="11" t="str">
        <f>IF($B168&lt;&gt;"",TEXT(1-manut_MP($B168,E$1,E$2)/VLOOKUP(VALUE(MID($A168,5,3)),BASE_Pot!$A$2:$B$321,2,FALSE),"0.000"),"")</f>
        <v/>
      </c>
      <c r="F168" s="11" t="str">
        <f>IF($B168&lt;&gt;"",TEXT(1-manut_MP($B168,F$1,F$2)/VLOOKUP(VALUE(MID($A168,5,3)),BASE_Pot!$A$2:$B$321,2,FALSE),"0.000"),"")</f>
        <v/>
      </c>
      <c r="G168" s="11" t="str">
        <f>IF($B168&lt;&gt;"",TEXT(1-manut_MP($B168,G$1,G$2)/VLOOKUP(VALUE(MID($A168,5,3)),BASE_Pot!$A$2:$B$321,2,FALSE),"0.000"),"")</f>
        <v/>
      </c>
      <c r="H168" s="11" t="str">
        <f>IF($B168&lt;&gt;"",TEXT(1-manut_MP($B168,H$1,H$2)/VLOOKUP(VALUE(MID($A168,5,3)),BASE_Pot!$A$2:$B$321,2,FALSE),"0.000"),"")</f>
        <v/>
      </c>
      <c r="I168" s="11" t="str">
        <f>IF($B168&lt;&gt;"",TEXT(1-manut_MP($B168,I$1,I$2)/VLOOKUP(VALUE(MID($A168,5,3)),BASE_Pot!$A$2:$B$321,2,FALSE),"0.000"),"")</f>
        <v/>
      </c>
      <c r="J168" t="str">
        <f>""</f>
        <v/>
      </c>
      <c r="L168" t="str">
        <f t="shared" si="8"/>
        <v>&amp;.................................</v>
      </c>
    </row>
    <row r="169" spans="1:12" x14ac:dyDescent="0.25">
      <c r="A169" t="s">
        <v>378</v>
      </c>
      <c r="B169" t="str">
        <f t="shared" si="7"/>
        <v/>
      </c>
      <c r="C169" s="11" t="str">
        <f>IF($B169&lt;&gt;"",TEXT(1-manut_MP($B169,C$1,C$2)/VLOOKUP(VALUE(MID($A169,5,3)),BASE_Pot!$A$2:$B$321,2,FALSE),"0.000"),"")</f>
        <v/>
      </c>
      <c r="D169" s="11" t="str">
        <f>IF($B169&lt;&gt;"",TEXT(1-manut_MP($B169,D$1,D$2)/VLOOKUP(VALUE(MID($A169,5,3)),BASE_Pot!$A$2:$B$321,2,FALSE),"0.000"),"")</f>
        <v/>
      </c>
      <c r="E169" s="11" t="str">
        <f>IF($B169&lt;&gt;"",TEXT(1-manut_MP($B169,E$1,E$2)/VLOOKUP(VALUE(MID($A169,5,3)),BASE_Pot!$A$2:$B$321,2,FALSE),"0.000"),"")</f>
        <v/>
      </c>
      <c r="F169" s="11" t="str">
        <f>IF($B169&lt;&gt;"",TEXT(1-manut_MP($B169,F$1,F$2)/VLOOKUP(VALUE(MID($A169,5,3)),BASE_Pot!$A$2:$B$321,2,FALSE),"0.000"),"")</f>
        <v/>
      </c>
      <c r="G169" s="11" t="str">
        <f>IF($B169&lt;&gt;"",TEXT(1-manut_MP($B169,G$1,G$2)/VLOOKUP(VALUE(MID($A169,5,3)),BASE_Pot!$A$2:$B$321,2,FALSE),"0.000"),"")</f>
        <v/>
      </c>
      <c r="H169" s="11" t="str">
        <f>IF($B169&lt;&gt;"",TEXT(1-manut_MP($B169,H$1,H$2)/VLOOKUP(VALUE(MID($A169,5,3)),BASE_Pot!$A$2:$B$321,2,FALSE),"0.000"),"")</f>
        <v/>
      </c>
      <c r="I169" s="11" t="str">
        <f>IF($B169&lt;&gt;"",TEXT(1-manut_MP($B169,I$1,I$2)/VLOOKUP(VALUE(MID($A169,5,3)),BASE_Pot!$A$2:$B$321,2,FALSE),"0.000"),"")</f>
        <v/>
      </c>
      <c r="J169" t="str">
        <f>""</f>
        <v/>
      </c>
      <c r="L169" t="str">
        <f t="shared" si="8"/>
        <v>&amp;         CHESF</v>
      </c>
    </row>
    <row r="170" spans="1:12" x14ac:dyDescent="0.25">
      <c r="A170" t="s">
        <v>304</v>
      </c>
      <c r="B170" t="str">
        <f t="shared" si="7"/>
        <v/>
      </c>
      <c r="C170" s="11" t="str">
        <f>IF($B170&lt;&gt;"",TEXT(1-manut_MP($B170,C$1,C$2)/VLOOKUP(VALUE(MID($A170,5,3)),BASE_Pot!$A$2:$B$321,2,FALSE),"0.000"),"")</f>
        <v/>
      </c>
      <c r="D170" s="11" t="str">
        <f>IF($B170&lt;&gt;"",TEXT(1-manut_MP($B170,D$1,D$2)/VLOOKUP(VALUE(MID($A170,5,3)),BASE_Pot!$A$2:$B$321,2,FALSE),"0.000"),"")</f>
        <v/>
      </c>
      <c r="E170" s="11" t="str">
        <f>IF($B170&lt;&gt;"",TEXT(1-manut_MP($B170,E$1,E$2)/VLOOKUP(VALUE(MID($A170,5,3)),BASE_Pot!$A$2:$B$321,2,FALSE),"0.000"),"")</f>
        <v/>
      </c>
      <c r="F170" s="11" t="str">
        <f>IF($B170&lt;&gt;"",TEXT(1-manut_MP($B170,F$1,F$2)/VLOOKUP(VALUE(MID($A170,5,3)),BASE_Pot!$A$2:$B$321,2,FALSE),"0.000"),"")</f>
        <v/>
      </c>
      <c r="G170" s="11" t="str">
        <f>IF($B170&lt;&gt;"",TEXT(1-manut_MP($B170,G$1,G$2)/VLOOKUP(VALUE(MID($A170,5,3)),BASE_Pot!$A$2:$B$321,2,FALSE),"0.000"),"")</f>
        <v/>
      </c>
      <c r="H170" s="11" t="str">
        <f>IF($B170&lt;&gt;"",TEXT(1-manut_MP($B170,H$1,H$2)/VLOOKUP(VALUE(MID($A170,5,3)),BASE_Pot!$A$2:$B$321,2,FALSE),"0.000"),"")</f>
        <v/>
      </c>
      <c r="I170" s="11" t="str">
        <f>IF($B170&lt;&gt;"",TEXT(1-manut_MP($B170,I$1,I$2)/VLOOKUP(VALUE(MID($A170,5,3)),BASE_Pot!$A$2:$B$321,2,FALSE),"0.000"),"")</f>
        <v/>
      </c>
      <c r="J170" t="str">
        <f>""</f>
        <v/>
      </c>
      <c r="L170" t="str">
        <f t="shared" si="8"/>
        <v>&amp;.................................</v>
      </c>
    </row>
    <row r="171" spans="1:12" x14ac:dyDescent="0.25">
      <c r="A171" t="s">
        <v>379</v>
      </c>
      <c r="B171" t="str">
        <f t="shared" si="7"/>
        <v/>
      </c>
      <c r="C171" s="11" t="str">
        <f>IF($B171&lt;&gt;"",TEXT(1-manut_MP($B171,C$1,C$2)/VLOOKUP(VALUE(MID($A171,5,3)),BASE_Pot!$A$2:$B$321,2,FALSE),"0.000"),"")</f>
        <v/>
      </c>
      <c r="D171" s="11" t="str">
        <f>IF($B171&lt;&gt;"",TEXT(1-manut_MP($B171,D$1,D$2)/VLOOKUP(VALUE(MID($A171,5,3)),BASE_Pot!$A$2:$B$321,2,FALSE),"0.000"),"")</f>
        <v/>
      </c>
      <c r="E171" s="11" t="str">
        <f>IF($B171&lt;&gt;"",TEXT(1-manut_MP($B171,E$1,E$2)/VLOOKUP(VALUE(MID($A171,5,3)),BASE_Pot!$A$2:$B$321,2,FALSE),"0.000"),"")</f>
        <v/>
      </c>
      <c r="F171" s="11" t="str">
        <f>IF($B171&lt;&gt;"",TEXT(1-manut_MP($B171,F$1,F$2)/VLOOKUP(VALUE(MID($A171,5,3)),BASE_Pot!$A$2:$B$321,2,FALSE),"0.000"),"")</f>
        <v/>
      </c>
      <c r="G171" s="11" t="str">
        <f>IF($B171&lt;&gt;"",TEXT(1-manut_MP($B171,G$1,G$2)/VLOOKUP(VALUE(MID($A171,5,3)),BASE_Pot!$A$2:$B$321,2,FALSE),"0.000"),"")</f>
        <v/>
      </c>
      <c r="H171" s="11" t="str">
        <f>IF($B171&lt;&gt;"",TEXT(1-manut_MP($B171,H$1,H$2)/VLOOKUP(VALUE(MID($A171,5,3)),BASE_Pot!$A$2:$B$321,2,FALSE),"0.000"),"")</f>
        <v/>
      </c>
      <c r="I171" s="11" t="str">
        <f>IF($B171&lt;&gt;"",TEXT(1-manut_MP($B171,I$1,I$2)/VLOOKUP(VALUE(MID($A171,5,3)),BASE_Pot!$A$2:$B$321,2,FALSE),"0.000"),"")</f>
        <v/>
      </c>
      <c r="J171" t="str">
        <f>""</f>
        <v/>
      </c>
      <c r="L171" t="str">
        <f t="shared" si="8"/>
        <v>&amp;SOBRADINHO</v>
      </c>
    </row>
    <row r="172" spans="1:12" x14ac:dyDescent="0.25">
      <c r="A172" t="s">
        <v>563</v>
      </c>
      <c r="B172" t="str">
        <f t="shared" si="7"/>
        <v>169-H</v>
      </c>
      <c r="C172" s="11" t="str">
        <f>IF($B172&lt;&gt;"",TEXT(1-manut_MP($B172,C$1,C$2)/VLOOKUP(VALUE(MID($A172,5,3)),BASE_Pot!$A$2:$B$321,2,FALSE),"0.000"),"")</f>
        <v>0.738</v>
      </c>
      <c r="D172" s="11" t="str">
        <f>IF($B172&lt;&gt;"",TEXT(1-manut_MP($B172,D$1,D$2)/VLOOKUP(VALUE(MID($A172,5,3)),BASE_Pot!$A$2:$B$321,2,FALSE),"0.000"),"")</f>
        <v>0.833</v>
      </c>
      <c r="E172" s="11" t="str">
        <f>IF($B172&lt;&gt;"",TEXT(1-manut_MP($B172,E$1,E$2)/VLOOKUP(VALUE(MID($A172,5,3)),BASE_Pot!$A$2:$B$321,2,FALSE),"0.000"),"")</f>
        <v>0.833</v>
      </c>
      <c r="F172" s="11" t="str">
        <f>IF($B172&lt;&gt;"",TEXT(1-manut_MP($B172,F$1,F$2)/VLOOKUP(VALUE(MID($A172,5,3)),BASE_Pot!$A$2:$B$321,2,FALSE),"0.000"),"")</f>
        <v>0.833</v>
      </c>
      <c r="G172" s="11" t="str">
        <f>IF($B172&lt;&gt;"",TEXT(1-manut_MP($B172,G$1,G$2)/VLOOKUP(VALUE(MID($A172,5,3)),BASE_Pot!$A$2:$B$321,2,FALSE),"0.000"),"")</f>
        <v>0.833</v>
      </c>
      <c r="H172" s="11" t="str">
        <f>IF($B172&lt;&gt;"",TEXT(1-manut_MP($B172,H$1,H$2)/VLOOKUP(VALUE(MID($A172,5,3)),BASE_Pot!$A$2:$B$321,2,FALSE),"0.000"),"")</f>
        <v>0.976</v>
      </c>
      <c r="I172" s="11" t="str">
        <f>IF($B172&lt;&gt;"",TEXT(1-manut_MP($B172,I$1,I$2)/VLOOKUP(VALUE(MID($A172,5,3)),BASE_Pot!$A$2:$B$321,2,FALSE),"0.000"),"")</f>
        <v>1.000</v>
      </c>
      <c r="J172" t="str">
        <f>""</f>
        <v/>
      </c>
      <c r="L172" t="str">
        <f t="shared" si="8"/>
        <v>MP  169  0.7380.8330.8330.8330.8330.9761.000</v>
      </c>
    </row>
    <row r="173" spans="1:12" x14ac:dyDescent="0.25">
      <c r="A173" t="s">
        <v>380</v>
      </c>
      <c r="B173" t="str">
        <f t="shared" si="7"/>
        <v/>
      </c>
      <c r="C173" s="11" t="str">
        <f>IF($B173&lt;&gt;"",TEXT(1-manut_MP($B173,C$1,C$2)/VLOOKUP(VALUE(MID($A173,5,3)),BASE_Pot!$A$2:$B$321,2,FALSE),"0.000"),"")</f>
        <v/>
      </c>
      <c r="D173" s="11" t="str">
        <f>IF($B173&lt;&gt;"",TEXT(1-manut_MP($B173,D$1,D$2)/VLOOKUP(VALUE(MID($A173,5,3)),BASE_Pot!$A$2:$B$321,2,FALSE),"0.000"),"")</f>
        <v/>
      </c>
      <c r="E173" s="11" t="str">
        <f>IF($B173&lt;&gt;"",TEXT(1-manut_MP($B173,E$1,E$2)/VLOOKUP(VALUE(MID($A173,5,3)),BASE_Pot!$A$2:$B$321,2,FALSE),"0.000"),"")</f>
        <v/>
      </c>
      <c r="F173" s="11" t="str">
        <f>IF($B173&lt;&gt;"",TEXT(1-manut_MP($B173,F$1,F$2)/VLOOKUP(VALUE(MID($A173,5,3)),BASE_Pot!$A$2:$B$321,2,FALSE),"0.000"),"")</f>
        <v/>
      </c>
      <c r="G173" s="11" t="str">
        <f>IF($B173&lt;&gt;"",TEXT(1-manut_MP($B173,G$1,G$2)/VLOOKUP(VALUE(MID($A173,5,3)),BASE_Pot!$A$2:$B$321,2,FALSE),"0.000"),"")</f>
        <v/>
      </c>
      <c r="H173" s="11" t="str">
        <f>IF($B173&lt;&gt;"",TEXT(1-manut_MP($B173,H$1,H$2)/VLOOKUP(VALUE(MID($A173,5,3)),BASE_Pot!$A$2:$B$321,2,FALSE),"0.000"),"")</f>
        <v/>
      </c>
      <c r="I173" s="11" t="str">
        <f>IF($B173&lt;&gt;"",TEXT(1-manut_MP($B173,I$1,I$2)/VLOOKUP(VALUE(MID($A173,5,3)),BASE_Pot!$A$2:$B$321,2,FALSE),"0.000"),"")</f>
        <v/>
      </c>
      <c r="J173" t="str">
        <f>""</f>
        <v/>
      </c>
      <c r="L173" t="str">
        <f t="shared" si="8"/>
        <v>&amp;ITAPARICA</v>
      </c>
    </row>
    <row r="174" spans="1:12" x14ac:dyDescent="0.25">
      <c r="A174" t="s">
        <v>564</v>
      </c>
      <c r="B174" t="str">
        <f t="shared" si="7"/>
        <v>172-H</v>
      </c>
      <c r="C174" s="11" t="str">
        <f>IF($B174&lt;&gt;"",TEXT(1-manut_MP($B174,C$1,C$2)/VLOOKUP(VALUE(MID($A174,5,3)),BASE_Pot!$A$2:$B$321,2,FALSE),"0.000"),"")</f>
        <v>1.000</v>
      </c>
      <c r="D174" s="11" t="str">
        <f>IF($B174&lt;&gt;"",TEXT(1-manut_MP($B174,D$1,D$2)/VLOOKUP(VALUE(MID($A174,5,3)),BASE_Pot!$A$2:$B$321,2,FALSE),"0.000"),"")</f>
        <v>1.000</v>
      </c>
      <c r="E174" s="11" t="str">
        <f>IF($B174&lt;&gt;"",TEXT(1-manut_MP($B174,E$1,E$2)/VLOOKUP(VALUE(MID($A174,5,3)),BASE_Pot!$A$2:$B$321,2,FALSE),"0.000"),"")</f>
        <v>1.000</v>
      </c>
      <c r="F174" s="11" t="str">
        <f>IF($B174&lt;&gt;"",TEXT(1-manut_MP($B174,F$1,F$2)/VLOOKUP(VALUE(MID($A174,5,3)),BASE_Pot!$A$2:$B$321,2,FALSE),"0.000"),"")</f>
        <v>1.000</v>
      </c>
      <c r="G174" s="11" t="str">
        <f>IF($B174&lt;&gt;"",TEXT(1-manut_MP($B174,G$1,G$2)/VLOOKUP(VALUE(MID($A174,5,3)),BASE_Pot!$A$2:$B$321,2,FALSE),"0.000"),"")</f>
        <v>1.000</v>
      </c>
      <c r="H174" s="11" t="str">
        <f>IF($B174&lt;&gt;"",TEXT(1-manut_MP($B174,H$1,H$2)/VLOOKUP(VALUE(MID($A174,5,3)),BASE_Pot!$A$2:$B$321,2,FALSE),"0.000"),"")</f>
        <v>1.000</v>
      </c>
      <c r="I174" s="11" t="str">
        <f>IF($B174&lt;&gt;"",TEXT(1-manut_MP($B174,I$1,I$2)/VLOOKUP(VALUE(MID($A174,5,3)),BASE_Pot!$A$2:$B$321,2,FALSE),"0.000"),"")</f>
        <v>1.000</v>
      </c>
      <c r="J174" t="str">
        <f>""</f>
        <v/>
      </c>
      <c r="L174" t="str">
        <f t="shared" si="8"/>
        <v>MP  172  1.0001.0001.0001.0001.0001.0001.000</v>
      </c>
    </row>
    <row r="175" spans="1:12" x14ac:dyDescent="0.25">
      <c r="A175" t="s">
        <v>381</v>
      </c>
      <c r="B175" t="str">
        <f t="shared" si="7"/>
        <v/>
      </c>
      <c r="C175" s="11" t="str">
        <f>IF($B175&lt;&gt;"",TEXT(1-manut_MP($B175,C$1,C$2)/VLOOKUP(VALUE(MID($A175,5,3)),BASE_Pot!$A$2:$B$321,2,FALSE),"0.000"),"")</f>
        <v/>
      </c>
      <c r="D175" s="11" t="str">
        <f>IF($B175&lt;&gt;"",TEXT(1-manut_MP($B175,D$1,D$2)/VLOOKUP(VALUE(MID($A175,5,3)),BASE_Pot!$A$2:$B$321,2,FALSE),"0.000"),"")</f>
        <v/>
      </c>
      <c r="E175" s="11" t="str">
        <f>IF($B175&lt;&gt;"",TEXT(1-manut_MP($B175,E$1,E$2)/VLOOKUP(VALUE(MID($A175,5,3)),BASE_Pot!$A$2:$B$321,2,FALSE),"0.000"),"")</f>
        <v/>
      </c>
      <c r="F175" s="11" t="str">
        <f>IF($B175&lt;&gt;"",TEXT(1-manut_MP($B175,F$1,F$2)/VLOOKUP(VALUE(MID($A175,5,3)),BASE_Pot!$A$2:$B$321,2,FALSE),"0.000"),"")</f>
        <v/>
      </c>
      <c r="G175" s="11" t="str">
        <f>IF($B175&lt;&gt;"",TEXT(1-manut_MP($B175,G$1,G$2)/VLOOKUP(VALUE(MID($A175,5,3)),BASE_Pot!$A$2:$B$321,2,FALSE),"0.000"),"")</f>
        <v/>
      </c>
      <c r="H175" s="11" t="str">
        <f>IF($B175&lt;&gt;"",TEXT(1-manut_MP($B175,H$1,H$2)/VLOOKUP(VALUE(MID($A175,5,3)),BASE_Pot!$A$2:$B$321,2,FALSE),"0.000"),"")</f>
        <v/>
      </c>
      <c r="I175" s="11" t="str">
        <f>IF($B175&lt;&gt;"",TEXT(1-manut_MP($B175,I$1,I$2)/VLOOKUP(VALUE(MID($A175,5,3)),BASE_Pot!$A$2:$B$321,2,FALSE),"0.000"),"")</f>
        <v/>
      </c>
      <c r="J175" t="str">
        <f>""</f>
        <v/>
      </c>
      <c r="L175" t="str">
        <f t="shared" si="8"/>
        <v>&amp;MOXOTO</v>
      </c>
    </row>
    <row r="176" spans="1:12" x14ac:dyDescent="0.25">
      <c r="A176" t="s">
        <v>565</v>
      </c>
      <c r="B176" t="str">
        <f t="shared" si="7"/>
        <v>173-H</v>
      </c>
      <c r="C176" s="11" t="str">
        <f>IF($B176&lt;&gt;"",TEXT(1-manut_MP($B176,C$1,C$2)/VLOOKUP(VALUE(MID($A176,5,3)),BASE_Pot!$A$2:$B$321,2,FALSE),"0.000"),"")</f>
        <v>0.571</v>
      </c>
      <c r="D176" s="11" t="str">
        <f>IF($B176&lt;&gt;"",TEXT(1-manut_MP($B176,D$1,D$2)/VLOOKUP(VALUE(MID($A176,5,3)),BASE_Pot!$A$2:$B$321,2,FALSE),"0.000"),"")</f>
        <v>0.750</v>
      </c>
      <c r="E176" s="11" t="str">
        <f>IF($B176&lt;&gt;"",TEXT(1-manut_MP($B176,E$1,E$2)/VLOOKUP(VALUE(MID($A176,5,3)),BASE_Pot!$A$2:$B$321,2,FALSE),"0.000"),"")</f>
        <v>0.393</v>
      </c>
      <c r="F176" s="11" t="str">
        <f>IF($B176&lt;&gt;"",TEXT(1-manut_MP($B176,F$1,F$2)/VLOOKUP(VALUE(MID($A176,5,3)),BASE_Pot!$A$2:$B$321,2,FALSE),"0.000"),"")</f>
        <v>0.286</v>
      </c>
      <c r="G176" s="11" t="str">
        <f>IF($B176&lt;&gt;"",TEXT(1-manut_MP($B176,G$1,G$2)/VLOOKUP(VALUE(MID($A176,5,3)),BASE_Pot!$A$2:$B$321,2,FALSE),"0.000"),"")</f>
        <v>0.500</v>
      </c>
      <c r="H176" s="11" t="str">
        <f>IF($B176&lt;&gt;"",TEXT(1-manut_MP($B176,H$1,H$2)/VLOOKUP(VALUE(MID($A176,5,3)),BASE_Pot!$A$2:$B$321,2,FALSE),"0.000"),"")</f>
        <v>0.929</v>
      </c>
      <c r="I176" s="11" t="str">
        <f>IF($B176&lt;&gt;"",TEXT(1-manut_MP($B176,I$1,I$2)/VLOOKUP(VALUE(MID($A176,5,3)),BASE_Pot!$A$2:$B$321,2,FALSE),"0.000"),"")</f>
        <v>1.000</v>
      </c>
      <c r="J176" t="str">
        <f>""</f>
        <v/>
      </c>
      <c r="L176" t="str">
        <f t="shared" si="8"/>
        <v>MP  173  0.5710.7500.3930.2860.5000.9291.000</v>
      </c>
    </row>
    <row r="177" spans="1:12" x14ac:dyDescent="0.25">
      <c r="A177" t="s">
        <v>382</v>
      </c>
      <c r="B177" t="str">
        <f t="shared" si="7"/>
        <v/>
      </c>
      <c r="C177" s="11" t="str">
        <f>IF($B177&lt;&gt;"",TEXT(1-manut_MP($B177,C$1,C$2)/VLOOKUP(VALUE(MID($A177,5,3)),BASE_Pot!$A$2:$B$321,2,FALSE),"0.000"),"")</f>
        <v/>
      </c>
      <c r="D177" s="11" t="str">
        <f>IF($B177&lt;&gt;"",TEXT(1-manut_MP($B177,D$1,D$2)/VLOOKUP(VALUE(MID($A177,5,3)),BASE_Pot!$A$2:$B$321,2,FALSE),"0.000"),"")</f>
        <v/>
      </c>
      <c r="E177" s="11" t="str">
        <f>IF($B177&lt;&gt;"",TEXT(1-manut_MP($B177,E$1,E$2)/VLOOKUP(VALUE(MID($A177,5,3)),BASE_Pot!$A$2:$B$321,2,FALSE),"0.000"),"")</f>
        <v/>
      </c>
      <c r="F177" s="11" t="str">
        <f>IF($B177&lt;&gt;"",TEXT(1-manut_MP($B177,F$1,F$2)/VLOOKUP(VALUE(MID($A177,5,3)),BASE_Pot!$A$2:$B$321,2,FALSE),"0.000"),"")</f>
        <v/>
      </c>
      <c r="G177" s="11" t="str">
        <f>IF($B177&lt;&gt;"",TEXT(1-manut_MP($B177,G$1,G$2)/VLOOKUP(VALUE(MID($A177,5,3)),BASE_Pot!$A$2:$B$321,2,FALSE),"0.000"),"")</f>
        <v/>
      </c>
      <c r="H177" s="11" t="str">
        <f>IF($B177&lt;&gt;"",TEXT(1-manut_MP($B177,H$1,H$2)/VLOOKUP(VALUE(MID($A177,5,3)),BASE_Pot!$A$2:$B$321,2,FALSE),"0.000"),"")</f>
        <v/>
      </c>
      <c r="I177" s="11" t="str">
        <f>IF($B177&lt;&gt;"",TEXT(1-manut_MP($B177,I$1,I$2)/VLOOKUP(VALUE(MID($A177,5,3)),BASE_Pot!$A$2:$B$321,2,FALSE),"0.000"),"")</f>
        <v/>
      </c>
      <c r="J177" t="str">
        <f>""</f>
        <v/>
      </c>
      <c r="L177" t="str">
        <f t="shared" si="8"/>
        <v>&amp;P.AFONSO 123</v>
      </c>
    </row>
    <row r="178" spans="1:12" x14ac:dyDescent="0.25">
      <c r="A178" t="s">
        <v>566</v>
      </c>
      <c r="B178" t="str">
        <f t="shared" si="7"/>
        <v>174-H</v>
      </c>
      <c r="C178" s="11" t="str">
        <f>IF($B178&lt;&gt;"",TEXT(1-manut_MP($B178,C$1,C$2)/VLOOKUP(VALUE(MID($A178,5,3)),BASE_Pot!$A$2:$B$321,2,FALSE),"0.000"),"")</f>
        <v>0.820</v>
      </c>
      <c r="D178" s="11" t="str">
        <f>IF($B178&lt;&gt;"",TEXT(1-manut_MP($B178,D$1,D$2)/VLOOKUP(VALUE(MID($A178,5,3)),BASE_Pot!$A$2:$B$321,2,FALSE),"0.000"),"")</f>
        <v>0.900</v>
      </c>
      <c r="E178" s="11" t="str">
        <f>IF($B178&lt;&gt;"",TEXT(1-manut_MP($B178,E$1,E$2)/VLOOKUP(VALUE(MID($A178,5,3)),BASE_Pot!$A$2:$B$321,2,FALSE),"0.000"),"")</f>
        <v>0.860</v>
      </c>
      <c r="F178" s="11" t="str">
        <f>IF($B178&lt;&gt;"",TEXT(1-manut_MP($B178,F$1,F$2)/VLOOKUP(VALUE(MID($A178,5,3)),BASE_Pot!$A$2:$B$321,2,FALSE),"0.000"),"")</f>
        <v>0.860</v>
      </c>
      <c r="G178" s="11" t="str">
        <f>IF($B178&lt;&gt;"",TEXT(1-manut_MP($B178,G$1,G$2)/VLOOKUP(VALUE(MID($A178,5,3)),BASE_Pot!$A$2:$B$321,2,FALSE),"0.000"),"")</f>
        <v>0.860</v>
      </c>
      <c r="H178" s="11" t="str">
        <f>IF($B178&lt;&gt;"",TEXT(1-manut_MP($B178,H$1,H$2)/VLOOKUP(VALUE(MID($A178,5,3)),BASE_Pot!$A$2:$B$321,2,FALSE),"0.000"),"")</f>
        <v>0.980</v>
      </c>
      <c r="I178" s="11" t="str">
        <f>IF($B178&lt;&gt;"",TEXT(1-manut_MP($B178,I$1,I$2)/VLOOKUP(VALUE(MID($A178,5,3)),BASE_Pot!$A$2:$B$321,2,FALSE),"0.000"),"")</f>
        <v>1.000</v>
      </c>
      <c r="J178" t="str">
        <f>""</f>
        <v/>
      </c>
      <c r="L178" t="str">
        <f t="shared" si="8"/>
        <v>MP  174  0.8200.9000.8600.8600.8600.9801.000</v>
      </c>
    </row>
    <row r="179" spans="1:12" x14ac:dyDescent="0.25">
      <c r="A179" t="s">
        <v>383</v>
      </c>
      <c r="B179" t="str">
        <f t="shared" si="7"/>
        <v/>
      </c>
      <c r="C179" s="11" t="str">
        <f>IF($B179&lt;&gt;"",TEXT(1-manut_MP($B179,C$1,C$2)/VLOOKUP(VALUE(MID($A179,5,3)),BASE_Pot!$A$2:$B$321,2,FALSE),"0.000"),"")</f>
        <v/>
      </c>
      <c r="D179" s="11" t="str">
        <f>IF($B179&lt;&gt;"",TEXT(1-manut_MP($B179,D$1,D$2)/VLOOKUP(VALUE(MID($A179,5,3)),BASE_Pot!$A$2:$B$321,2,FALSE),"0.000"),"")</f>
        <v/>
      </c>
      <c r="E179" s="11" t="str">
        <f>IF($B179&lt;&gt;"",TEXT(1-manut_MP($B179,E$1,E$2)/VLOOKUP(VALUE(MID($A179,5,3)),BASE_Pot!$A$2:$B$321,2,FALSE),"0.000"),"")</f>
        <v/>
      </c>
      <c r="F179" s="11" t="str">
        <f>IF($B179&lt;&gt;"",TEXT(1-manut_MP($B179,F$1,F$2)/VLOOKUP(VALUE(MID($A179,5,3)),BASE_Pot!$A$2:$B$321,2,FALSE),"0.000"),"")</f>
        <v/>
      </c>
      <c r="G179" s="11" t="str">
        <f>IF($B179&lt;&gt;"",TEXT(1-manut_MP($B179,G$1,G$2)/VLOOKUP(VALUE(MID($A179,5,3)),BASE_Pot!$A$2:$B$321,2,FALSE),"0.000"),"")</f>
        <v/>
      </c>
      <c r="H179" s="11" t="str">
        <f>IF($B179&lt;&gt;"",TEXT(1-manut_MP($B179,H$1,H$2)/VLOOKUP(VALUE(MID($A179,5,3)),BASE_Pot!$A$2:$B$321,2,FALSE),"0.000"),"")</f>
        <v/>
      </c>
      <c r="I179" s="11" t="str">
        <f>IF($B179&lt;&gt;"",TEXT(1-manut_MP($B179,I$1,I$2)/VLOOKUP(VALUE(MID($A179,5,3)),BASE_Pot!$A$2:$B$321,2,FALSE),"0.000"),"")</f>
        <v/>
      </c>
      <c r="J179" t="str">
        <f>""</f>
        <v/>
      </c>
      <c r="L179" t="str">
        <f t="shared" si="8"/>
        <v>&amp;P.AFONSO 4</v>
      </c>
    </row>
    <row r="180" spans="1:12" x14ac:dyDescent="0.25">
      <c r="A180" t="s">
        <v>567</v>
      </c>
      <c r="B180" t="str">
        <f t="shared" si="7"/>
        <v>175-H</v>
      </c>
      <c r="C180" s="11" t="str">
        <f>IF($B180&lt;&gt;"",TEXT(1-manut_MP($B180,C$1,C$2)/VLOOKUP(VALUE(MID($A180,5,3)),BASE_Pot!$A$2:$B$321,2,FALSE),"0.000"),"")</f>
        <v>0.500</v>
      </c>
      <c r="D180" s="11" t="str">
        <f>IF($B180&lt;&gt;"",TEXT(1-manut_MP($B180,D$1,D$2)/VLOOKUP(VALUE(MID($A180,5,3)),BASE_Pot!$A$2:$B$321,2,FALSE),"0.000"),"")</f>
        <v>0.500</v>
      </c>
      <c r="E180" s="11" t="str">
        <f>IF($B180&lt;&gt;"",TEXT(1-manut_MP($B180,E$1,E$2)/VLOOKUP(VALUE(MID($A180,5,3)),BASE_Pot!$A$2:$B$321,2,FALSE),"0.000"),"")</f>
        <v>0.500</v>
      </c>
      <c r="F180" s="11" t="str">
        <f>IF($B180&lt;&gt;"",TEXT(1-manut_MP($B180,F$1,F$2)/VLOOKUP(VALUE(MID($A180,5,3)),BASE_Pot!$A$2:$B$321,2,FALSE),"0.000"),"")</f>
        <v>0.500</v>
      </c>
      <c r="G180" s="11" t="str">
        <f>IF($B180&lt;&gt;"",TEXT(1-manut_MP($B180,G$1,G$2)/VLOOKUP(VALUE(MID($A180,5,3)),BASE_Pot!$A$2:$B$321,2,FALSE),"0.000"),"")</f>
        <v>0.500</v>
      </c>
      <c r="H180" s="11" t="str">
        <f>IF($B180&lt;&gt;"",TEXT(1-manut_MP($B180,H$1,H$2)/VLOOKUP(VALUE(MID($A180,5,3)),BASE_Pot!$A$2:$B$321,2,FALSE),"0.000"),"")</f>
        <v>0.929</v>
      </c>
      <c r="I180" s="11" t="str">
        <f>IF($B180&lt;&gt;"",TEXT(1-manut_MP($B180,I$1,I$2)/VLOOKUP(VALUE(MID($A180,5,3)),BASE_Pot!$A$2:$B$321,2,FALSE),"0.000"),"")</f>
        <v>1.000</v>
      </c>
      <c r="J180" t="str">
        <f>""</f>
        <v/>
      </c>
      <c r="L180" t="str">
        <f t="shared" si="8"/>
        <v>MP  175  0.5000.5000.5000.5000.5000.9291.000</v>
      </c>
    </row>
    <row r="181" spans="1:12" x14ac:dyDescent="0.25">
      <c r="A181" t="s">
        <v>384</v>
      </c>
      <c r="B181" t="str">
        <f t="shared" si="7"/>
        <v/>
      </c>
      <c r="C181" s="11" t="str">
        <f>IF($B181&lt;&gt;"",TEXT(1-manut_MP($B181,C$1,C$2)/VLOOKUP(VALUE(MID($A181,5,3)),BASE_Pot!$A$2:$B$321,2,FALSE),"0.000"),"")</f>
        <v/>
      </c>
      <c r="D181" s="11" t="str">
        <f>IF($B181&lt;&gt;"",TEXT(1-manut_MP($B181,D$1,D$2)/VLOOKUP(VALUE(MID($A181,5,3)),BASE_Pot!$A$2:$B$321,2,FALSE),"0.000"),"")</f>
        <v/>
      </c>
      <c r="E181" s="11" t="str">
        <f>IF($B181&lt;&gt;"",TEXT(1-manut_MP($B181,E$1,E$2)/VLOOKUP(VALUE(MID($A181,5,3)),BASE_Pot!$A$2:$B$321,2,FALSE),"0.000"),"")</f>
        <v/>
      </c>
      <c r="F181" s="11" t="str">
        <f>IF($B181&lt;&gt;"",TEXT(1-manut_MP($B181,F$1,F$2)/VLOOKUP(VALUE(MID($A181,5,3)),BASE_Pot!$A$2:$B$321,2,FALSE),"0.000"),"")</f>
        <v/>
      </c>
      <c r="G181" s="11" t="str">
        <f>IF($B181&lt;&gt;"",TEXT(1-manut_MP($B181,G$1,G$2)/VLOOKUP(VALUE(MID($A181,5,3)),BASE_Pot!$A$2:$B$321,2,FALSE),"0.000"),"")</f>
        <v/>
      </c>
      <c r="H181" s="11" t="str">
        <f>IF($B181&lt;&gt;"",TEXT(1-manut_MP($B181,H$1,H$2)/VLOOKUP(VALUE(MID($A181,5,3)),BASE_Pot!$A$2:$B$321,2,FALSE),"0.000"),"")</f>
        <v/>
      </c>
      <c r="I181" s="11" t="str">
        <f>IF($B181&lt;&gt;"",TEXT(1-manut_MP($B181,I$1,I$2)/VLOOKUP(VALUE(MID($A181,5,3)),BASE_Pot!$A$2:$B$321,2,FALSE),"0.000"),"")</f>
        <v/>
      </c>
      <c r="J181" t="str">
        <f>""</f>
        <v/>
      </c>
      <c r="L181" t="str">
        <f t="shared" si="8"/>
        <v>&amp;XINGO</v>
      </c>
    </row>
    <row r="182" spans="1:12" x14ac:dyDescent="0.25">
      <c r="A182" t="s">
        <v>568</v>
      </c>
      <c r="B182" t="str">
        <f t="shared" si="7"/>
        <v>178-H</v>
      </c>
      <c r="C182" s="11" t="str">
        <f>IF($B182&lt;&gt;"",TEXT(1-manut_MP($B182,C$1,C$2)/VLOOKUP(VALUE(MID($A182,5,3)),BASE_Pot!$A$2:$B$321,2,FALSE),"0.000"),"")</f>
        <v>0.833</v>
      </c>
      <c r="D182" s="11" t="str">
        <f>IF($B182&lt;&gt;"",TEXT(1-manut_MP($B182,D$1,D$2)/VLOOKUP(VALUE(MID($A182,5,3)),BASE_Pot!$A$2:$B$321,2,FALSE),"0.000"),"")</f>
        <v>0.833</v>
      </c>
      <c r="E182" s="11" t="str">
        <f>IF($B182&lt;&gt;"",TEXT(1-manut_MP($B182,E$1,E$2)/VLOOKUP(VALUE(MID($A182,5,3)),BASE_Pot!$A$2:$B$321,2,FALSE),"0.000"),"")</f>
        <v>0.833</v>
      </c>
      <c r="F182" s="11" t="str">
        <f>IF($B182&lt;&gt;"",TEXT(1-manut_MP($B182,F$1,F$2)/VLOOKUP(VALUE(MID($A182,5,3)),BASE_Pot!$A$2:$B$321,2,FALSE),"0.000"),"")</f>
        <v>0.833</v>
      </c>
      <c r="G182" s="11" t="str">
        <f>IF($B182&lt;&gt;"",TEXT(1-manut_MP($B182,G$1,G$2)/VLOOKUP(VALUE(MID($A182,5,3)),BASE_Pot!$A$2:$B$321,2,FALSE),"0.000"),"")</f>
        <v>0.857</v>
      </c>
      <c r="H182" s="11" t="str">
        <f>IF($B182&lt;&gt;"",TEXT(1-manut_MP($B182,H$1,H$2)/VLOOKUP(VALUE(MID($A182,5,3)),BASE_Pot!$A$2:$B$321,2,FALSE),"0.000"),"")</f>
        <v>1.000</v>
      </c>
      <c r="I182" s="11" t="str">
        <f>IF($B182&lt;&gt;"",TEXT(1-manut_MP($B182,I$1,I$2)/VLOOKUP(VALUE(MID($A182,5,3)),BASE_Pot!$A$2:$B$321,2,FALSE),"0.000"),"")</f>
        <v>1.000</v>
      </c>
      <c r="J182" t="str">
        <f>""</f>
        <v/>
      </c>
      <c r="L182" t="str">
        <f t="shared" si="8"/>
        <v>MP  178  0.8330.8330.8330.8330.8571.0001.000</v>
      </c>
    </row>
    <row r="183" spans="1:12" x14ac:dyDescent="0.25">
      <c r="A183" t="s">
        <v>385</v>
      </c>
      <c r="B183" t="str">
        <f t="shared" si="7"/>
        <v/>
      </c>
      <c r="C183" s="11" t="str">
        <f>IF($B183&lt;&gt;"",TEXT(1-manut_MP($B183,C$1,C$2)/VLOOKUP(VALUE(MID($A183,5,3)),BASE_Pot!$A$2:$B$321,2,FALSE),"0.000"),"")</f>
        <v/>
      </c>
      <c r="D183" s="11" t="str">
        <f>IF($B183&lt;&gt;"",TEXT(1-manut_MP($B183,D$1,D$2)/VLOOKUP(VALUE(MID($A183,5,3)),BASE_Pot!$A$2:$B$321,2,FALSE),"0.000"),"")</f>
        <v/>
      </c>
      <c r="E183" s="11" t="str">
        <f>IF($B183&lt;&gt;"",TEXT(1-manut_MP($B183,E$1,E$2)/VLOOKUP(VALUE(MID($A183,5,3)),BASE_Pot!$A$2:$B$321,2,FALSE),"0.000"),"")</f>
        <v/>
      </c>
      <c r="F183" s="11" t="str">
        <f>IF($B183&lt;&gt;"",TEXT(1-manut_MP($B183,F$1,F$2)/VLOOKUP(VALUE(MID($A183,5,3)),BASE_Pot!$A$2:$B$321,2,FALSE),"0.000"),"")</f>
        <v/>
      </c>
      <c r="G183" s="11" t="str">
        <f>IF($B183&lt;&gt;"",TEXT(1-manut_MP($B183,G$1,G$2)/VLOOKUP(VALUE(MID($A183,5,3)),BASE_Pot!$A$2:$B$321,2,FALSE),"0.000"),"")</f>
        <v/>
      </c>
      <c r="H183" s="11" t="str">
        <f>IF($B183&lt;&gt;"",TEXT(1-manut_MP($B183,H$1,H$2)/VLOOKUP(VALUE(MID($A183,5,3)),BASE_Pot!$A$2:$B$321,2,FALSE),"0.000"),"")</f>
        <v/>
      </c>
      <c r="I183" s="11" t="str">
        <f>IF($B183&lt;&gt;"",TEXT(1-manut_MP($B183,I$1,I$2)/VLOOKUP(VALUE(MID($A183,5,3)),BASE_Pot!$A$2:$B$321,2,FALSE),"0.000"),"")</f>
        <v/>
      </c>
      <c r="J183" t="str">
        <f>""</f>
        <v/>
      </c>
      <c r="L183" t="str">
        <f t="shared" si="8"/>
        <v>&amp;B. ESPERANCA</v>
      </c>
    </row>
    <row r="184" spans="1:12" x14ac:dyDescent="0.25">
      <c r="A184" t="s">
        <v>569</v>
      </c>
      <c r="B184" t="str">
        <f t="shared" si="7"/>
        <v>190-H</v>
      </c>
      <c r="C184" s="11" t="str">
        <f>IF($B184&lt;&gt;"",TEXT(1-manut_MP($B184,C$1,C$2)/VLOOKUP(VALUE(MID($A184,5,3)),BASE_Pot!$A$2:$B$321,2,FALSE),"0.000"),"")</f>
        <v>1.000</v>
      </c>
      <c r="D184" s="11" t="str">
        <f>IF($B184&lt;&gt;"",TEXT(1-manut_MP($B184,D$1,D$2)/VLOOKUP(VALUE(MID($A184,5,3)),BASE_Pot!$A$2:$B$321,2,FALSE),"0.000"),"")</f>
        <v>1.000</v>
      </c>
      <c r="E184" s="11" t="str">
        <f>IF($B184&lt;&gt;"",TEXT(1-manut_MP($B184,E$1,E$2)/VLOOKUP(VALUE(MID($A184,5,3)),BASE_Pot!$A$2:$B$321,2,FALSE),"0.000"),"")</f>
        <v>1.000</v>
      </c>
      <c r="F184" s="11" t="str">
        <f>IF($B184&lt;&gt;"",TEXT(1-manut_MP($B184,F$1,F$2)/VLOOKUP(VALUE(MID($A184,5,3)),BASE_Pot!$A$2:$B$321,2,FALSE),"0.000"),"")</f>
        <v>1.000</v>
      </c>
      <c r="G184" s="11" t="str">
        <f>IF($B184&lt;&gt;"",TEXT(1-manut_MP($B184,G$1,G$2)/VLOOKUP(VALUE(MID($A184,5,3)),BASE_Pot!$A$2:$B$321,2,FALSE),"0.000"),"")</f>
        <v>1.000</v>
      </c>
      <c r="H184" s="11" t="str">
        <f>IF($B184&lt;&gt;"",TEXT(1-manut_MP($B184,H$1,H$2)/VLOOKUP(VALUE(MID($A184,5,3)),BASE_Pot!$A$2:$B$321,2,FALSE),"0.000"),"")</f>
        <v>1.000</v>
      </c>
      <c r="I184" s="11" t="str">
        <f>IF($B184&lt;&gt;"",TEXT(1-manut_MP($B184,I$1,I$2)/VLOOKUP(VALUE(MID($A184,5,3)),BASE_Pot!$A$2:$B$321,2,FALSE),"0.000"),"")</f>
        <v>1.000</v>
      </c>
      <c r="J184" t="str">
        <f>""</f>
        <v/>
      </c>
      <c r="L184" t="str">
        <f t="shared" si="8"/>
        <v>MP  190  1.0001.0001.0001.0001.0001.0001.000</v>
      </c>
    </row>
    <row r="185" spans="1:12" x14ac:dyDescent="0.25">
      <c r="A185" t="s">
        <v>304</v>
      </c>
      <c r="B185" t="str">
        <f t="shared" si="7"/>
        <v/>
      </c>
      <c r="C185" s="11" t="str">
        <f>IF($B185&lt;&gt;"",TEXT(1-manut_MP($B185,C$1,C$2)/VLOOKUP(VALUE(MID($A185,5,3)),BASE_Pot!$A$2:$B$321,2,FALSE),"0.000"),"")</f>
        <v/>
      </c>
      <c r="D185" s="11" t="str">
        <f>IF($B185&lt;&gt;"",TEXT(1-manut_MP($B185,D$1,D$2)/VLOOKUP(VALUE(MID($A185,5,3)),BASE_Pot!$A$2:$B$321,2,FALSE),"0.000"),"")</f>
        <v/>
      </c>
      <c r="E185" s="11" t="str">
        <f>IF($B185&lt;&gt;"",TEXT(1-manut_MP($B185,E$1,E$2)/VLOOKUP(VALUE(MID($A185,5,3)),BASE_Pot!$A$2:$B$321,2,FALSE),"0.000"),"")</f>
        <v/>
      </c>
      <c r="F185" s="11" t="str">
        <f>IF($B185&lt;&gt;"",TEXT(1-manut_MP($B185,F$1,F$2)/VLOOKUP(VALUE(MID($A185,5,3)),BASE_Pot!$A$2:$B$321,2,FALSE),"0.000"),"")</f>
        <v/>
      </c>
      <c r="G185" s="11" t="str">
        <f>IF($B185&lt;&gt;"",TEXT(1-manut_MP($B185,G$1,G$2)/VLOOKUP(VALUE(MID($A185,5,3)),BASE_Pot!$A$2:$B$321,2,FALSE),"0.000"),"")</f>
        <v/>
      </c>
      <c r="H185" s="11" t="str">
        <f>IF($B185&lt;&gt;"",TEXT(1-manut_MP($B185,H$1,H$2)/VLOOKUP(VALUE(MID($A185,5,3)),BASE_Pot!$A$2:$B$321,2,FALSE),"0.000"),"")</f>
        <v/>
      </c>
      <c r="I185" s="11" t="str">
        <f>IF($B185&lt;&gt;"",TEXT(1-manut_MP($B185,I$1,I$2)/VLOOKUP(VALUE(MID($A185,5,3)),BASE_Pot!$A$2:$B$321,2,FALSE),"0.000"),"")</f>
        <v/>
      </c>
      <c r="J185" t="str">
        <f>""</f>
        <v/>
      </c>
      <c r="L185" t="str">
        <f t="shared" si="8"/>
        <v>&amp;.................................</v>
      </c>
    </row>
    <row r="186" spans="1:12" x14ac:dyDescent="0.25">
      <c r="A186" t="s">
        <v>386</v>
      </c>
      <c r="B186" t="str">
        <f t="shared" si="7"/>
        <v/>
      </c>
      <c r="C186" s="11" t="str">
        <f>IF($B186&lt;&gt;"",TEXT(1-manut_MP($B186,C$1,C$2)/VLOOKUP(VALUE(MID($A186,5,3)),BASE_Pot!$A$2:$B$321,2,FALSE),"0.000"),"")</f>
        <v/>
      </c>
      <c r="D186" s="11" t="str">
        <f>IF($B186&lt;&gt;"",TEXT(1-manut_MP($B186,D$1,D$2)/VLOOKUP(VALUE(MID($A186,5,3)),BASE_Pot!$A$2:$B$321,2,FALSE),"0.000"),"")</f>
        <v/>
      </c>
      <c r="E186" s="11" t="str">
        <f>IF($B186&lt;&gt;"",TEXT(1-manut_MP($B186,E$1,E$2)/VLOOKUP(VALUE(MID($A186,5,3)),BASE_Pot!$A$2:$B$321,2,FALSE),"0.000"),"")</f>
        <v/>
      </c>
      <c r="F186" s="11" t="str">
        <f>IF($B186&lt;&gt;"",TEXT(1-manut_MP($B186,F$1,F$2)/VLOOKUP(VALUE(MID($A186,5,3)),BASE_Pot!$A$2:$B$321,2,FALSE),"0.000"),"")</f>
        <v/>
      </c>
      <c r="G186" s="11" t="str">
        <f>IF($B186&lt;&gt;"",TEXT(1-manut_MP($B186,G$1,G$2)/VLOOKUP(VALUE(MID($A186,5,3)),BASE_Pot!$A$2:$B$321,2,FALSE),"0.000"),"")</f>
        <v/>
      </c>
      <c r="H186" s="11" t="str">
        <f>IF($B186&lt;&gt;"",TEXT(1-manut_MP($B186,H$1,H$2)/VLOOKUP(VALUE(MID($A186,5,3)),BASE_Pot!$A$2:$B$321,2,FALSE),"0.000"),"")</f>
        <v/>
      </c>
      <c r="I186" s="11" t="str">
        <f>IF($B186&lt;&gt;"",TEXT(1-manut_MP($B186,I$1,I$2)/VLOOKUP(VALUE(MID($A186,5,3)),BASE_Pot!$A$2:$B$321,2,FALSE),"0.000"),"")</f>
        <v/>
      </c>
      <c r="J186" t="str">
        <f>""</f>
        <v/>
      </c>
      <c r="L186" t="str">
        <f t="shared" si="8"/>
        <v>&amp;         ELETRONORTE</v>
      </c>
    </row>
    <row r="187" spans="1:12" x14ac:dyDescent="0.25">
      <c r="A187" t="s">
        <v>304</v>
      </c>
      <c r="B187" t="str">
        <f t="shared" si="7"/>
        <v/>
      </c>
      <c r="C187" s="11" t="str">
        <f>IF($B187&lt;&gt;"",TEXT(1-manut_MP($B187,C$1,C$2)/VLOOKUP(VALUE(MID($A187,5,3)),BASE_Pot!$A$2:$B$321,2,FALSE),"0.000"),"")</f>
        <v/>
      </c>
      <c r="D187" s="11" t="str">
        <f>IF($B187&lt;&gt;"",TEXT(1-manut_MP($B187,D$1,D$2)/VLOOKUP(VALUE(MID($A187,5,3)),BASE_Pot!$A$2:$B$321,2,FALSE),"0.000"),"")</f>
        <v/>
      </c>
      <c r="E187" s="11" t="str">
        <f>IF($B187&lt;&gt;"",TEXT(1-manut_MP($B187,E$1,E$2)/VLOOKUP(VALUE(MID($A187,5,3)),BASE_Pot!$A$2:$B$321,2,FALSE),"0.000"),"")</f>
        <v/>
      </c>
      <c r="F187" s="11" t="str">
        <f>IF($B187&lt;&gt;"",TEXT(1-manut_MP($B187,F$1,F$2)/VLOOKUP(VALUE(MID($A187,5,3)),BASE_Pot!$A$2:$B$321,2,FALSE),"0.000"),"")</f>
        <v/>
      </c>
      <c r="G187" s="11" t="str">
        <f>IF($B187&lt;&gt;"",TEXT(1-manut_MP($B187,G$1,G$2)/VLOOKUP(VALUE(MID($A187,5,3)),BASE_Pot!$A$2:$B$321,2,FALSE),"0.000"),"")</f>
        <v/>
      </c>
      <c r="H187" s="11" t="str">
        <f>IF($B187&lt;&gt;"",TEXT(1-manut_MP($B187,H$1,H$2)/VLOOKUP(VALUE(MID($A187,5,3)),BASE_Pot!$A$2:$B$321,2,FALSE),"0.000"),"")</f>
        <v/>
      </c>
      <c r="I187" s="11" t="str">
        <f>IF($B187&lt;&gt;"",TEXT(1-manut_MP($B187,I$1,I$2)/VLOOKUP(VALUE(MID($A187,5,3)),BASE_Pot!$A$2:$B$321,2,FALSE),"0.000"),"")</f>
        <v/>
      </c>
      <c r="J187" t="str">
        <f>""</f>
        <v/>
      </c>
      <c r="L187" t="str">
        <f t="shared" si="8"/>
        <v>&amp;.................................</v>
      </c>
    </row>
    <row r="188" spans="1:12" x14ac:dyDescent="0.25">
      <c r="A188" t="s">
        <v>387</v>
      </c>
      <c r="B188" t="str">
        <f t="shared" si="7"/>
        <v/>
      </c>
      <c r="C188" s="11" t="str">
        <f>IF($B188&lt;&gt;"",TEXT(1-manut_MP($B188,C$1,C$2)/VLOOKUP(VALUE(MID($A188,5,3)),BASE_Pot!$A$2:$B$321,2,FALSE),"0.000"),"")</f>
        <v/>
      </c>
      <c r="D188" s="11" t="str">
        <f>IF($B188&lt;&gt;"",TEXT(1-manut_MP($B188,D$1,D$2)/VLOOKUP(VALUE(MID($A188,5,3)),BASE_Pot!$A$2:$B$321,2,FALSE),"0.000"),"")</f>
        <v/>
      </c>
      <c r="E188" s="11" t="str">
        <f>IF($B188&lt;&gt;"",TEXT(1-manut_MP($B188,E$1,E$2)/VLOOKUP(VALUE(MID($A188,5,3)),BASE_Pot!$A$2:$B$321,2,FALSE),"0.000"),"")</f>
        <v/>
      </c>
      <c r="F188" s="11" t="str">
        <f>IF($B188&lt;&gt;"",TEXT(1-manut_MP($B188,F$1,F$2)/VLOOKUP(VALUE(MID($A188,5,3)),BASE_Pot!$A$2:$B$321,2,FALSE),"0.000"),"")</f>
        <v/>
      </c>
      <c r="G188" s="11" t="str">
        <f>IF($B188&lt;&gt;"",TEXT(1-manut_MP($B188,G$1,G$2)/VLOOKUP(VALUE(MID($A188,5,3)),BASE_Pot!$A$2:$B$321,2,FALSE),"0.000"),"")</f>
        <v/>
      </c>
      <c r="H188" s="11" t="str">
        <f>IF($B188&lt;&gt;"",TEXT(1-manut_MP($B188,H$1,H$2)/VLOOKUP(VALUE(MID($A188,5,3)),BASE_Pot!$A$2:$B$321,2,FALSE),"0.000"),"")</f>
        <v/>
      </c>
      <c r="I188" s="11" t="str">
        <f>IF($B188&lt;&gt;"",TEXT(1-manut_MP($B188,I$1,I$2)/VLOOKUP(VALUE(MID($A188,5,3)),BASE_Pot!$A$2:$B$321,2,FALSE),"0.000"),"")</f>
        <v/>
      </c>
      <c r="J188" t="str">
        <f>""</f>
        <v/>
      </c>
      <c r="L188" t="str">
        <f t="shared" si="8"/>
        <v>&amp;CURUA-UNA</v>
      </c>
    </row>
    <row r="189" spans="1:12" x14ac:dyDescent="0.25">
      <c r="A189" t="s">
        <v>570</v>
      </c>
      <c r="B189" t="str">
        <f t="shared" si="7"/>
        <v>272-H</v>
      </c>
      <c r="C189" s="11" t="str">
        <f>IF($B189&lt;&gt;"",TEXT(1-manut_MP($B189,C$1,C$2)/VLOOKUP(VALUE(MID($A189,5,3)),BASE_Pot!$A$2:$B$321,2,FALSE),"0.000"),"")</f>
        <v>1.000</v>
      </c>
      <c r="D189" s="11" t="str">
        <f>IF($B189&lt;&gt;"",TEXT(1-manut_MP($B189,D$1,D$2)/VLOOKUP(VALUE(MID($A189,5,3)),BASE_Pot!$A$2:$B$321,2,FALSE),"0.000"),"")</f>
        <v>1.000</v>
      </c>
      <c r="E189" s="11" t="str">
        <f>IF($B189&lt;&gt;"",TEXT(1-manut_MP($B189,E$1,E$2)/VLOOKUP(VALUE(MID($A189,5,3)),BASE_Pot!$A$2:$B$321,2,FALSE),"0.000"),"")</f>
        <v>1.000</v>
      </c>
      <c r="F189" s="11" t="str">
        <f>IF($B189&lt;&gt;"",TEXT(1-manut_MP($B189,F$1,F$2)/VLOOKUP(VALUE(MID($A189,5,3)),BASE_Pot!$A$2:$B$321,2,FALSE),"0.000"),"")</f>
        <v>1.000</v>
      </c>
      <c r="G189" s="11" t="str">
        <f>IF($B189&lt;&gt;"",TEXT(1-manut_MP($B189,G$1,G$2)/VLOOKUP(VALUE(MID($A189,5,3)),BASE_Pot!$A$2:$B$321,2,FALSE),"0.000"),"")</f>
        <v>1.000</v>
      </c>
      <c r="H189" s="11" t="str">
        <f>IF($B189&lt;&gt;"",TEXT(1-manut_MP($B189,H$1,H$2)/VLOOKUP(VALUE(MID($A189,5,3)),BASE_Pot!$A$2:$B$321,2,FALSE),"0.000"),"")</f>
        <v>1.000</v>
      </c>
      <c r="I189" s="11" t="str">
        <f>IF($B189&lt;&gt;"",TEXT(1-manut_MP($B189,I$1,I$2)/VLOOKUP(VALUE(MID($A189,5,3)),BASE_Pot!$A$2:$B$321,2,FALSE),"0.000"),"")</f>
        <v>1.000</v>
      </c>
      <c r="J189" t="str">
        <f>""</f>
        <v/>
      </c>
      <c r="L189" t="str">
        <f t="shared" si="8"/>
        <v>MP  272  1.0001.0001.0001.0001.0001.0001.000</v>
      </c>
    </row>
    <row r="190" spans="1:12" x14ac:dyDescent="0.25">
      <c r="A190" t="s">
        <v>388</v>
      </c>
      <c r="B190" t="str">
        <f t="shared" si="7"/>
        <v/>
      </c>
      <c r="C190" s="11" t="str">
        <f>IF($B190&lt;&gt;"",TEXT(1-manut_MP($B190,C$1,C$2)/VLOOKUP(VALUE(MID($A190,5,3)),BASE_Pot!$A$2:$B$321,2,FALSE),"0.000"),"")</f>
        <v/>
      </c>
      <c r="D190" s="11" t="str">
        <f>IF($B190&lt;&gt;"",TEXT(1-manut_MP($B190,D$1,D$2)/VLOOKUP(VALUE(MID($A190,5,3)),BASE_Pot!$A$2:$B$321,2,FALSE),"0.000"),"")</f>
        <v/>
      </c>
      <c r="E190" s="11" t="str">
        <f>IF($B190&lt;&gt;"",TEXT(1-manut_MP($B190,E$1,E$2)/VLOOKUP(VALUE(MID($A190,5,3)),BASE_Pot!$A$2:$B$321,2,FALSE),"0.000"),"")</f>
        <v/>
      </c>
      <c r="F190" s="11" t="str">
        <f>IF($B190&lt;&gt;"",TEXT(1-manut_MP($B190,F$1,F$2)/VLOOKUP(VALUE(MID($A190,5,3)),BASE_Pot!$A$2:$B$321,2,FALSE),"0.000"),"")</f>
        <v/>
      </c>
      <c r="G190" s="11" t="str">
        <f>IF($B190&lt;&gt;"",TEXT(1-manut_MP($B190,G$1,G$2)/VLOOKUP(VALUE(MID($A190,5,3)),BASE_Pot!$A$2:$B$321,2,FALSE),"0.000"),"")</f>
        <v/>
      </c>
      <c r="H190" s="11" t="str">
        <f>IF($B190&lt;&gt;"",TEXT(1-manut_MP($B190,H$1,H$2)/VLOOKUP(VALUE(MID($A190,5,3)),BASE_Pot!$A$2:$B$321,2,FALSE),"0.000"),"")</f>
        <v/>
      </c>
      <c r="I190" s="11" t="str">
        <f>IF($B190&lt;&gt;"",TEXT(1-manut_MP($B190,I$1,I$2)/VLOOKUP(VALUE(MID($A190,5,3)),BASE_Pot!$A$2:$B$321,2,FALSE),"0.000"),"")</f>
        <v/>
      </c>
      <c r="J190" t="str">
        <f>""</f>
        <v/>
      </c>
      <c r="L190" t="str">
        <f t="shared" si="8"/>
        <v>&amp;TUCURUI</v>
      </c>
    </row>
    <row r="191" spans="1:12" x14ac:dyDescent="0.25">
      <c r="A191" t="s">
        <v>571</v>
      </c>
      <c r="B191" t="str">
        <f t="shared" si="7"/>
        <v>275-H</v>
      </c>
      <c r="C191" s="11" t="str">
        <f>IF($B191&lt;&gt;"",TEXT(1-manut_MP($B191,C$1,C$2)/VLOOKUP(VALUE(MID($A191,5,3)),BASE_Pot!$A$2:$B$321,2,FALSE),"0.000"),"")</f>
        <v>0.918</v>
      </c>
      <c r="D191" s="11" t="str">
        <f>IF($B191&lt;&gt;"",TEXT(1-manut_MP($B191,D$1,D$2)/VLOOKUP(VALUE(MID($A191,5,3)),BASE_Pot!$A$2:$B$321,2,FALSE),"0.000"),"")</f>
        <v>0.918</v>
      </c>
      <c r="E191" s="11" t="str">
        <f>IF($B191&lt;&gt;"",TEXT(1-manut_MP($B191,E$1,E$2)/VLOOKUP(VALUE(MID($A191,5,3)),BASE_Pot!$A$2:$B$321,2,FALSE),"0.000"),"")</f>
        <v>0.918</v>
      </c>
      <c r="F191" s="11" t="str">
        <f>IF($B191&lt;&gt;"",TEXT(1-manut_MP($B191,F$1,F$2)/VLOOKUP(VALUE(MID($A191,5,3)),BASE_Pot!$A$2:$B$321,2,FALSE),"0.000"),"")</f>
        <v>0.918</v>
      </c>
      <c r="G191" s="11" t="str">
        <f>IF($B191&lt;&gt;"",TEXT(1-manut_MP($B191,G$1,G$2)/VLOOKUP(VALUE(MID($A191,5,3)),BASE_Pot!$A$2:$B$321,2,FALSE),"0.000"),"")</f>
        <v>0.918</v>
      </c>
      <c r="H191" s="11" t="str">
        <f>IF($B191&lt;&gt;"",TEXT(1-manut_MP($B191,H$1,H$2)/VLOOKUP(VALUE(MID($A191,5,3)),BASE_Pot!$A$2:$B$321,2,FALSE),"0.000"),"")</f>
        <v>0.988</v>
      </c>
      <c r="I191" s="11" t="str">
        <f>IF($B191&lt;&gt;"",TEXT(1-manut_MP($B191,I$1,I$2)/VLOOKUP(VALUE(MID($A191,5,3)),BASE_Pot!$A$2:$B$321,2,FALSE),"0.000"),"")</f>
        <v>1.000</v>
      </c>
      <c r="J191" t="str">
        <f>""</f>
        <v/>
      </c>
      <c r="L191" t="str">
        <f t="shared" si="8"/>
        <v>MP  275  0.9180.9180.9180.9180.9180.9881.000</v>
      </c>
    </row>
    <row r="192" spans="1:12" x14ac:dyDescent="0.25">
      <c r="A192" t="s">
        <v>389</v>
      </c>
      <c r="B192" t="str">
        <f t="shared" si="7"/>
        <v/>
      </c>
      <c r="C192" s="11" t="str">
        <f>IF($B192&lt;&gt;"",TEXT(1-manut_MP($B192,C$1,C$2)/VLOOKUP(VALUE(MID($A192,5,3)),BASE_Pot!$A$2:$B$321,2,FALSE),"0.000"),"")</f>
        <v/>
      </c>
      <c r="D192" s="11" t="str">
        <f>IF($B192&lt;&gt;"",TEXT(1-manut_MP($B192,D$1,D$2)/VLOOKUP(VALUE(MID($A192,5,3)),BASE_Pot!$A$2:$B$321,2,FALSE),"0.000"),"")</f>
        <v/>
      </c>
      <c r="E192" s="11" t="str">
        <f>IF($B192&lt;&gt;"",TEXT(1-manut_MP($B192,E$1,E$2)/VLOOKUP(VALUE(MID($A192,5,3)),BASE_Pot!$A$2:$B$321,2,FALSE),"0.000"),"")</f>
        <v/>
      </c>
      <c r="F192" s="11" t="str">
        <f>IF($B192&lt;&gt;"",TEXT(1-manut_MP($B192,F$1,F$2)/VLOOKUP(VALUE(MID($A192,5,3)),BASE_Pot!$A$2:$B$321,2,FALSE),"0.000"),"")</f>
        <v/>
      </c>
      <c r="G192" s="11" t="str">
        <f>IF($B192&lt;&gt;"",TEXT(1-manut_MP($B192,G$1,G$2)/VLOOKUP(VALUE(MID($A192,5,3)),BASE_Pot!$A$2:$B$321,2,FALSE),"0.000"),"")</f>
        <v/>
      </c>
      <c r="H192" s="11" t="str">
        <f>IF($B192&lt;&gt;"",TEXT(1-manut_MP($B192,H$1,H$2)/VLOOKUP(VALUE(MID($A192,5,3)),BASE_Pot!$A$2:$B$321,2,FALSE),"0.000"),"")</f>
        <v/>
      </c>
      <c r="I192" s="11" t="str">
        <f>IF($B192&lt;&gt;"",TEXT(1-manut_MP($B192,I$1,I$2)/VLOOKUP(VALUE(MID($A192,5,3)),BASE_Pot!$A$2:$B$321,2,FALSE),"0.000"),"")</f>
        <v/>
      </c>
      <c r="J192" t="str">
        <f>""</f>
        <v/>
      </c>
      <c r="L192" t="str">
        <f t="shared" si="8"/>
        <v>&amp;SAMUEL</v>
      </c>
    </row>
    <row r="193" spans="1:12" x14ac:dyDescent="0.25">
      <c r="A193" t="s">
        <v>572</v>
      </c>
      <c r="B193" t="str">
        <f t="shared" si="7"/>
        <v>279-H</v>
      </c>
      <c r="C193" s="11" t="str">
        <f>IF($B193&lt;&gt;"",TEXT(1-manut_MP($B193,C$1,C$2)/VLOOKUP(VALUE(MID($A193,5,3)),BASE_Pot!$A$2:$B$321,2,FALSE),"0.000"),"")</f>
        <v>1.000</v>
      </c>
      <c r="D193" s="11" t="str">
        <f>IF($B193&lt;&gt;"",TEXT(1-manut_MP($B193,D$1,D$2)/VLOOKUP(VALUE(MID($A193,5,3)),BASE_Pot!$A$2:$B$321,2,FALSE),"0.000"),"")</f>
        <v>0.857</v>
      </c>
      <c r="E193" s="11" t="str">
        <f>IF($B193&lt;&gt;"",TEXT(1-manut_MP($B193,E$1,E$2)/VLOOKUP(VALUE(MID($A193,5,3)),BASE_Pot!$A$2:$B$321,2,FALSE),"0.000"),"")</f>
        <v>0.800</v>
      </c>
      <c r="F193" s="11" t="str">
        <f>IF($B193&lt;&gt;"",TEXT(1-manut_MP($B193,F$1,F$2)/VLOOKUP(VALUE(MID($A193,5,3)),BASE_Pot!$A$2:$B$321,2,FALSE),"0.000"),"")</f>
        <v>0.800</v>
      </c>
      <c r="G193" s="11" t="str">
        <f>IF($B193&lt;&gt;"",TEXT(1-manut_MP($B193,G$1,G$2)/VLOOKUP(VALUE(MID($A193,5,3)),BASE_Pot!$A$2:$B$321,2,FALSE),"0.000"),"")</f>
        <v>0.800</v>
      </c>
      <c r="H193" s="11" t="str">
        <f>IF($B193&lt;&gt;"",TEXT(1-manut_MP($B193,H$1,H$2)/VLOOKUP(VALUE(MID($A193,5,3)),BASE_Pot!$A$2:$B$321,2,FALSE),"0.000"),"")</f>
        <v>0.971</v>
      </c>
      <c r="I193" s="11" t="str">
        <f>IF($B193&lt;&gt;"",TEXT(1-manut_MP($B193,I$1,I$2)/VLOOKUP(VALUE(MID($A193,5,3)),BASE_Pot!$A$2:$B$321,2,FALSE),"0.000"),"")</f>
        <v>1.000</v>
      </c>
      <c r="J193" t="str">
        <f>""</f>
        <v/>
      </c>
      <c r="L193" t="str">
        <f t="shared" si="8"/>
        <v>MP  279  1.0000.8570.8000.8000.8000.9711.000</v>
      </c>
    </row>
    <row r="194" spans="1:12" x14ac:dyDescent="0.25">
      <c r="A194" t="s">
        <v>390</v>
      </c>
      <c r="B194" t="str">
        <f t="shared" si="7"/>
        <v/>
      </c>
      <c r="C194" s="11" t="str">
        <f>IF($B194&lt;&gt;"",TEXT(1-manut_MP($B194,C$1,C$2)/VLOOKUP(VALUE(MID($A194,5,3)),BASE_Pot!$A$2:$B$321,2,FALSE),"0.000"),"")</f>
        <v/>
      </c>
      <c r="D194" s="11" t="str">
        <f>IF($B194&lt;&gt;"",TEXT(1-manut_MP($B194,D$1,D$2)/VLOOKUP(VALUE(MID($A194,5,3)),BASE_Pot!$A$2:$B$321,2,FALSE),"0.000"),"")</f>
        <v/>
      </c>
      <c r="E194" s="11" t="str">
        <f>IF($B194&lt;&gt;"",TEXT(1-manut_MP($B194,E$1,E$2)/VLOOKUP(VALUE(MID($A194,5,3)),BASE_Pot!$A$2:$B$321,2,FALSE),"0.000"),"")</f>
        <v/>
      </c>
      <c r="F194" s="11" t="str">
        <f>IF($B194&lt;&gt;"",TEXT(1-manut_MP($B194,F$1,F$2)/VLOOKUP(VALUE(MID($A194,5,3)),BASE_Pot!$A$2:$B$321,2,FALSE),"0.000"),"")</f>
        <v/>
      </c>
      <c r="G194" s="11" t="str">
        <f>IF($B194&lt;&gt;"",TEXT(1-manut_MP($B194,G$1,G$2)/VLOOKUP(VALUE(MID($A194,5,3)),BASE_Pot!$A$2:$B$321,2,FALSE),"0.000"),"")</f>
        <v/>
      </c>
      <c r="H194" s="11" t="str">
        <f>IF($B194&lt;&gt;"",TEXT(1-manut_MP($B194,H$1,H$2)/VLOOKUP(VALUE(MID($A194,5,3)),BASE_Pot!$A$2:$B$321,2,FALSE),"0.000"),"")</f>
        <v/>
      </c>
      <c r="I194" s="11" t="str">
        <f>IF($B194&lt;&gt;"",TEXT(1-manut_MP($B194,I$1,I$2)/VLOOKUP(VALUE(MID($A194,5,3)),BASE_Pot!$A$2:$B$321,2,FALSE),"0.000"),"")</f>
        <v/>
      </c>
      <c r="J194" t="str">
        <f>""</f>
        <v/>
      </c>
      <c r="L194" t="str">
        <f t="shared" si="8"/>
        <v>&amp;COARACY NUNE</v>
      </c>
    </row>
    <row r="195" spans="1:12" x14ac:dyDescent="0.25">
      <c r="A195" t="s">
        <v>573</v>
      </c>
      <c r="B195" t="str">
        <f t="shared" si="7"/>
        <v>280-H</v>
      </c>
      <c r="C195" s="11" t="str">
        <f>IF($B195&lt;&gt;"",TEXT(1-manut_MP($B195,C$1,C$2)/VLOOKUP(VALUE(MID($A195,5,3)),BASE_Pot!$A$2:$B$321,2,FALSE),"0.000"),"")</f>
        <v>1.000</v>
      </c>
      <c r="D195" s="11" t="str">
        <f>IF($B195&lt;&gt;"",TEXT(1-manut_MP($B195,D$1,D$2)/VLOOKUP(VALUE(MID($A195,5,3)),BASE_Pot!$A$2:$B$321,2,FALSE),"0.000"),"")</f>
        <v>1.000</v>
      </c>
      <c r="E195" s="11" t="str">
        <f>IF($B195&lt;&gt;"",TEXT(1-manut_MP($B195,E$1,E$2)/VLOOKUP(VALUE(MID($A195,5,3)),BASE_Pot!$A$2:$B$321,2,FALSE),"0.000"),"")</f>
        <v>1.000</v>
      </c>
      <c r="F195" s="11" t="str">
        <f>IF($B195&lt;&gt;"",TEXT(1-manut_MP($B195,F$1,F$2)/VLOOKUP(VALUE(MID($A195,5,3)),BASE_Pot!$A$2:$B$321,2,FALSE),"0.000"),"")</f>
        <v>1.000</v>
      </c>
      <c r="G195" s="11" t="str">
        <f>IF($B195&lt;&gt;"",TEXT(1-manut_MP($B195,G$1,G$2)/VLOOKUP(VALUE(MID($A195,5,3)),BASE_Pot!$A$2:$B$321,2,FALSE),"0.000"),"")</f>
        <v>1.000</v>
      </c>
      <c r="H195" s="11" t="str">
        <f>IF($B195&lt;&gt;"",TEXT(1-manut_MP($B195,H$1,H$2)/VLOOKUP(VALUE(MID($A195,5,3)),BASE_Pot!$A$2:$B$321,2,FALSE),"0.000"),"")</f>
        <v>1.000</v>
      </c>
      <c r="I195" s="11" t="str">
        <f>IF($B195&lt;&gt;"",TEXT(1-manut_MP($B195,I$1,I$2)/VLOOKUP(VALUE(MID($A195,5,3)),BASE_Pot!$A$2:$B$321,2,FALSE),"0.000"),"")</f>
        <v>1.000</v>
      </c>
      <c r="J195" t="str">
        <f>""</f>
        <v/>
      </c>
      <c r="L195" t="str">
        <f t="shared" si="8"/>
        <v>MP  280  1.0001.0001.0001.0001.0001.0001.000</v>
      </c>
    </row>
    <row r="196" spans="1:12" x14ac:dyDescent="0.25">
      <c r="A196" t="s">
        <v>304</v>
      </c>
      <c r="B196" t="str">
        <f t="shared" ref="B196:B259" si="9">IF(LEFT(A196,1)="&amp;","",MID(A196,5,3)&amp;"-H")</f>
        <v/>
      </c>
      <c r="C196" s="11" t="str">
        <f>IF($B196&lt;&gt;"",TEXT(1-manut_MP($B196,C$1,C$2)/VLOOKUP(VALUE(MID($A196,5,3)),BASE_Pot!$A$2:$B$321,2,FALSE),"0.000"),"")</f>
        <v/>
      </c>
      <c r="D196" s="11" t="str">
        <f>IF($B196&lt;&gt;"",TEXT(1-manut_MP($B196,D$1,D$2)/VLOOKUP(VALUE(MID($A196,5,3)),BASE_Pot!$A$2:$B$321,2,FALSE),"0.000"),"")</f>
        <v/>
      </c>
      <c r="E196" s="11" t="str">
        <f>IF($B196&lt;&gt;"",TEXT(1-manut_MP($B196,E$1,E$2)/VLOOKUP(VALUE(MID($A196,5,3)),BASE_Pot!$A$2:$B$321,2,FALSE),"0.000"),"")</f>
        <v/>
      </c>
      <c r="F196" s="11" t="str">
        <f>IF($B196&lt;&gt;"",TEXT(1-manut_MP($B196,F$1,F$2)/VLOOKUP(VALUE(MID($A196,5,3)),BASE_Pot!$A$2:$B$321,2,FALSE),"0.000"),"")</f>
        <v/>
      </c>
      <c r="G196" s="11" t="str">
        <f>IF($B196&lt;&gt;"",TEXT(1-manut_MP($B196,G$1,G$2)/VLOOKUP(VALUE(MID($A196,5,3)),BASE_Pot!$A$2:$B$321,2,FALSE),"0.000"),"")</f>
        <v/>
      </c>
      <c r="H196" s="11" t="str">
        <f>IF($B196&lt;&gt;"",TEXT(1-manut_MP($B196,H$1,H$2)/VLOOKUP(VALUE(MID($A196,5,3)),BASE_Pot!$A$2:$B$321,2,FALSE),"0.000"),"")</f>
        <v/>
      </c>
      <c r="I196" s="11" t="str">
        <f>IF($B196&lt;&gt;"",TEXT(1-manut_MP($B196,I$1,I$2)/VLOOKUP(VALUE(MID($A196,5,3)),BASE_Pot!$A$2:$B$321,2,FALSE),"0.000"),"")</f>
        <v/>
      </c>
      <c r="J196" t="str">
        <f>""</f>
        <v/>
      </c>
      <c r="L196" t="str">
        <f t="shared" si="8"/>
        <v>&amp;.................................</v>
      </c>
    </row>
    <row r="197" spans="1:12" x14ac:dyDescent="0.25">
      <c r="A197" t="s">
        <v>391</v>
      </c>
      <c r="B197" t="str">
        <f t="shared" si="9"/>
        <v/>
      </c>
      <c r="C197" s="11" t="str">
        <f>IF($B197&lt;&gt;"",TEXT(1-manut_MP($B197,C$1,C$2)/VLOOKUP(VALUE(MID($A197,5,3)),BASE_Pot!$A$2:$B$321,2,FALSE),"0.000"),"")</f>
        <v/>
      </c>
      <c r="D197" s="11" t="str">
        <f>IF($B197&lt;&gt;"",TEXT(1-manut_MP($B197,D$1,D$2)/VLOOKUP(VALUE(MID($A197,5,3)),BASE_Pot!$A$2:$B$321,2,FALSE),"0.000"),"")</f>
        <v/>
      </c>
      <c r="E197" s="11" t="str">
        <f>IF($B197&lt;&gt;"",TEXT(1-manut_MP($B197,E$1,E$2)/VLOOKUP(VALUE(MID($A197,5,3)),BASE_Pot!$A$2:$B$321,2,FALSE),"0.000"),"")</f>
        <v/>
      </c>
      <c r="F197" s="11" t="str">
        <f>IF($B197&lt;&gt;"",TEXT(1-manut_MP($B197,F$1,F$2)/VLOOKUP(VALUE(MID($A197,5,3)),BASE_Pot!$A$2:$B$321,2,FALSE),"0.000"),"")</f>
        <v/>
      </c>
      <c r="G197" s="11" t="str">
        <f>IF($B197&lt;&gt;"",TEXT(1-manut_MP($B197,G$1,G$2)/VLOOKUP(VALUE(MID($A197,5,3)),BASE_Pot!$A$2:$B$321,2,FALSE),"0.000"),"")</f>
        <v/>
      </c>
      <c r="H197" s="11" t="str">
        <f>IF($B197&lt;&gt;"",TEXT(1-manut_MP($B197,H$1,H$2)/VLOOKUP(VALUE(MID($A197,5,3)),BASE_Pot!$A$2:$B$321,2,FALSE),"0.000"),"")</f>
        <v/>
      </c>
      <c r="I197" s="11" t="str">
        <f>IF($B197&lt;&gt;"",TEXT(1-manut_MP($B197,I$1,I$2)/VLOOKUP(VALUE(MID($A197,5,3)),BASE_Pot!$A$2:$B$321,2,FALSE),"0.000"),"")</f>
        <v/>
      </c>
      <c r="J197" t="str">
        <f>""</f>
        <v/>
      </c>
      <c r="L197" t="str">
        <f t="shared" si="8"/>
        <v>&amp;         ITAIPU</v>
      </c>
    </row>
    <row r="198" spans="1:12" x14ac:dyDescent="0.25">
      <c r="A198" t="s">
        <v>304</v>
      </c>
      <c r="B198" t="str">
        <f t="shared" si="9"/>
        <v/>
      </c>
      <c r="C198" s="11" t="str">
        <f>IF($B198&lt;&gt;"",TEXT(1-manut_MP($B198,C$1,C$2)/VLOOKUP(VALUE(MID($A198,5,3)),BASE_Pot!$A$2:$B$321,2,FALSE),"0.000"),"")</f>
        <v/>
      </c>
      <c r="D198" s="11" t="str">
        <f>IF($B198&lt;&gt;"",TEXT(1-manut_MP($B198,D$1,D$2)/VLOOKUP(VALUE(MID($A198,5,3)),BASE_Pot!$A$2:$B$321,2,FALSE),"0.000"),"")</f>
        <v/>
      </c>
      <c r="E198" s="11" t="str">
        <f>IF($B198&lt;&gt;"",TEXT(1-manut_MP($B198,E$1,E$2)/VLOOKUP(VALUE(MID($A198,5,3)),BASE_Pot!$A$2:$B$321,2,FALSE),"0.000"),"")</f>
        <v/>
      </c>
      <c r="F198" s="11" t="str">
        <f>IF($B198&lt;&gt;"",TEXT(1-manut_MP($B198,F$1,F$2)/VLOOKUP(VALUE(MID($A198,5,3)),BASE_Pot!$A$2:$B$321,2,FALSE),"0.000"),"")</f>
        <v/>
      </c>
      <c r="G198" s="11" t="str">
        <f>IF($B198&lt;&gt;"",TEXT(1-manut_MP($B198,G$1,G$2)/VLOOKUP(VALUE(MID($A198,5,3)),BASE_Pot!$A$2:$B$321,2,FALSE),"0.000"),"")</f>
        <v/>
      </c>
      <c r="H198" s="11" t="str">
        <f>IF($B198&lt;&gt;"",TEXT(1-manut_MP($B198,H$1,H$2)/VLOOKUP(VALUE(MID($A198,5,3)),BASE_Pot!$A$2:$B$321,2,FALSE),"0.000"),"")</f>
        <v/>
      </c>
      <c r="I198" s="11" t="str">
        <f>IF($B198&lt;&gt;"",TEXT(1-manut_MP($B198,I$1,I$2)/VLOOKUP(VALUE(MID($A198,5,3)),BASE_Pot!$A$2:$B$321,2,FALSE),"0.000"),"")</f>
        <v/>
      </c>
      <c r="J198" t="str">
        <f>""</f>
        <v/>
      </c>
      <c r="L198" t="str">
        <f t="shared" si="8"/>
        <v>&amp;.................................</v>
      </c>
    </row>
    <row r="199" spans="1:12" x14ac:dyDescent="0.25">
      <c r="A199" t="s">
        <v>392</v>
      </c>
      <c r="B199" t="str">
        <f t="shared" si="9"/>
        <v/>
      </c>
      <c r="C199" s="11" t="str">
        <f>IF($B199&lt;&gt;"",TEXT(1-manut_MP($B199,C$1,C$2)/VLOOKUP(VALUE(MID($A199,5,3)),BASE_Pot!$A$2:$B$321,2,FALSE),"0.000"),"")</f>
        <v/>
      </c>
      <c r="D199" s="11" t="str">
        <f>IF($B199&lt;&gt;"",TEXT(1-manut_MP($B199,D$1,D$2)/VLOOKUP(VALUE(MID($A199,5,3)),BASE_Pot!$A$2:$B$321,2,FALSE),"0.000"),"")</f>
        <v/>
      </c>
      <c r="E199" s="11" t="str">
        <f>IF($B199&lt;&gt;"",TEXT(1-manut_MP($B199,E$1,E$2)/VLOOKUP(VALUE(MID($A199,5,3)),BASE_Pot!$A$2:$B$321,2,FALSE),"0.000"),"")</f>
        <v/>
      </c>
      <c r="F199" s="11" t="str">
        <f>IF($B199&lt;&gt;"",TEXT(1-manut_MP($B199,F$1,F$2)/VLOOKUP(VALUE(MID($A199,5,3)),BASE_Pot!$A$2:$B$321,2,FALSE),"0.000"),"")</f>
        <v/>
      </c>
      <c r="G199" s="11" t="str">
        <f>IF($B199&lt;&gt;"",TEXT(1-manut_MP($B199,G$1,G$2)/VLOOKUP(VALUE(MID($A199,5,3)),BASE_Pot!$A$2:$B$321,2,FALSE),"0.000"),"")</f>
        <v/>
      </c>
      <c r="H199" s="11" t="str">
        <f>IF($B199&lt;&gt;"",TEXT(1-manut_MP($B199,H$1,H$2)/VLOOKUP(VALUE(MID($A199,5,3)),BASE_Pot!$A$2:$B$321,2,FALSE),"0.000"),"")</f>
        <v/>
      </c>
      <c r="I199" s="11" t="str">
        <f>IF($B199&lt;&gt;"",TEXT(1-manut_MP($B199,I$1,I$2)/VLOOKUP(VALUE(MID($A199,5,3)),BASE_Pot!$A$2:$B$321,2,FALSE),"0.000"),"")</f>
        <v/>
      </c>
      <c r="J199" t="str">
        <f>""</f>
        <v/>
      </c>
      <c r="L199" t="str">
        <f t="shared" si="8"/>
        <v>&amp;ITAIPU</v>
      </c>
    </row>
    <row r="200" spans="1:12" x14ac:dyDescent="0.25">
      <c r="A200" t="s">
        <v>574</v>
      </c>
      <c r="B200" t="str">
        <f t="shared" si="9"/>
        <v xml:space="preserve"> 66-H</v>
      </c>
      <c r="C200" s="11" t="str">
        <f>IF($B200&lt;&gt;"",TEXT(1-manut_MP($B200,C$1,C$2)/VLOOKUP(VALUE(MID($A200,5,3)),BASE_Pot!$A$2:$B$321,2,FALSE),"0.000"),"")</f>
        <v>1.000</v>
      </c>
      <c r="D200" s="11" t="str">
        <f>IF($B200&lt;&gt;"",TEXT(1-manut_MP($B200,D$1,D$2)/VLOOKUP(VALUE(MID($A200,5,3)),BASE_Pot!$A$2:$B$321,2,FALSE),"0.000"),"")</f>
        <v>1.000</v>
      </c>
      <c r="E200" s="11" t="str">
        <f>IF($B200&lt;&gt;"",TEXT(1-manut_MP($B200,E$1,E$2)/VLOOKUP(VALUE(MID($A200,5,3)),BASE_Pot!$A$2:$B$321,2,FALSE),"0.000"),"")</f>
        <v>1.000</v>
      </c>
      <c r="F200" s="11" t="str">
        <f>IF($B200&lt;&gt;"",TEXT(1-manut_MP($B200,F$1,F$2)/VLOOKUP(VALUE(MID($A200,5,3)),BASE_Pot!$A$2:$B$321,2,FALSE),"0.000"),"")</f>
        <v>1.000</v>
      </c>
      <c r="G200" s="11" t="str">
        <f>IF($B200&lt;&gt;"",TEXT(1-manut_MP($B200,G$1,G$2)/VLOOKUP(VALUE(MID($A200,5,3)),BASE_Pot!$A$2:$B$321,2,FALSE),"0.000"),"")</f>
        <v>1.000</v>
      </c>
      <c r="H200" s="11" t="str">
        <f>IF($B200&lt;&gt;"",TEXT(1-manut_MP($B200,H$1,H$2)/VLOOKUP(VALUE(MID($A200,5,3)),BASE_Pot!$A$2:$B$321,2,FALSE),"0.000"),"")</f>
        <v>1.000</v>
      </c>
      <c r="I200" s="11" t="str">
        <f>IF($B200&lt;&gt;"",TEXT(1-manut_MP($B200,I$1,I$2)/VLOOKUP(VALUE(MID($A200,5,3)),BASE_Pot!$A$2:$B$321,2,FALSE),"0.000"),"")</f>
        <v>1.000</v>
      </c>
      <c r="J200" t="str">
        <f>""</f>
        <v/>
      </c>
      <c r="L200" s="8" t="str">
        <f>"MP   66  0.9000.9000.9000.9000.9000.9001.000"</f>
        <v>MP   66  0.9000.9000.9000.9000.9000.9001.000</v>
      </c>
    </row>
    <row r="201" spans="1:12" x14ac:dyDescent="0.25">
      <c r="A201" t="s">
        <v>304</v>
      </c>
      <c r="B201" t="str">
        <f t="shared" si="9"/>
        <v/>
      </c>
      <c r="C201" s="11" t="str">
        <f>IF($B201&lt;&gt;"",TEXT(1-manut_MP($B201,C$1,C$2)/VLOOKUP(VALUE(MID($A201,5,3)),BASE_Pot!$A$2:$B$321,2,FALSE),"0.000"),"")</f>
        <v/>
      </c>
      <c r="D201" s="11" t="str">
        <f>IF($B201&lt;&gt;"",TEXT(1-manut_MP($B201,D$1,D$2)/VLOOKUP(VALUE(MID($A201,5,3)),BASE_Pot!$A$2:$B$321,2,FALSE),"0.000"),"")</f>
        <v/>
      </c>
      <c r="E201" s="11" t="str">
        <f>IF($B201&lt;&gt;"",TEXT(1-manut_MP($B201,E$1,E$2)/VLOOKUP(VALUE(MID($A201,5,3)),BASE_Pot!$A$2:$B$321,2,FALSE),"0.000"),"")</f>
        <v/>
      </c>
      <c r="F201" s="11" t="str">
        <f>IF($B201&lt;&gt;"",TEXT(1-manut_MP($B201,F$1,F$2)/VLOOKUP(VALUE(MID($A201,5,3)),BASE_Pot!$A$2:$B$321,2,FALSE),"0.000"),"")</f>
        <v/>
      </c>
      <c r="G201" s="11" t="str">
        <f>IF($B201&lt;&gt;"",TEXT(1-manut_MP($B201,G$1,G$2)/VLOOKUP(VALUE(MID($A201,5,3)),BASE_Pot!$A$2:$B$321,2,FALSE),"0.000"),"")</f>
        <v/>
      </c>
      <c r="H201" s="11" t="str">
        <f>IF($B201&lt;&gt;"",TEXT(1-manut_MP($B201,H$1,H$2)/VLOOKUP(VALUE(MID($A201,5,3)),BASE_Pot!$A$2:$B$321,2,FALSE),"0.000"),"")</f>
        <v/>
      </c>
      <c r="I201" s="11" t="str">
        <f>IF($B201&lt;&gt;"",TEXT(1-manut_MP($B201,I$1,I$2)/VLOOKUP(VALUE(MID($A201,5,3)),BASE_Pot!$A$2:$B$321,2,FALSE),"0.000"),"")</f>
        <v/>
      </c>
      <c r="J201" t="str">
        <f>""</f>
        <v/>
      </c>
      <c r="L201" t="str">
        <f t="shared" si="8"/>
        <v>&amp;.................................</v>
      </c>
    </row>
    <row r="202" spans="1:12" x14ac:dyDescent="0.25">
      <c r="A202" t="s">
        <v>393</v>
      </c>
      <c r="B202" t="str">
        <f t="shared" si="9"/>
        <v/>
      </c>
      <c r="C202" s="11" t="str">
        <f>IF($B202&lt;&gt;"",TEXT(1-manut_MP($B202,C$1,C$2)/VLOOKUP(VALUE(MID($A202,5,3)),BASE_Pot!$A$2:$B$321,2,FALSE),"0.000"),"")</f>
        <v/>
      </c>
      <c r="D202" s="11" t="str">
        <f>IF($B202&lt;&gt;"",TEXT(1-manut_MP($B202,D$1,D$2)/VLOOKUP(VALUE(MID($A202,5,3)),BASE_Pot!$A$2:$B$321,2,FALSE),"0.000"),"")</f>
        <v/>
      </c>
      <c r="E202" s="11" t="str">
        <f>IF($B202&lt;&gt;"",TEXT(1-manut_MP($B202,E$1,E$2)/VLOOKUP(VALUE(MID($A202,5,3)),BASE_Pot!$A$2:$B$321,2,FALSE),"0.000"),"")</f>
        <v/>
      </c>
      <c r="F202" s="11" t="str">
        <f>IF($B202&lt;&gt;"",TEXT(1-manut_MP($B202,F$1,F$2)/VLOOKUP(VALUE(MID($A202,5,3)),BASE_Pot!$A$2:$B$321,2,FALSE),"0.000"),"")</f>
        <v/>
      </c>
      <c r="G202" s="11" t="str">
        <f>IF($B202&lt;&gt;"",TEXT(1-manut_MP($B202,G$1,G$2)/VLOOKUP(VALUE(MID($A202,5,3)),BASE_Pot!$A$2:$B$321,2,FALSE),"0.000"),"")</f>
        <v/>
      </c>
      <c r="H202" s="11" t="str">
        <f>IF($B202&lt;&gt;"",TEXT(1-manut_MP($B202,H$1,H$2)/VLOOKUP(VALUE(MID($A202,5,3)),BASE_Pot!$A$2:$B$321,2,FALSE),"0.000"),"")</f>
        <v/>
      </c>
      <c r="I202" s="11" t="str">
        <f>IF($B202&lt;&gt;"",TEXT(1-manut_MP($B202,I$1,I$2)/VLOOKUP(VALUE(MID($A202,5,3)),BASE_Pot!$A$2:$B$321,2,FALSE),"0.000"),"")</f>
        <v/>
      </c>
      <c r="J202" t="str">
        <f>""</f>
        <v/>
      </c>
      <c r="L202" t="str">
        <f t="shared" si="8"/>
        <v>&amp;         DUKE ENERGY</v>
      </c>
    </row>
    <row r="203" spans="1:12" x14ac:dyDescent="0.25">
      <c r="A203" t="s">
        <v>304</v>
      </c>
      <c r="B203" t="str">
        <f t="shared" si="9"/>
        <v/>
      </c>
      <c r="C203" s="11" t="str">
        <f>IF($B203&lt;&gt;"",TEXT(1-manut_MP($B203,C$1,C$2)/VLOOKUP(VALUE(MID($A203,5,3)),BASE_Pot!$A$2:$B$321,2,FALSE),"0.000"),"")</f>
        <v/>
      </c>
      <c r="D203" s="11" t="str">
        <f>IF($B203&lt;&gt;"",TEXT(1-manut_MP($B203,D$1,D$2)/VLOOKUP(VALUE(MID($A203,5,3)),BASE_Pot!$A$2:$B$321,2,FALSE),"0.000"),"")</f>
        <v/>
      </c>
      <c r="E203" s="11" t="str">
        <f>IF($B203&lt;&gt;"",TEXT(1-manut_MP($B203,E$1,E$2)/VLOOKUP(VALUE(MID($A203,5,3)),BASE_Pot!$A$2:$B$321,2,FALSE),"0.000"),"")</f>
        <v/>
      </c>
      <c r="F203" s="11" t="str">
        <f>IF($B203&lt;&gt;"",TEXT(1-manut_MP($B203,F$1,F$2)/VLOOKUP(VALUE(MID($A203,5,3)),BASE_Pot!$A$2:$B$321,2,FALSE),"0.000"),"")</f>
        <v/>
      </c>
      <c r="G203" s="11" t="str">
        <f>IF($B203&lt;&gt;"",TEXT(1-manut_MP($B203,G$1,G$2)/VLOOKUP(VALUE(MID($A203,5,3)),BASE_Pot!$A$2:$B$321,2,FALSE),"0.000"),"")</f>
        <v/>
      </c>
      <c r="H203" s="11" t="str">
        <f>IF($B203&lt;&gt;"",TEXT(1-manut_MP($B203,H$1,H$2)/VLOOKUP(VALUE(MID($A203,5,3)),BASE_Pot!$A$2:$B$321,2,FALSE),"0.000"),"")</f>
        <v/>
      </c>
      <c r="I203" s="11" t="str">
        <f>IF($B203&lt;&gt;"",TEXT(1-manut_MP($B203,I$1,I$2)/VLOOKUP(VALUE(MID($A203,5,3)),BASE_Pot!$A$2:$B$321,2,FALSE),"0.000"),"")</f>
        <v/>
      </c>
      <c r="J203" t="str">
        <f>""</f>
        <v/>
      </c>
      <c r="L203" t="str">
        <f t="shared" si="8"/>
        <v>&amp;.................................</v>
      </c>
    </row>
    <row r="204" spans="1:12" x14ac:dyDescent="0.25">
      <c r="A204" t="s">
        <v>394</v>
      </c>
      <c r="B204" t="str">
        <f t="shared" si="9"/>
        <v/>
      </c>
      <c r="C204" s="11" t="str">
        <f>IF($B204&lt;&gt;"",TEXT(1-manut_MP($B204,C$1,C$2)/VLOOKUP(VALUE(MID($A204,5,3)),BASE_Pot!$A$2:$B$321,2,FALSE),"0.000"),"")</f>
        <v/>
      </c>
      <c r="D204" s="11" t="str">
        <f>IF($B204&lt;&gt;"",TEXT(1-manut_MP($B204,D$1,D$2)/VLOOKUP(VALUE(MID($A204,5,3)),BASE_Pot!$A$2:$B$321,2,FALSE),"0.000"),"")</f>
        <v/>
      </c>
      <c r="E204" s="11" t="str">
        <f>IF($B204&lt;&gt;"",TEXT(1-manut_MP($B204,E$1,E$2)/VLOOKUP(VALUE(MID($A204,5,3)),BASE_Pot!$A$2:$B$321,2,FALSE),"0.000"),"")</f>
        <v/>
      </c>
      <c r="F204" s="11" t="str">
        <f>IF($B204&lt;&gt;"",TEXT(1-manut_MP($B204,F$1,F$2)/VLOOKUP(VALUE(MID($A204,5,3)),BASE_Pot!$A$2:$B$321,2,FALSE),"0.000"),"")</f>
        <v/>
      </c>
      <c r="G204" s="11" t="str">
        <f>IF($B204&lt;&gt;"",TEXT(1-manut_MP($B204,G$1,G$2)/VLOOKUP(VALUE(MID($A204,5,3)),BASE_Pot!$A$2:$B$321,2,FALSE),"0.000"),"")</f>
        <v/>
      </c>
      <c r="H204" s="11" t="str">
        <f>IF($B204&lt;&gt;"",TEXT(1-manut_MP($B204,H$1,H$2)/VLOOKUP(VALUE(MID($A204,5,3)),BASE_Pot!$A$2:$B$321,2,FALSE),"0.000"),"")</f>
        <v/>
      </c>
      <c r="I204" s="11" t="str">
        <f>IF($B204&lt;&gt;"",TEXT(1-manut_MP($B204,I$1,I$2)/VLOOKUP(VALUE(MID($A204,5,3)),BASE_Pot!$A$2:$B$321,2,FALSE),"0.000"),"")</f>
        <v/>
      </c>
      <c r="J204" t="str">
        <f>""</f>
        <v/>
      </c>
      <c r="L204" t="str">
        <f t="shared" si="8"/>
        <v>&amp;A.A. LAYDNER</v>
      </c>
    </row>
    <row r="205" spans="1:12" x14ac:dyDescent="0.25">
      <c r="A205" t="s">
        <v>575</v>
      </c>
      <c r="B205" t="str">
        <f t="shared" si="9"/>
        <v xml:space="preserve"> 47-H</v>
      </c>
      <c r="C205" s="11" t="str">
        <f>IF($B205&lt;&gt;"",TEXT(1-manut_MP($B205,C$1,C$2)/VLOOKUP(VALUE(MID($A205,5,3)),BASE_Pot!$A$2:$B$321,2,FALSE),"0.000"),"")</f>
        <v>1.000</v>
      </c>
      <c r="D205" s="11" t="str">
        <f>IF($B205&lt;&gt;"",TEXT(1-manut_MP($B205,D$1,D$2)/VLOOKUP(VALUE(MID($A205,5,3)),BASE_Pot!$A$2:$B$321,2,FALSE),"0.000"),"")</f>
        <v>1.000</v>
      </c>
      <c r="E205" s="11" t="str">
        <f>IF($B205&lt;&gt;"",TEXT(1-manut_MP($B205,E$1,E$2)/VLOOKUP(VALUE(MID($A205,5,3)),BASE_Pot!$A$2:$B$321,2,FALSE),"0.000"),"")</f>
        <v>1.000</v>
      </c>
      <c r="F205" s="11" t="str">
        <f>IF($B205&lt;&gt;"",TEXT(1-manut_MP($B205,F$1,F$2)/VLOOKUP(VALUE(MID($A205,5,3)),BASE_Pot!$A$2:$B$321,2,FALSE),"0.000"),"")</f>
        <v>1.000</v>
      </c>
      <c r="G205" s="11" t="str">
        <f>IF($B205&lt;&gt;"",TEXT(1-manut_MP($B205,G$1,G$2)/VLOOKUP(VALUE(MID($A205,5,3)),BASE_Pot!$A$2:$B$321,2,FALSE),"0.000"),"")</f>
        <v>1.000</v>
      </c>
      <c r="H205" s="11" t="str">
        <f>IF($B205&lt;&gt;"",TEXT(1-manut_MP($B205,H$1,H$2)/VLOOKUP(VALUE(MID($A205,5,3)),BASE_Pot!$A$2:$B$321,2,FALSE),"0.000"),"")</f>
        <v>1.000</v>
      </c>
      <c r="I205" s="11" t="str">
        <f>IF($B205&lt;&gt;"",TEXT(1-manut_MP($B205,I$1,I$2)/VLOOKUP(VALUE(MID($A205,5,3)),BASE_Pot!$A$2:$B$321,2,FALSE),"0.000"),"")</f>
        <v>1.000</v>
      </c>
      <c r="J205" t="str">
        <f>""</f>
        <v/>
      </c>
      <c r="L205" t="str">
        <f t="shared" si="8"/>
        <v>MP   47  1.0001.0001.0001.0001.0001.0001.000</v>
      </c>
    </row>
    <row r="206" spans="1:12" x14ac:dyDescent="0.25">
      <c r="A206" t="s">
        <v>395</v>
      </c>
      <c r="B206" t="str">
        <f t="shared" si="9"/>
        <v/>
      </c>
      <c r="C206" s="11" t="str">
        <f>IF($B206&lt;&gt;"",TEXT(1-manut_MP($B206,C$1,C$2)/VLOOKUP(VALUE(MID($A206,5,3)),BASE_Pot!$A$2:$B$321,2,FALSE),"0.000"),"")</f>
        <v/>
      </c>
      <c r="D206" s="11" t="str">
        <f>IF($B206&lt;&gt;"",TEXT(1-manut_MP($B206,D$1,D$2)/VLOOKUP(VALUE(MID($A206,5,3)),BASE_Pot!$A$2:$B$321,2,FALSE),"0.000"),"")</f>
        <v/>
      </c>
      <c r="E206" s="11" t="str">
        <f>IF($B206&lt;&gt;"",TEXT(1-manut_MP($B206,E$1,E$2)/VLOOKUP(VALUE(MID($A206,5,3)),BASE_Pot!$A$2:$B$321,2,FALSE),"0.000"),"")</f>
        <v/>
      </c>
      <c r="F206" s="11" t="str">
        <f>IF($B206&lt;&gt;"",TEXT(1-manut_MP($B206,F$1,F$2)/VLOOKUP(VALUE(MID($A206,5,3)),BASE_Pot!$A$2:$B$321,2,FALSE),"0.000"),"")</f>
        <v/>
      </c>
      <c r="G206" s="11" t="str">
        <f>IF($B206&lt;&gt;"",TEXT(1-manut_MP($B206,G$1,G$2)/VLOOKUP(VALUE(MID($A206,5,3)),BASE_Pot!$A$2:$B$321,2,FALSE),"0.000"),"")</f>
        <v/>
      </c>
      <c r="H206" s="11" t="str">
        <f>IF($B206&lt;&gt;"",TEXT(1-manut_MP($B206,H$1,H$2)/VLOOKUP(VALUE(MID($A206,5,3)),BASE_Pot!$A$2:$B$321,2,FALSE),"0.000"),"")</f>
        <v/>
      </c>
      <c r="I206" s="11" t="str">
        <f>IF($B206&lt;&gt;"",TEXT(1-manut_MP($B206,I$1,I$2)/VLOOKUP(VALUE(MID($A206,5,3)),BASE_Pot!$A$2:$B$321,2,FALSE),"0.000"),"")</f>
        <v/>
      </c>
      <c r="J206" t="str">
        <f>""</f>
        <v/>
      </c>
      <c r="L206" t="str">
        <f t="shared" si="8"/>
        <v>&amp;CHAVANTES</v>
      </c>
    </row>
    <row r="207" spans="1:12" x14ac:dyDescent="0.25">
      <c r="A207" t="s">
        <v>576</v>
      </c>
      <c r="B207" t="str">
        <f t="shared" si="9"/>
        <v xml:space="preserve"> 49-H</v>
      </c>
      <c r="C207" s="11" t="str">
        <f>IF($B207&lt;&gt;"",TEXT(1-manut_MP($B207,C$1,C$2)/VLOOKUP(VALUE(MID($A207,5,3)),BASE_Pot!$A$2:$B$321,2,FALSE),"0.000"),"")</f>
        <v>0.750</v>
      </c>
      <c r="D207" s="11" t="str">
        <f>IF($B207&lt;&gt;"",TEXT(1-manut_MP($B207,D$1,D$2)/VLOOKUP(VALUE(MID($A207,5,3)),BASE_Pot!$A$2:$B$321,2,FALSE),"0.000"),"")</f>
        <v>0.750</v>
      </c>
      <c r="E207" s="11" t="str">
        <f>IF($B207&lt;&gt;"",TEXT(1-manut_MP($B207,E$1,E$2)/VLOOKUP(VALUE(MID($A207,5,3)),BASE_Pot!$A$2:$B$321,2,FALSE),"0.000"),"")</f>
        <v>0.893</v>
      </c>
      <c r="F207" s="11" t="str">
        <f>IF($B207&lt;&gt;"",TEXT(1-manut_MP($B207,F$1,F$2)/VLOOKUP(VALUE(MID($A207,5,3)),BASE_Pot!$A$2:$B$321,2,FALSE),"0.000"),"")</f>
        <v>1.000</v>
      </c>
      <c r="G207" s="11" t="str">
        <f>IF($B207&lt;&gt;"",TEXT(1-manut_MP($B207,G$1,G$2)/VLOOKUP(VALUE(MID($A207,5,3)),BASE_Pot!$A$2:$B$321,2,FALSE),"0.000"),"")</f>
        <v>1.000</v>
      </c>
      <c r="H207" s="11" t="str">
        <f>IF($B207&lt;&gt;"",TEXT(1-manut_MP($B207,H$1,H$2)/VLOOKUP(VALUE(MID($A207,5,3)),BASE_Pot!$A$2:$B$321,2,FALSE),"0.000"),"")</f>
        <v>1.000</v>
      </c>
      <c r="I207" s="11" t="str">
        <f>IF($B207&lt;&gt;"",TEXT(1-manut_MP($B207,I$1,I$2)/VLOOKUP(VALUE(MID($A207,5,3)),BASE_Pot!$A$2:$B$321,2,FALSE),"0.000"),"")</f>
        <v>1.000</v>
      </c>
      <c r="J207" t="str">
        <f>""</f>
        <v/>
      </c>
      <c r="L207" t="str">
        <f t="shared" si="8"/>
        <v>MP   49  0.7500.7500.8931.0001.0001.0001.000</v>
      </c>
    </row>
    <row r="208" spans="1:12" x14ac:dyDescent="0.25">
      <c r="A208" t="s">
        <v>396</v>
      </c>
      <c r="B208" t="str">
        <f t="shared" si="9"/>
        <v/>
      </c>
      <c r="C208" s="11" t="str">
        <f>IF($B208&lt;&gt;"",TEXT(1-manut_MP($B208,C$1,C$2)/VLOOKUP(VALUE(MID($A208,5,3)),BASE_Pot!$A$2:$B$321,2,FALSE),"0.000"),"")</f>
        <v/>
      </c>
      <c r="D208" s="11" t="str">
        <f>IF($B208&lt;&gt;"",TEXT(1-manut_MP($B208,D$1,D$2)/VLOOKUP(VALUE(MID($A208,5,3)),BASE_Pot!$A$2:$B$321,2,FALSE),"0.000"),"")</f>
        <v/>
      </c>
      <c r="E208" s="11" t="str">
        <f>IF($B208&lt;&gt;"",TEXT(1-manut_MP($B208,E$1,E$2)/VLOOKUP(VALUE(MID($A208,5,3)),BASE_Pot!$A$2:$B$321,2,FALSE),"0.000"),"")</f>
        <v/>
      </c>
      <c r="F208" s="11" t="str">
        <f>IF($B208&lt;&gt;"",TEXT(1-manut_MP($B208,F$1,F$2)/VLOOKUP(VALUE(MID($A208,5,3)),BASE_Pot!$A$2:$B$321,2,FALSE),"0.000"),"")</f>
        <v/>
      </c>
      <c r="G208" s="11" t="str">
        <f>IF($B208&lt;&gt;"",TEXT(1-manut_MP($B208,G$1,G$2)/VLOOKUP(VALUE(MID($A208,5,3)),BASE_Pot!$A$2:$B$321,2,FALSE),"0.000"),"")</f>
        <v/>
      </c>
      <c r="H208" s="11" t="str">
        <f>IF($B208&lt;&gt;"",TEXT(1-manut_MP($B208,H$1,H$2)/VLOOKUP(VALUE(MID($A208,5,3)),BASE_Pot!$A$2:$B$321,2,FALSE),"0.000"),"")</f>
        <v/>
      </c>
      <c r="I208" s="11" t="str">
        <f>IF($B208&lt;&gt;"",TEXT(1-manut_MP($B208,I$1,I$2)/VLOOKUP(VALUE(MID($A208,5,3)),BASE_Pot!$A$2:$B$321,2,FALSE),"0.000"),"")</f>
        <v/>
      </c>
      <c r="J208" t="str">
        <f>""</f>
        <v/>
      </c>
      <c r="L208" t="str">
        <f t="shared" si="8"/>
        <v>&amp;L.N. GARCEZ</v>
      </c>
    </row>
    <row r="209" spans="1:12" x14ac:dyDescent="0.25">
      <c r="A209" t="s">
        <v>577</v>
      </c>
      <c r="B209" t="str">
        <f t="shared" si="9"/>
        <v xml:space="preserve"> 50-H</v>
      </c>
      <c r="C209" s="11" t="str">
        <f>IF($B209&lt;&gt;"",TEXT(1-manut_MP($B209,C$1,C$2)/VLOOKUP(VALUE(MID($A209,5,3)),BASE_Pot!$A$2:$B$321,2,FALSE),"0.000"),"")</f>
        <v>1.000</v>
      </c>
      <c r="D209" s="11" t="str">
        <f>IF($B209&lt;&gt;"",TEXT(1-manut_MP($B209,D$1,D$2)/VLOOKUP(VALUE(MID($A209,5,3)),BASE_Pot!$A$2:$B$321,2,FALSE),"0.000"),"")</f>
        <v>1.000</v>
      </c>
      <c r="E209" s="11" t="str">
        <f>IF($B209&lt;&gt;"",TEXT(1-manut_MP($B209,E$1,E$2)/VLOOKUP(VALUE(MID($A209,5,3)),BASE_Pot!$A$2:$B$321,2,FALSE),"0.000"),"")</f>
        <v>1.000</v>
      </c>
      <c r="F209" s="11" t="str">
        <f>IF($B209&lt;&gt;"",TEXT(1-manut_MP($B209,F$1,F$2)/VLOOKUP(VALUE(MID($A209,5,3)),BASE_Pot!$A$2:$B$321,2,FALSE),"0.000"),"")</f>
        <v>1.000</v>
      </c>
      <c r="G209" s="11" t="str">
        <f>IF($B209&lt;&gt;"",TEXT(1-manut_MP($B209,G$1,G$2)/VLOOKUP(VALUE(MID($A209,5,3)),BASE_Pot!$A$2:$B$321,2,FALSE),"0.000"),"")</f>
        <v>1.000</v>
      </c>
      <c r="H209" s="11" t="str">
        <f>IF($B209&lt;&gt;"",TEXT(1-manut_MP($B209,H$1,H$2)/VLOOKUP(VALUE(MID($A209,5,3)),BASE_Pot!$A$2:$B$321,2,FALSE),"0.000"),"")</f>
        <v>1.000</v>
      </c>
      <c r="I209" s="11" t="str">
        <f>IF($B209&lt;&gt;"",TEXT(1-manut_MP($B209,I$1,I$2)/VLOOKUP(VALUE(MID($A209,5,3)),BASE_Pot!$A$2:$B$321,2,FALSE),"0.000"),"")</f>
        <v>1.000</v>
      </c>
      <c r="J209" t="str">
        <f>""</f>
        <v/>
      </c>
      <c r="L209" t="str">
        <f t="shared" si="8"/>
        <v>MP   50  1.0001.0001.0001.0001.0001.0001.000</v>
      </c>
    </row>
    <row r="210" spans="1:12" x14ac:dyDescent="0.25">
      <c r="A210" t="s">
        <v>397</v>
      </c>
      <c r="B210" t="str">
        <f t="shared" si="9"/>
        <v/>
      </c>
      <c r="C210" s="11" t="str">
        <f>IF($B210&lt;&gt;"",TEXT(1-manut_MP($B210,C$1,C$2)/VLOOKUP(VALUE(MID($A210,5,3)),BASE_Pot!$A$2:$B$321,2,FALSE),"0.000"),"")</f>
        <v/>
      </c>
      <c r="D210" s="11" t="str">
        <f>IF($B210&lt;&gt;"",TEXT(1-manut_MP($B210,D$1,D$2)/VLOOKUP(VALUE(MID($A210,5,3)),BASE_Pot!$A$2:$B$321,2,FALSE),"0.000"),"")</f>
        <v/>
      </c>
      <c r="E210" s="11" t="str">
        <f>IF($B210&lt;&gt;"",TEXT(1-manut_MP($B210,E$1,E$2)/VLOOKUP(VALUE(MID($A210,5,3)),BASE_Pot!$A$2:$B$321,2,FALSE),"0.000"),"")</f>
        <v/>
      </c>
      <c r="F210" s="11" t="str">
        <f>IF($B210&lt;&gt;"",TEXT(1-manut_MP($B210,F$1,F$2)/VLOOKUP(VALUE(MID($A210,5,3)),BASE_Pot!$A$2:$B$321,2,FALSE),"0.000"),"")</f>
        <v/>
      </c>
      <c r="G210" s="11" t="str">
        <f>IF($B210&lt;&gt;"",TEXT(1-manut_MP($B210,G$1,G$2)/VLOOKUP(VALUE(MID($A210,5,3)),BASE_Pot!$A$2:$B$321,2,FALSE),"0.000"),"")</f>
        <v/>
      </c>
      <c r="H210" s="11" t="str">
        <f>IF($B210&lt;&gt;"",TEXT(1-manut_MP($B210,H$1,H$2)/VLOOKUP(VALUE(MID($A210,5,3)),BASE_Pot!$A$2:$B$321,2,FALSE),"0.000"),"")</f>
        <v/>
      </c>
      <c r="I210" s="11" t="str">
        <f>IF($B210&lt;&gt;"",TEXT(1-manut_MP($B210,I$1,I$2)/VLOOKUP(VALUE(MID($A210,5,3)),BASE_Pot!$A$2:$B$321,2,FALSE),"0.000"),"")</f>
        <v/>
      </c>
      <c r="J210" t="str">
        <f>""</f>
        <v/>
      </c>
      <c r="L210" t="str">
        <f t="shared" si="8"/>
        <v>&amp;CANOAS II</v>
      </c>
    </row>
    <row r="211" spans="1:12" x14ac:dyDescent="0.25">
      <c r="A211" t="s">
        <v>578</v>
      </c>
      <c r="B211" t="str">
        <f t="shared" si="9"/>
        <v xml:space="preserve"> 51-H</v>
      </c>
      <c r="C211" s="11" t="str">
        <f>IF($B211&lt;&gt;"",TEXT(1-manut_MP($B211,C$1,C$2)/VLOOKUP(VALUE(MID($A211,5,3)),BASE_Pot!$A$2:$B$321,2,FALSE),"0.000"),"")</f>
        <v>1.000</v>
      </c>
      <c r="D211" s="11" t="str">
        <f>IF($B211&lt;&gt;"",TEXT(1-manut_MP($B211,D$1,D$2)/VLOOKUP(VALUE(MID($A211,5,3)),BASE_Pot!$A$2:$B$321,2,FALSE),"0.000"),"")</f>
        <v>1.000</v>
      </c>
      <c r="E211" s="11" t="str">
        <f>IF($B211&lt;&gt;"",TEXT(1-manut_MP($B211,E$1,E$2)/VLOOKUP(VALUE(MID($A211,5,3)),BASE_Pot!$A$2:$B$321,2,FALSE),"0.000"),"")</f>
        <v>1.000</v>
      </c>
      <c r="F211" s="11" t="str">
        <f>IF($B211&lt;&gt;"",TEXT(1-manut_MP($B211,F$1,F$2)/VLOOKUP(VALUE(MID($A211,5,3)),BASE_Pot!$A$2:$B$321,2,FALSE),"0.000"),"")</f>
        <v>1.000</v>
      </c>
      <c r="G211" s="11" t="str">
        <f>IF($B211&lt;&gt;"",TEXT(1-manut_MP($B211,G$1,G$2)/VLOOKUP(VALUE(MID($A211,5,3)),BASE_Pot!$A$2:$B$321,2,FALSE),"0.000"),"")</f>
        <v>1.000</v>
      </c>
      <c r="H211" s="11" t="str">
        <f>IF($B211&lt;&gt;"",TEXT(1-manut_MP($B211,H$1,H$2)/VLOOKUP(VALUE(MID($A211,5,3)),BASE_Pot!$A$2:$B$321,2,FALSE),"0.000"),"")</f>
        <v>1.000</v>
      </c>
      <c r="I211" s="11" t="str">
        <f>IF($B211&lt;&gt;"",TEXT(1-manut_MP($B211,I$1,I$2)/VLOOKUP(VALUE(MID($A211,5,3)),BASE_Pot!$A$2:$B$321,2,FALSE),"0.000"),"")</f>
        <v>1.000</v>
      </c>
      <c r="J211" t="str">
        <f>""</f>
        <v/>
      </c>
      <c r="L211" t="str">
        <f t="shared" ref="L211:L274" si="10">IF(LEFT(A211,1)="&amp;",A211,A211&amp;"  "&amp;LEFT(INDEX($C211:$J211,1,MIN($M$1,8))&amp;INDEX($C211:$J211,1,MIN($M$1+1,8))&amp;INDEX($C211:$J211,1,MIN($M$1+2,8))&amp;INDEX($C211:$J211,1,MIN($M$1+3,8))&amp;INDEX($C211:$J211,1,MIN($M$1+4,8))&amp;INDEX($C211:$J211,1,MIN($M$1+5,8))&amp;INDEX($C211:$J211,1,MIN($M$1+6,8))&amp;INDEX($C211:$J211,1,MIN($M$1+7,8)),5*($P$1-1))&amp;"1.000")</f>
        <v>MP   51  1.0001.0001.0001.0001.0001.0001.000</v>
      </c>
    </row>
    <row r="212" spans="1:12" x14ac:dyDescent="0.25">
      <c r="A212" t="s">
        <v>398</v>
      </c>
      <c r="B212" t="str">
        <f t="shared" si="9"/>
        <v/>
      </c>
      <c r="C212" s="11" t="str">
        <f>IF($B212&lt;&gt;"",TEXT(1-manut_MP($B212,C$1,C$2)/VLOOKUP(VALUE(MID($A212,5,3)),BASE_Pot!$A$2:$B$321,2,FALSE),"0.000"),"")</f>
        <v/>
      </c>
      <c r="D212" s="11" t="str">
        <f>IF($B212&lt;&gt;"",TEXT(1-manut_MP($B212,D$1,D$2)/VLOOKUP(VALUE(MID($A212,5,3)),BASE_Pot!$A$2:$B$321,2,FALSE),"0.000"),"")</f>
        <v/>
      </c>
      <c r="E212" s="11" t="str">
        <f>IF($B212&lt;&gt;"",TEXT(1-manut_MP($B212,E$1,E$2)/VLOOKUP(VALUE(MID($A212,5,3)),BASE_Pot!$A$2:$B$321,2,FALSE),"0.000"),"")</f>
        <v/>
      </c>
      <c r="F212" s="11" t="str">
        <f>IF($B212&lt;&gt;"",TEXT(1-manut_MP($B212,F$1,F$2)/VLOOKUP(VALUE(MID($A212,5,3)),BASE_Pot!$A$2:$B$321,2,FALSE),"0.000"),"")</f>
        <v/>
      </c>
      <c r="G212" s="11" t="str">
        <f>IF($B212&lt;&gt;"",TEXT(1-manut_MP($B212,G$1,G$2)/VLOOKUP(VALUE(MID($A212,5,3)),BASE_Pot!$A$2:$B$321,2,FALSE),"0.000"),"")</f>
        <v/>
      </c>
      <c r="H212" s="11" t="str">
        <f>IF($B212&lt;&gt;"",TEXT(1-manut_MP($B212,H$1,H$2)/VLOOKUP(VALUE(MID($A212,5,3)),BASE_Pot!$A$2:$B$321,2,FALSE),"0.000"),"")</f>
        <v/>
      </c>
      <c r="I212" s="11" t="str">
        <f>IF($B212&lt;&gt;"",TEXT(1-manut_MP($B212,I$1,I$2)/VLOOKUP(VALUE(MID($A212,5,3)),BASE_Pot!$A$2:$B$321,2,FALSE),"0.000"),"")</f>
        <v/>
      </c>
      <c r="J212" t="str">
        <f>""</f>
        <v/>
      </c>
      <c r="L212" t="str">
        <f t="shared" si="10"/>
        <v>&amp;CANOAS I</v>
      </c>
    </row>
    <row r="213" spans="1:12" x14ac:dyDescent="0.25">
      <c r="A213" t="s">
        <v>579</v>
      </c>
      <c r="B213" t="str">
        <f t="shared" si="9"/>
        <v xml:space="preserve"> 52-H</v>
      </c>
      <c r="C213" s="11" t="str">
        <f>IF($B213&lt;&gt;"",TEXT(1-manut_MP($B213,C$1,C$2)/VLOOKUP(VALUE(MID($A213,5,3)),BASE_Pot!$A$2:$B$321,2,FALSE),"0.000"),"")</f>
        <v>1.000</v>
      </c>
      <c r="D213" s="11" t="str">
        <f>IF($B213&lt;&gt;"",TEXT(1-manut_MP($B213,D$1,D$2)/VLOOKUP(VALUE(MID($A213,5,3)),BASE_Pot!$A$2:$B$321,2,FALSE),"0.000"),"")</f>
        <v>1.000</v>
      </c>
      <c r="E213" s="11" t="str">
        <f>IF($B213&lt;&gt;"",TEXT(1-manut_MP($B213,E$1,E$2)/VLOOKUP(VALUE(MID($A213,5,3)),BASE_Pot!$A$2:$B$321,2,FALSE),"0.000"),"")</f>
        <v>1.000</v>
      </c>
      <c r="F213" s="11" t="str">
        <f>IF($B213&lt;&gt;"",TEXT(1-manut_MP($B213,F$1,F$2)/VLOOKUP(VALUE(MID($A213,5,3)),BASE_Pot!$A$2:$B$321,2,FALSE),"0.000"),"")</f>
        <v>1.000</v>
      </c>
      <c r="G213" s="11" t="str">
        <f>IF($B213&lt;&gt;"",TEXT(1-manut_MP($B213,G$1,G$2)/VLOOKUP(VALUE(MID($A213,5,3)),BASE_Pot!$A$2:$B$321,2,FALSE),"0.000"),"")</f>
        <v>1.000</v>
      </c>
      <c r="H213" s="11" t="str">
        <f>IF($B213&lt;&gt;"",TEXT(1-manut_MP($B213,H$1,H$2)/VLOOKUP(VALUE(MID($A213,5,3)),BASE_Pot!$A$2:$B$321,2,FALSE),"0.000"),"")</f>
        <v>1.000</v>
      </c>
      <c r="I213" s="11" t="str">
        <f>IF($B213&lt;&gt;"",TEXT(1-manut_MP($B213,I$1,I$2)/VLOOKUP(VALUE(MID($A213,5,3)),BASE_Pot!$A$2:$B$321,2,FALSE),"0.000"),"")</f>
        <v>1.000</v>
      </c>
      <c r="J213" t="str">
        <f>""</f>
        <v/>
      </c>
      <c r="L213" t="str">
        <f t="shared" si="10"/>
        <v>MP   52  1.0001.0001.0001.0001.0001.0001.000</v>
      </c>
    </row>
    <row r="214" spans="1:12" x14ac:dyDescent="0.25">
      <c r="A214" t="s">
        <v>399</v>
      </c>
      <c r="B214" t="str">
        <f t="shared" si="9"/>
        <v/>
      </c>
      <c r="C214" s="11" t="str">
        <f>IF($B214&lt;&gt;"",TEXT(1-manut_MP($B214,C$1,C$2)/VLOOKUP(VALUE(MID($A214,5,3)),BASE_Pot!$A$2:$B$321,2,FALSE),"0.000"),"")</f>
        <v/>
      </c>
      <c r="D214" s="11" t="str">
        <f>IF($B214&lt;&gt;"",TEXT(1-manut_MP($B214,D$1,D$2)/VLOOKUP(VALUE(MID($A214,5,3)),BASE_Pot!$A$2:$B$321,2,FALSE),"0.000"),"")</f>
        <v/>
      </c>
      <c r="E214" s="11" t="str">
        <f>IF($B214&lt;&gt;"",TEXT(1-manut_MP($B214,E$1,E$2)/VLOOKUP(VALUE(MID($A214,5,3)),BASE_Pot!$A$2:$B$321,2,FALSE),"0.000"),"")</f>
        <v/>
      </c>
      <c r="F214" s="11" t="str">
        <f>IF($B214&lt;&gt;"",TEXT(1-manut_MP($B214,F$1,F$2)/VLOOKUP(VALUE(MID($A214,5,3)),BASE_Pot!$A$2:$B$321,2,FALSE),"0.000"),"")</f>
        <v/>
      </c>
      <c r="G214" s="11" t="str">
        <f>IF($B214&lt;&gt;"",TEXT(1-manut_MP($B214,G$1,G$2)/VLOOKUP(VALUE(MID($A214,5,3)),BASE_Pot!$A$2:$B$321,2,FALSE),"0.000"),"")</f>
        <v/>
      </c>
      <c r="H214" s="11" t="str">
        <f>IF($B214&lt;&gt;"",TEXT(1-manut_MP($B214,H$1,H$2)/VLOOKUP(VALUE(MID($A214,5,3)),BASE_Pot!$A$2:$B$321,2,FALSE),"0.000"),"")</f>
        <v/>
      </c>
      <c r="I214" s="11" t="str">
        <f>IF($B214&lt;&gt;"",TEXT(1-manut_MP($B214,I$1,I$2)/VLOOKUP(VALUE(MID($A214,5,3)),BASE_Pot!$A$2:$B$321,2,FALSE),"0.000"),"")</f>
        <v/>
      </c>
      <c r="J214" t="str">
        <f>""</f>
        <v/>
      </c>
      <c r="L214" t="str">
        <f t="shared" si="10"/>
        <v>&amp;CAPIVARA</v>
      </c>
    </row>
    <row r="215" spans="1:12" x14ac:dyDescent="0.25">
      <c r="A215" t="s">
        <v>580</v>
      </c>
      <c r="B215" t="str">
        <f t="shared" si="9"/>
        <v xml:space="preserve"> 61-H</v>
      </c>
      <c r="C215" s="11" t="str">
        <f>IF($B215&lt;&gt;"",TEXT(1-manut_MP($B215,C$1,C$2)/VLOOKUP(VALUE(MID($A215,5,3)),BASE_Pot!$A$2:$B$321,2,FALSE),"0.000"),"")</f>
        <v>0.965</v>
      </c>
      <c r="D215" s="11" t="str">
        <f>IF($B215&lt;&gt;"",TEXT(1-manut_MP($B215,D$1,D$2)/VLOOKUP(VALUE(MID($A215,5,3)),BASE_Pot!$A$2:$B$321,2,FALSE),"0.000"),"")</f>
        <v>1.000</v>
      </c>
      <c r="E215" s="11" t="str">
        <f>IF($B215&lt;&gt;"",TEXT(1-manut_MP($B215,E$1,E$2)/VLOOKUP(VALUE(MID($A215,5,3)),BASE_Pot!$A$2:$B$321,2,FALSE),"0.000"),"")</f>
        <v>1.000</v>
      </c>
      <c r="F215" s="11" t="str">
        <f>IF($B215&lt;&gt;"",TEXT(1-manut_MP($B215,F$1,F$2)/VLOOKUP(VALUE(MID($A215,5,3)),BASE_Pot!$A$2:$B$321,2,FALSE),"0.000"),"")</f>
        <v>1.000</v>
      </c>
      <c r="G215" s="11" t="str">
        <f>IF($B215&lt;&gt;"",TEXT(1-manut_MP($B215,G$1,G$2)/VLOOKUP(VALUE(MID($A215,5,3)),BASE_Pot!$A$2:$B$321,2,FALSE),"0.000"),"")</f>
        <v>1.000</v>
      </c>
      <c r="H215" s="11" t="str">
        <f>IF($B215&lt;&gt;"",TEXT(1-manut_MP($B215,H$1,H$2)/VLOOKUP(VALUE(MID($A215,5,3)),BASE_Pot!$A$2:$B$321,2,FALSE),"0.000"),"")</f>
        <v>1.000</v>
      </c>
      <c r="I215" s="11" t="str">
        <f>IF($B215&lt;&gt;"",TEXT(1-manut_MP($B215,I$1,I$2)/VLOOKUP(VALUE(MID($A215,5,3)),BASE_Pot!$A$2:$B$321,2,FALSE),"0.000"),"")</f>
        <v>1.000</v>
      </c>
      <c r="J215" t="str">
        <f>""</f>
        <v/>
      </c>
      <c r="L215" t="str">
        <f t="shared" si="10"/>
        <v>MP   61  0.9651.0001.0001.0001.0001.0001.000</v>
      </c>
    </row>
    <row r="216" spans="1:12" x14ac:dyDescent="0.25">
      <c r="A216" t="s">
        <v>400</v>
      </c>
      <c r="B216" t="str">
        <f t="shared" si="9"/>
        <v/>
      </c>
      <c r="C216" s="11" t="str">
        <f>IF($B216&lt;&gt;"",TEXT(1-manut_MP($B216,C$1,C$2)/VLOOKUP(VALUE(MID($A216,5,3)),BASE_Pot!$A$2:$B$321,2,FALSE),"0.000"),"")</f>
        <v/>
      </c>
      <c r="D216" s="11" t="str">
        <f>IF($B216&lt;&gt;"",TEXT(1-manut_MP($B216,D$1,D$2)/VLOOKUP(VALUE(MID($A216,5,3)),BASE_Pot!$A$2:$B$321,2,FALSE),"0.000"),"")</f>
        <v/>
      </c>
      <c r="E216" s="11" t="str">
        <f>IF($B216&lt;&gt;"",TEXT(1-manut_MP($B216,E$1,E$2)/VLOOKUP(VALUE(MID($A216,5,3)),BASE_Pot!$A$2:$B$321,2,FALSE),"0.000"),"")</f>
        <v/>
      </c>
      <c r="F216" s="11" t="str">
        <f>IF($B216&lt;&gt;"",TEXT(1-manut_MP($B216,F$1,F$2)/VLOOKUP(VALUE(MID($A216,5,3)),BASE_Pot!$A$2:$B$321,2,FALSE),"0.000"),"")</f>
        <v/>
      </c>
      <c r="G216" s="11" t="str">
        <f>IF($B216&lt;&gt;"",TEXT(1-manut_MP($B216,G$1,G$2)/VLOOKUP(VALUE(MID($A216,5,3)),BASE_Pot!$A$2:$B$321,2,FALSE),"0.000"),"")</f>
        <v/>
      </c>
      <c r="H216" s="11" t="str">
        <f>IF($B216&lt;&gt;"",TEXT(1-manut_MP($B216,H$1,H$2)/VLOOKUP(VALUE(MID($A216,5,3)),BASE_Pot!$A$2:$B$321,2,FALSE),"0.000"),"")</f>
        <v/>
      </c>
      <c r="I216" s="11" t="str">
        <f>IF($B216&lt;&gt;"",TEXT(1-manut_MP($B216,I$1,I$2)/VLOOKUP(VALUE(MID($A216,5,3)),BASE_Pot!$A$2:$B$321,2,FALSE),"0.000"),"")</f>
        <v/>
      </c>
      <c r="J216" t="str">
        <f>""</f>
        <v/>
      </c>
      <c r="L216" t="str">
        <f t="shared" si="10"/>
        <v>&amp;TAQUARUCU</v>
      </c>
    </row>
    <row r="217" spans="1:12" x14ac:dyDescent="0.25">
      <c r="A217" t="s">
        <v>581</v>
      </c>
      <c r="B217" t="str">
        <f t="shared" si="9"/>
        <v xml:space="preserve"> 62-H</v>
      </c>
      <c r="C217" s="11" t="str">
        <f>IF($B217&lt;&gt;"",TEXT(1-manut_MP($B217,C$1,C$2)/VLOOKUP(VALUE(MID($A217,5,3)),BASE_Pot!$A$2:$B$321,2,FALSE),"0.000"),"")</f>
        <v>1.000</v>
      </c>
      <c r="D217" s="11" t="str">
        <f>IF($B217&lt;&gt;"",TEXT(1-manut_MP($B217,D$1,D$2)/VLOOKUP(VALUE(MID($A217,5,3)),BASE_Pot!$A$2:$B$321,2,FALSE),"0.000"),"")</f>
        <v>1.000</v>
      </c>
      <c r="E217" s="11" t="str">
        <f>IF($B217&lt;&gt;"",TEXT(1-manut_MP($B217,E$1,E$2)/VLOOKUP(VALUE(MID($A217,5,3)),BASE_Pot!$A$2:$B$321,2,FALSE),"0.000"),"")</f>
        <v>1.000</v>
      </c>
      <c r="F217" s="11" t="str">
        <f>IF($B217&lt;&gt;"",TEXT(1-manut_MP($B217,F$1,F$2)/VLOOKUP(VALUE(MID($A217,5,3)),BASE_Pot!$A$2:$B$321,2,FALSE),"0.000"),"")</f>
        <v>1.000</v>
      </c>
      <c r="G217" s="11" t="str">
        <f>IF($B217&lt;&gt;"",TEXT(1-manut_MP($B217,G$1,G$2)/VLOOKUP(VALUE(MID($A217,5,3)),BASE_Pot!$A$2:$B$321,2,FALSE),"0.000"),"")</f>
        <v>1.000</v>
      </c>
      <c r="H217" s="11" t="str">
        <f>IF($B217&lt;&gt;"",TEXT(1-manut_MP($B217,H$1,H$2)/VLOOKUP(VALUE(MID($A217,5,3)),BASE_Pot!$A$2:$B$321,2,FALSE),"0.000"),"")</f>
        <v>1.000</v>
      </c>
      <c r="I217" s="11" t="str">
        <f>IF($B217&lt;&gt;"",TEXT(1-manut_MP($B217,I$1,I$2)/VLOOKUP(VALUE(MID($A217,5,3)),BASE_Pot!$A$2:$B$321,2,FALSE),"0.000"),"")</f>
        <v>1.000</v>
      </c>
      <c r="J217" t="str">
        <f>""</f>
        <v/>
      </c>
      <c r="L217" t="str">
        <f t="shared" si="10"/>
        <v>MP   62  1.0001.0001.0001.0001.0001.0001.000</v>
      </c>
    </row>
    <row r="218" spans="1:12" x14ac:dyDescent="0.25">
      <c r="A218" t="s">
        <v>401</v>
      </c>
      <c r="B218" t="str">
        <f t="shared" si="9"/>
        <v/>
      </c>
      <c r="C218" s="11" t="str">
        <f>IF($B218&lt;&gt;"",TEXT(1-manut_MP($B218,C$1,C$2)/VLOOKUP(VALUE(MID($A218,5,3)),BASE_Pot!$A$2:$B$321,2,FALSE),"0.000"),"")</f>
        <v/>
      </c>
      <c r="D218" s="11" t="str">
        <f>IF($B218&lt;&gt;"",TEXT(1-manut_MP($B218,D$1,D$2)/VLOOKUP(VALUE(MID($A218,5,3)),BASE_Pot!$A$2:$B$321,2,FALSE),"0.000"),"")</f>
        <v/>
      </c>
      <c r="E218" s="11" t="str">
        <f>IF($B218&lt;&gt;"",TEXT(1-manut_MP($B218,E$1,E$2)/VLOOKUP(VALUE(MID($A218,5,3)),BASE_Pot!$A$2:$B$321,2,FALSE),"0.000"),"")</f>
        <v/>
      </c>
      <c r="F218" s="11" t="str">
        <f>IF($B218&lt;&gt;"",TEXT(1-manut_MP($B218,F$1,F$2)/VLOOKUP(VALUE(MID($A218,5,3)),BASE_Pot!$A$2:$B$321,2,FALSE),"0.000"),"")</f>
        <v/>
      </c>
      <c r="G218" s="11" t="str">
        <f>IF($B218&lt;&gt;"",TEXT(1-manut_MP($B218,G$1,G$2)/VLOOKUP(VALUE(MID($A218,5,3)),BASE_Pot!$A$2:$B$321,2,FALSE),"0.000"),"")</f>
        <v/>
      </c>
      <c r="H218" s="11" t="str">
        <f>IF($B218&lt;&gt;"",TEXT(1-manut_MP($B218,H$1,H$2)/VLOOKUP(VALUE(MID($A218,5,3)),BASE_Pot!$A$2:$B$321,2,FALSE),"0.000"),"")</f>
        <v/>
      </c>
      <c r="I218" s="11" t="str">
        <f>IF($B218&lt;&gt;"",TEXT(1-manut_MP($B218,I$1,I$2)/VLOOKUP(VALUE(MID($A218,5,3)),BASE_Pot!$A$2:$B$321,2,FALSE),"0.000"),"")</f>
        <v/>
      </c>
      <c r="J218" t="str">
        <f>""</f>
        <v/>
      </c>
      <c r="L218" t="str">
        <f t="shared" si="10"/>
        <v>&amp;ROSANA</v>
      </c>
    </row>
    <row r="219" spans="1:12" x14ac:dyDescent="0.25">
      <c r="A219" t="s">
        <v>582</v>
      </c>
      <c r="B219" t="str">
        <f t="shared" si="9"/>
        <v xml:space="preserve"> 63-H</v>
      </c>
      <c r="C219" s="11" t="str">
        <f>IF($B219&lt;&gt;"",TEXT(1-manut_MP($B219,C$1,C$2)/VLOOKUP(VALUE(MID($A219,5,3)),BASE_Pot!$A$2:$B$321,2,FALSE),"0.000"),"")</f>
        <v>1.000</v>
      </c>
      <c r="D219" s="11" t="str">
        <f>IF($B219&lt;&gt;"",TEXT(1-manut_MP($B219,D$1,D$2)/VLOOKUP(VALUE(MID($A219,5,3)),BASE_Pot!$A$2:$B$321,2,FALSE),"0.000"),"")</f>
        <v>1.000</v>
      </c>
      <c r="E219" s="11" t="str">
        <f>IF($B219&lt;&gt;"",TEXT(1-manut_MP($B219,E$1,E$2)/VLOOKUP(VALUE(MID($A219,5,3)),BASE_Pot!$A$2:$B$321,2,FALSE),"0.000"),"")</f>
        <v>1.000</v>
      </c>
      <c r="F219" s="11" t="str">
        <f>IF($B219&lt;&gt;"",TEXT(1-manut_MP($B219,F$1,F$2)/VLOOKUP(VALUE(MID($A219,5,3)),BASE_Pot!$A$2:$B$321,2,FALSE),"0.000"),"")</f>
        <v>1.000</v>
      </c>
      <c r="G219" s="11" t="str">
        <f>IF($B219&lt;&gt;"",TEXT(1-manut_MP($B219,G$1,G$2)/VLOOKUP(VALUE(MID($A219,5,3)),BASE_Pot!$A$2:$B$321,2,FALSE),"0.000"),"")</f>
        <v>1.000</v>
      </c>
      <c r="H219" s="11" t="str">
        <f>IF($B219&lt;&gt;"",TEXT(1-manut_MP($B219,H$1,H$2)/VLOOKUP(VALUE(MID($A219,5,3)),BASE_Pot!$A$2:$B$321,2,FALSE),"0.000"),"")</f>
        <v>1.000</v>
      </c>
      <c r="I219" s="11" t="str">
        <f>IF($B219&lt;&gt;"",TEXT(1-manut_MP($B219,I$1,I$2)/VLOOKUP(VALUE(MID($A219,5,3)),BASE_Pot!$A$2:$B$321,2,FALSE),"0.000"),"")</f>
        <v>1.000</v>
      </c>
      <c r="J219" t="str">
        <f>""</f>
        <v/>
      </c>
      <c r="L219" t="str">
        <f t="shared" si="10"/>
        <v>MP   63  1.0001.0001.0001.0001.0001.0001.000</v>
      </c>
    </row>
    <row r="220" spans="1:12" x14ac:dyDescent="0.25">
      <c r="A220" t="s">
        <v>304</v>
      </c>
      <c r="B220" t="str">
        <f t="shared" si="9"/>
        <v/>
      </c>
      <c r="C220" s="11" t="str">
        <f>IF($B220&lt;&gt;"",TEXT(1-manut_MP($B220,C$1,C$2)/VLOOKUP(VALUE(MID($A220,5,3)),BASE_Pot!$A$2:$B$321,2,FALSE),"0.000"),"")</f>
        <v/>
      </c>
      <c r="D220" s="11" t="str">
        <f>IF($B220&lt;&gt;"",TEXT(1-manut_MP($B220,D$1,D$2)/VLOOKUP(VALUE(MID($A220,5,3)),BASE_Pot!$A$2:$B$321,2,FALSE),"0.000"),"")</f>
        <v/>
      </c>
      <c r="E220" s="11" t="str">
        <f>IF($B220&lt;&gt;"",TEXT(1-manut_MP($B220,E$1,E$2)/VLOOKUP(VALUE(MID($A220,5,3)),BASE_Pot!$A$2:$B$321,2,FALSE),"0.000"),"")</f>
        <v/>
      </c>
      <c r="F220" s="11" t="str">
        <f>IF($B220&lt;&gt;"",TEXT(1-manut_MP($B220,F$1,F$2)/VLOOKUP(VALUE(MID($A220,5,3)),BASE_Pot!$A$2:$B$321,2,FALSE),"0.000"),"")</f>
        <v/>
      </c>
      <c r="G220" s="11" t="str">
        <f>IF($B220&lt;&gt;"",TEXT(1-manut_MP($B220,G$1,G$2)/VLOOKUP(VALUE(MID($A220,5,3)),BASE_Pot!$A$2:$B$321,2,FALSE),"0.000"),"")</f>
        <v/>
      </c>
      <c r="H220" s="11" t="str">
        <f>IF($B220&lt;&gt;"",TEXT(1-manut_MP($B220,H$1,H$2)/VLOOKUP(VALUE(MID($A220,5,3)),BASE_Pot!$A$2:$B$321,2,FALSE),"0.000"),"")</f>
        <v/>
      </c>
      <c r="I220" s="11" t="str">
        <f>IF($B220&lt;&gt;"",TEXT(1-manut_MP($B220,I$1,I$2)/VLOOKUP(VALUE(MID($A220,5,3)),BASE_Pot!$A$2:$B$321,2,FALSE),"0.000"),"")</f>
        <v/>
      </c>
      <c r="J220" t="str">
        <f>""</f>
        <v/>
      </c>
      <c r="L220" t="str">
        <f t="shared" si="10"/>
        <v>&amp;.................................</v>
      </c>
    </row>
    <row r="221" spans="1:12" x14ac:dyDescent="0.25">
      <c r="A221" t="s">
        <v>402</v>
      </c>
      <c r="B221" t="str">
        <f t="shared" si="9"/>
        <v/>
      </c>
      <c r="C221" s="11" t="str">
        <f>IF($B221&lt;&gt;"",TEXT(1-manut_MP($B221,C$1,C$2)/VLOOKUP(VALUE(MID($A221,5,3)),BASE_Pot!$A$2:$B$321,2,FALSE),"0.000"),"")</f>
        <v/>
      </c>
      <c r="D221" s="11" t="str">
        <f>IF($B221&lt;&gt;"",TEXT(1-manut_MP($B221,D$1,D$2)/VLOOKUP(VALUE(MID($A221,5,3)),BASE_Pot!$A$2:$B$321,2,FALSE),"0.000"),"")</f>
        <v/>
      </c>
      <c r="E221" s="11" t="str">
        <f>IF($B221&lt;&gt;"",TEXT(1-manut_MP($B221,E$1,E$2)/VLOOKUP(VALUE(MID($A221,5,3)),BASE_Pot!$A$2:$B$321,2,FALSE),"0.000"),"")</f>
        <v/>
      </c>
      <c r="F221" s="11" t="str">
        <f>IF($B221&lt;&gt;"",TEXT(1-manut_MP($B221,F$1,F$2)/VLOOKUP(VALUE(MID($A221,5,3)),BASE_Pot!$A$2:$B$321,2,FALSE),"0.000"),"")</f>
        <v/>
      </c>
      <c r="G221" s="11" t="str">
        <f>IF($B221&lt;&gt;"",TEXT(1-manut_MP($B221,G$1,G$2)/VLOOKUP(VALUE(MID($A221,5,3)),BASE_Pot!$A$2:$B$321,2,FALSE),"0.000"),"")</f>
        <v/>
      </c>
      <c r="H221" s="11" t="str">
        <f>IF($B221&lt;&gt;"",TEXT(1-manut_MP($B221,H$1,H$2)/VLOOKUP(VALUE(MID($A221,5,3)),BASE_Pot!$A$2:$B$321,2,FALSE),"0.000"),"")</f>
        <v/>
      </c>
      <c r="I221" s="11" t="str">
        <f>IF($B221&lt;&gt;"",TEXT(1-manut_MP($B221,I$1,I$2)/VLOOKUP(VALUE(MID($A221,5,3)),BASE_Pot!$A$2:$B$321,2,FALSE),"0.000"),"")</f>
        <v/>
      </c>
      <c r="J221" t="str">
        <f>""</f>
        <v/>
      </c>
      <c r="L221" t="str">
        <f t="shared" si="10"/>
        <v>&amp;         AES TIETE</v>
      </c>
    </row>
    <row r="222" spans="1:12" x14ac:dyDescent="0.25">
      <c r="A222" t="s">
        <v>304</v>
      </c>
      <c r="B222" t="str">
        <f t="shared" si="9"/>
        <v/>
      </c>
      <c r="C222" s="11" t="str">
        <f>IF($B222&lt;&gt;"",TEXT(1-manut_MP($B222,C$1,C$2)/VLOOKUP(VALUE(MID($A222,5,3)),BASE_Pot!$A$2:$B$321,2,FALSE),"0.000"),"")</f>
        <v/>
      </c>
      <c r="D222" s="11" t="str">
        <f>IF($B222&lt;&gt;"",TEXT(1-manut_MP($B222,D$1,D$2)/VLOOKUP(VALUE(MID($A222,5,3)),BASE_Pot!$A$2:$B$321,2,FALSE),"0.000"),"")</f>
        <v/>
      </c>
      <c r="E222" s="11" t="str">
        <f>IF($B222&lt;&gt;"",TEXT(1-manut_MP($B222,E$1,E$2)/VLOOKUP(VALUE(MID($A222,5,3)),BASE_Pot!$A$2:$B$321,2,FALSE),"0.000"),"")</f>
        <v/>
      </c>
      <c r="F222" s="11" t="str">
        <f>IF($B222&lt;&gt;"",TEXT(1-manut_MP($B222,F$1,F$2)/VLOOKUP(VALUE(MID($A222,5,3)),BASE_Pot!$A$2:$B$321,2,FALSE),"0.000"),"")</f>
        <v/>
      </c>
      <c r="G222" s="11" t="str">
        <f>IF($B222&lt;&gt;"",TEXT(1-manut_MP($B222,G$1,G$2)/VLOOKUP(VALUE(MID($A222,5,3)),BASE_Pot!$A$2:$B$321,2,FALSE),"0.000"),"")</f>
        <v/>
      </c>
      <c r="H222" s="11" t="str">
        <f>IF($B222&lt;&gt;"",TEXT(1-manut_MP($B222,H$1,H$2)/VLOOKUP(VALUE(MID($A222,5,3)),BASE_Pot!$A$2:$B$321,2,FALSE),"0.000"),"")</f>
        <v/>
      </c>
      <c r="I222" s="11" t="str">
        <f>IF($B222&lt;&gt;"",TEXT(1-manut_MP($B222,I$1,I$2)/VLOOKUP(VALUE(MID($A222,5,3)),BASE_Pot!$A$2:$B$321,2,FALSE),"0.000"),"")</f>
        <v/>
      </c>
      <c r="J222" t="str">
        <f>""</f>
        <v/>
      </c>
      <c r="L222" t="str">
        <f t="shared" si="10"/>
        <v>&amp;.................................</v>
      </c>
    </row>
    <row r="223" spans="1:12" x14ac:dyDescent="0.25">
      <c r="A223" t="s">
        <v>403</v>
      </c>
      <c r="B223" t="str">
        <f t="shared" si="9"/>
        <v/>
      </c>
      <c r="C223" s="11" t="str">
        <f>IF($B223&lt;&gt;"",TEXT(1-manut_MP($B223,C$1,C$2)/VLOOKUP(VALUE(MID($A223,5,3)),BASE_Pot!$A$2:$B$321,2,FALSE),"0.000"),"")</f>
        <v/>
      </c>
      <c r="D223" s="11" t="str">
        <f>IF($B223&lt;&gt;"",TEXT(1-manut_MP($B223,D$1,D$2)/VLOOKUP(VALUE(MID($A223,5,3)),BASE_Pot!$A$2:$B$321,2,FALSE),"0.000"),"")</f>
        <v/>
      </c>
      <c r="E223" s="11" t="str">
        <f>IF($B223&lt;&gt;"",TEXT(1-manut_MP($B223,E$1,E$2)/VLOOKUP(VALUE(MID($A223,5,3)),BASE_Pot!$A$2:$B$321,2,FALSE),"0.000"),"")</f>
        <v/>
      </c>
      <c r="F223" s="11" t="str">
        <f>IF($B223&lt;&gt;"",TEXT(1-manut_MP($B223,F$1,F$2)/VLOOKUP(VALUE(MID($A223,5,3)),BASE_Pot!$A$2:$B$321,2,FALSE),"0.000"),"")</f>
        <v/>
      </c>
      <c r="G223" s="11" t="str">
        <f>IF($B223&lt;&gt;"",TEXT(1-manut_MP($B223,G$1,G$2)/VLOOKUP(VALUE(MID($A223,5,3)),BASE_Pot!$A$2:$B$321,2,FALSE),"0.000"),"")</f>
        <v/>
      </c>
      <c r="H223" s="11" t="str">
        <f>IF($B223&lt;&gt;"",TEXT(1-manut_MP($B223,H$1,H$2)/VLOOKUP(VALUE(MID($A223,5,3)),BASE_Pot!$A$2:$B$321,2,FALSE),"0.000"),"")</f>
        <v/>
      </c>
      <c r="I223" s="11" t="str">
        <f>IF($B223&lt;&gt;"",TEXT(1-manut_MP($B223,I$1,I$2)/VLOOKUP(VALUE(MID($A223,5,3)),BASE_Pot!$A$2:$B$321,2,FALSE),"0.000"),"")</f>
        <v/>
      </c>
      <c r="J223" t="str">
        <f>""</f>
        <v/>
      </c>
      <c r="L223" t="str">
        <f t="shared" si="10"/>
        <v>&amp;CACONDE</v>
      </c>
    </row>
    <row r="224" spans="1:12" x14ac:dyDescent="0.25">
      <c r="A224" t="s">
        <v>583</v>
      </c>
      <c r="B224" t="str">
        <f t="shared" si="9"/>
        <v xml:space="preserve"> 14-H</v>
      </c>
      <c r="C224" s="11" t="str">
        <f>IF($B224&lt;&gt;"",TEXT(1-manut_MP($B224,C$1,C$2)/VLOOKUP(VALUE(MID($A224,5,3)),BASE_Pot!$A$2:$B$321,2,FALSE),"0.000"),"")</f>
        <v>1.000</v>
      </c>
      <c r="D224" s="11" t="str">
        <f>IF($B224&lt;&gt;"",TEXT(1-manut_MP($B224,D$1,D$2)/VLOOKUP(VALUE(MID($A224,5,3)),BASE_Pot!$A$2:$B$321,2,FALSE),"0.000"),"")</f>
        <v>1.000</v>
      </c>
      <c r="E224" s="11" t="str">
        <f>IF($B224&lt;&gt;"",TEXT(1-manut_MP($B224,E$1,E$2)/VLOOKUP(VALUE(MID($A224,5,3)),BASE_Pot!$A$2:$B$321,2,FALSE),"0.000"),"")</f>
        <v>1.000</v>
      </c>
      <c r="F224" s="11" t="str">
        <f>IF($B224&lt;&gt;"",TEXT(1-manut_MP($B224,F$1,F$2)/VLOOKUP(VALUE(MID($A224,5,3)),BASE_Pot!$A$2:$B$321,2,FALSE),"0.000"),"")</f>
        <v>1.000</v>
      </c>
      <c r="G224" s="11" t="str">
        <f>IF($B224&lt;&gt;"",TEXT(1-manut_MP($B224,G$1,G$2)/VLOOKUP(VALUE(MID($A224,5,3)),BASE_Pot!$A$2:$B$321,2,FALSE),"0.000"),"")</f>
        <v>1.000</v>
      </c>
      <c r="H224" s="11" t="str">
        <f>IF($B224&lt;&gt;"",TEXT(1-manut_MP($B224,H$1,H$2)/VLOOKUP(VALUE(MID($A224,5,3)),BASE_Pot!$A$2:$B$321,2,FALSE),"0.000"),"")</f>
        <v>1.000</v>
      </c>
      <c r="I224" s="11" t="str">
        <f>IF($B224&lt;&gt;"",TEXT(1-manut_MP($B224,I$1,I$2)/VLOOKUP(VALUE(MID($A224,5,3)),BASE_Pot!$A$2:$B$321,2,FALSE),"0.000"),"")</f>
        <v>1.000</v>
      </c>
      <c r="J224" t="str">
        <f>""</f>
        <v/>
      </c>
      <c r="L224" t="str">
        <f t="shared" si="10"/>
        <v>MP   14  1.0001.0001.0001.0001.0001.0001.000</v>
      </c>
    </row>
    <row r="225" spans="1:12" x14ac:dyDescent="0.25">
      <c r="A225" t="s">
        <v>404</v>
      </c>
      <c r="B225" t="str">
        <f t="shared" si="9"/>
        <v/>
      </c>
      <c r="C225" s="11" t="str">
        <f>IF($B225&lt;&gt;"",TEXT(1-manut_MP($B225,C$1,C$2)/VLOOKUP(VALUE(MID($A225,5,3)),BASE_Pot!$A$2:$B$321,2,FALSE),"0.000"),"")</f>
        <v/>
      </c>
      <c r="D225" s="11" t="str">
        <f>IF($B225&lt;&gt;"",TEXT(1-manut_MP($B225,D$1,D$2)/VLOOKUP(VALUE(MID($A225,5,3)),BASE_Pot!$A$2:$B$321,2,FALSE),"0.000"),"")</f>
        <v/>
      </c>
      <c r="E225" s="11" t="str">
        <f>IF($B225&lt;&gt;"",TEXT(1-manut_MP($B225,E$1,E$2)/VLOOKUP(VALUE(MID($A225,5,3)),BASE_Pot!$A$2:$B$321,2,FALSE),"0.000"),"")</f>
        <v/>
      </c>
      <c r="F225" s="11" t="str">
        <f>IF($B225&lt;&gt;"",TEXT(1-manut_MP($B225,F$1,F$2)/VLOOKUP(VALUE(MID($A225,5,3)),BASE_Pot!$A$2:$B$321,2,FALSE),"0.000"),"")</f>
        <v/>
      </c>
      <c r="G225" s="11" t="str">
        <f>IF($B225&lt;&gt;"",TEXT(1-manut_MP($B225,G$1,G$2)/VLOOKUP(VALUE(MID($A225,5,3)),BASE_Pot!$A$2:$B$321,2,FALSE),"0.000"),"")</f>
        <v/>
      </c>
      <c r="H225" s="11" t="str">
        <f>IF($B225&lt;&gt;"",TEXT(1-manut_MP($B225,H$1,H$2)/VLOOKUP(VALUE(MID($A225,5,3)),BASE_Pot!$A$2:$B$321,2,FALSE),"0.000"),"")</f>
        <v/>
      </c>
      <c r="I225" s="11" t="str">
        <f>IF($B225&lt;&gt;"",TEXT(1-manut_MP($B225,I$1,I$2)/VLOOKUP(VALUE(MID($A225,5,3)),BASE_Pot!$A$2:$B$321,2,FALSE),"0.000"),"")</f>
        <v/>
      </c>
      <c r="J225" t="str">
        <f>""</f>
        <v/>
      </c>
      <c r="L225" t="str">
        <f t="shared" si="10"/>
        <v>&amp;E. DA CUNHA</v>
      </c>
    </row>
    <row r="226" spans="1:12" x14ac:dyDescent="0.25">
      <c r="A226" t="s">
        <v>584</v>
      </c>
      <c r="B226" t="str">
        <f t="shared" si="9"/>
        <v xml:space="preserve"> 15-H</v>
      </c>
      <c r="C226" s="11" t="str">
        <f>IF($B226&lt;&gt;"",TEXT(1-manut_MP($B226,C$1,C$2)/VLOOKUP(VALUE(MID($A226,5,3)),BASE_Pot!$A$2:$B$321,2,FALSE),"0.000"),"")</f>
        <v>1.000</v>
      </c>
      <c r="D226" s="11" t="str">
        <f>IF($B226&lt;&gt;"",TEXT(1-manut_MP($B226,D$1,D$2)/VLOOKUP(VALUE(MID($A226,5,3)),BASE_Pot!$A$2:$B$321,2,FALSE),"0.000"),"")</f>
        <v>1.000</v>
      </c>
      <c r="E226" s="11" t="str">
        <f>IF($B226&lt;&gt;"",TEXT(1-manut_MP($B226,E$1,E$2)/VLOOKUP(VALUE(MID($A226,5,3)),BASE_Pot!$A$2:$B$321,2,FALSE),"0.000"),"")</f>
        <v>1.000</v>
      </c>
      <c r="F226" s="11" t="str">
        <f>IF($B226&lt;&gt;"",TEXT(1-manut_MP($B226,F$1,F$2)/VLOOKUP(VALUE(MID($A226,5,3)),BASE_Pot!$A$2:$B$321,2,FALSE),"0.000"),"")</f>
        <v>1.000</v>
      </c>
      <c r="G226" s="11" t="str">
        <f>IF($B226&lt;&gt;"",TEXT(1-manut_MP($B226,G$1,G$2)/VLOOKUP(VALUE(MID($A226,5,3)),BASE_Pot!$A$2:$B$321,2,FALSE),"0.000"),"")</f>
        <v>1.000</v>
      </c>
      <c r="H226" s="11" t="str">
        <f>IF($B226&lt;&gt;"",TEXT(1-manut_MP($B226,H$1,H$2)/VLOOKUP(VALUE(MID($A226,5,3)),BASE_Pot!$A$2:$B$321,2,FALSE),"0.000"),"")</f>
        <v>1.000</v>
      </c>
      <c r="I226" s="11" t="str">
        <f>IF($B226&lt;&gt;"",TEXT(1-manut_MP($B226,I$1,I$2)/VLOOKUP(VALUE(MID($A226,5,3)),BASE_Pot!$A$2:$B$321,2,FALSE),"0.000"),"")</f>
        <v>1.000</v>
      </c>
      <c r="J226" t="str">
        <f>""</f>
        <v/>
      </c>
      <c r="L226" t="str">
        <f t="shared" si="10"/>
        <v>MP   15  1.0001.0001.0001.0001.0001.0001.000</v>
      </c>
    </row>
    <row r="227" spans="1:12" x14ac:dyDescent="0.25">
      <c r="A227" t="s">
        <v>405</v>
      </c>
      <c r="B227" t="str">
        <f t="shared" si="9"/>
        <v/>
      </c>
      <c r="C227" s="11" t="str">
        <f>IF($B227&lt;&gt;"",TEXT(1-manut_MP($B227,C$1,C$2)/VLOOKUP(VALUE(MID($A227,5,3)),BASE_Pot!$A$2:$B$321,2,FALSE),"0.000"),"")</f>
        <v/>
      </c>
      <c r="D227" s="11" t="str">
        <f>IF($B227&lt;&gt;"",TEXT(1-manut_MP($B227,D$1,D$2)/VLOOKUP(VALUE(MID($A227,5,3)),BASE_Pot!$A$2:$B$321,2,FALSE),"0.000"),"")</f>
        <v/>
      </c>
      <c r="E227" s="11" t="str">
        <f>IF($B227&lt;&gt;"",TEXT(1-manut_MP($B227,E$1,E$2)/VLOOKUP(VALUE(MID($A227,5,3)),BASE_Pot!$A$2:$B$321,2,FALSE),"0.000"),"")</f>
        <v/>
      </c>
      <c r="F227" s="11" t="str">
        <f>IF($B227&lt;&gt;"",TEXT(1-manut_MP($B227,F$1,F$2)/VLOOKUP(VALUE(MID($A227,5,3)),BASE_Pot!$A$2:$B$321,2,FALSE),"0.000"),"")</f>
        <v/>
      </c>
      <c r="G227" s="11" t="str">
        <f>IF($B227&lt;&gt;"",TEXT(1-manut_MP($B227,G$1,G$2)/VLOOKUP(VALUE(MID($A227,5,3)),BASE_Pot!$A$2:$B$321,2,FALSE),"0.000"),"")</f>
        <v/>
      </c>
      <c r="H227" s="11" t="str">
        <f>IF($B227&lt;&gt;"",TEXT(1-manut_MP($B227,H$1,H$2)/VLOOKUP(VALUE(MID($A227,5,3)),BASE_Pot!$A$2:$B$321,2,FALSE),"0.000"),"")</f>
        <v/>
      </c>
      <c r="I227" s="11" t="str">
        <f>IF($B227&lt;&gt;"",TEXT(1-manut_MP($B227,I$1,I$2)/VLOOKUP(VALUE(MID($A227,5,3)),BASE_Pot!$A$2:$B$321,2,FALSE),"0.000"),"")</f>
        <v/>
      </c>
      <c r="J227" t="str">
        <f>""</f>
        <v/>
      </c>
      <c r="L227" t="str">
        <f t="shared" si="10"/>
        <v>&amp;A.S.OLIVEIRA</v>
      </c>
    </row>
    <row r="228" spans="1:12" x14ac:dyDescent="0.25">
      <c r="A228" t="s">
        <v>585</v>
      </c>
      <c r="B228" t="str">
        <f t="shared" si="9"/>
        <v xml:space="preserve"> 16-H</v>
      </c>
      <c r="C228" s="11" t="str">
        <f>IF($B228&lt;&gt;"",TEXT(1-manut_MP($B228,C$1,C$2)/VLOOKUP(VALUE(MID($A228,5,3)),BASE_Pot!$A$2:$B$321,2,FALSE),"0.000"),"")</f>
        <v>1.000</v>
      </c>
      <c r="D228" s="11" t="str">
        <f>IF($B228&lt;&gt;"",TEXT(1-manut_MP($B228,D$1,D$2)/VLOOKUP(VALUE(MID($A228,5,3)),BASE_Pot!$A$2:$B$321,2,FALSE),"0.000"),"")</f>
        <v>1.000</v>
      </c>
      <c r="E228" s="11" t="str">
        <f>IF($B228&lt;&gt;"",TEXT(1-manut_MP($B228,E$1,E$2)/VLOOKUP(VALUE(MID($A228,5,3)),BASE_Pot!$A$2:$B$321,2,FALSE),"0.000"),"")</f>
        <v>1.000</v>
      </c>
      <c r="F228" s="11" t="str">
        <f>IF($B228&lt;&gt;"",TEXT(1-manut_MP($B228,F$1,F$2)/VLOOKUP(VALUE(MID($A228,5,3)),BASE_Pot!$A$2:$B$321,2,FALSE),"0.000"),"")</f>
        <v>1.000</v>
      </c>
      <c r="G228" s="11" t="str">
        <f>IF($B228&lt;&gt;"",TEXT(1-manut_MP($B228,G$1,G$2)/VLOOKUP(VALUE(MID($A228,5,3)),BASE_Pot!$A$2:$B$321,2,FALSE),"0.000"),"")</f>
        <v>1.000</v>
      </c>
      <c r="H228" s="11" t="str">
        <f>IF($B228&lt;&gt;"",TEXT(1-manut_MP($B228,H$1,H$2)/VLOOKUP(VALUE(MID($A228,5,3)),BASE_Pot!$A$2:$B$321,2,FALSE),"0.000"),"")</f>
        <v>1.000</v>
      </c>
      <c r="I228" s="11" t="str">
        <f>IF($B228&lt;&gt;"",TEXT(1-manut_MP($B228,I$1,I$2)/VLOOKUP(VALUE(MID($A228,5,3)),BASE_Pot!$A$2:$B$321,2,FALSE),"0.000"),"")</f>
        <v>1.000</v>
      </c>
      <c r="J228" t="str">
        <f>""</f>
        <v/>
      </c>
      <c r="L228" t="str">
        <f t="shared" si="10"/>
        <v>MP   16  1.0001.0001.0001.0001.0001.0001.000</v>
      </c>
    </row>
    <row r="229" spans="1:12" x14ac:dyDescent="0.25">
      <c r="A229" t="s">
        <v>406</v>
      </c>
      <c r="B229" t="str">
        <f t="shared" si="9"/>
        <v/>
      </c>
      <c r="C229" s="11" t="str">
        <f>IF($B229&lt;&gt;"",TEXT(1-manut_MP($B229,C$1,C$2)/VLOOKUP(VALUE(MID($A229,5,3)),BASE_Pot!$A$2:$B$321,2,FALSE),"0.000"),"")</f>
        <v/>
      </c>
      <c r="D229" s="11" t="str">
        <f>IF($B229&lt;&gt;"",TEXT(1-manut_MP($B229,D$1,D$2)/VLOOKUP(VALUE(MID($A229,5,3)),BASE_Pot!$A$2:$B$321,2,FALSE),"0.000"),"")</f>
        <v/>
      </c>
      <c r="E229" s="11" t="str">
        <f>IF($B229&lt;&gt;"",TEXT(1-manut_MP($B229,E$1,E$2)/VLOOKUP(VALUE(MID($A229,5,3)),BASE_Pot!$A$2:$B$321,2,FALSE),"0.000"),"")</f>
        <v/>
      </c>
      <c r="F229" s="11" t="str">
        <f>IF($B229&lt;&gt;"",TEXT(1-manut_MP($B229,F$1,F$2)/VLOOKUP(VALUE(MID($A229,5,3)),BASE_Pot!$A$2:$B$321,2,FALSE),"0.000"),"")</f>
        <v/>
      </c>
      <c r="G229" s="11" t="str">
        <f>IF($B229&lt;&gt;"",TEXT(1-manut_MP($B229,G$1,G$2)/VLOOKUP(VALUE(MID($A229,5,3)),BASE_Pot!$A$2:$B$321,2,FALSE),"0.000"),"")</f>
        <v/>
      </c>
      <c r="H229" s="11" t="str">
        <f>IF($B229&lt;&gt;"",TEXT(1-manut_MP($B229,H$1,H$2)/VLOOKUP(VALUE(MID($A229,5,3)),BASE_Pot!$A$2:$B$321,2,FALSE),"0.000"),"")</f>
        <v/>
      </c>
      <c r="I229" s="11" t="str">
        <f>IF($B229&lt;&gt;"",TEXT(1-manut_MP($B229,I$1,I$2)/VLOOKUP(VALUE(MID($A229,5,3)),BASE_Pot!$A$2:$B$321,2,FALSE),"0.000"),"")</f>
        <v/>
      </c>
      <c r="J229" t="str">
        <f>""</f>
        <v/>
      </c>
      <c r="L229" t="str">
        <f t="shared" si="10"/>
        <v>&amp;A. VERMELHA</v>
      </c>
    </row>
    <row r="230" spans="1:12" x14ac:dyDescent="0.25">
      <c r="A230" t="s">
        <v>586</v>
      </c>
      <c r="B230" t="str">
        <f t="shared" si="9"/>
        <v xml:space="preserve"> 18-H</v>
      </c>
      <c r="C230" s="11" t="str">
        <f>IF($B230&lt;&gt;"",TEXT(1-manut_MP($B230,C$1,C$2)/VLOOKUP(VALUE(MID($A230,5,3)),BASE_Pot!$A$2:$B$321,2,FALSE),"0.000"),"")</f>
        <v>0.833</v>
      </c>
      <c r="D230" s="11" t="str">
        <f>IF($B230&lt;&gt;"",TEXT(1-manut_MP($B230,D$1,D$2)/VLOOKUP(VALUE(MID($A230,5,3)),BASE_Pot!$A$2:$B$321,2,FALSE),"0.000"),"")</f>
        <v>0.833</v>
      </c>
      <c r="E230" s="11" t="str">
        <f>IF($B230&lt;&gt;"",TEXT(1-manut_MP($B230,E$1,E$2)/VLOOKUP(VALUE(MID($A230,5,3)),BASE_Pot!$A$2:$B$321,2,FALSE),"0.000"),"")</f>
        <v>0.833</v>
      </c>
      <c r="F230" s="11" t="str">
        <f>IF($B230&lt;&gt;"",TEXT(1-manut_MP($B230,F$1,F$2)/VLOOKUP(VALUE(MID($A230,5,3)),BASE_Pot!$A$2:$B$321,2,FALSE),"0.000"),"")</f>
        <v>0.833</v>
      </c>
      <c r="G230" s="11" t="str">
        <f>IF($B230&lt;&gt;"",TEXT(1-manut_MP($B230,G$1,G$2)/VLOOKUP(VALUE(MID($A230,5,3)),BASE_Pot!$A$2:$B$321,2,FALSE),"0.000"),"")</f>
        <v>0.833</v>
      </c>
      <c r="H230" s="11" t="str">
        <f>IF($B230&lt;&gt;"",TEXT(1-manut_MP($B230,H$1,H$2)/VLOOKUP(VALUE(MID($A230,5,3)),BASE_Pot!$A$2:$B$321,2,FALSE),"0.000"),"")</f>
        <v>0.976</v>
      </c>
      <c r="I230" s="11" t="str">
        <f>IF($B230&lt;&gt;"",TEXT(1-manut_MP($B230,I$1,I$2)/VLOOKUP(VALUE(MID($A230,5,3)),BASE_Pot!$A$2:$B$321,2,FALSE),"0.000"),"")</f>
        <v>1.000</v>
      </c>
      <c r="J230" t="str">
        <f>""</f>
        <v/>
      </c>
      <c r="L230" t="str">
        <f t="shared" si="10"/>
        <v>MP   18  0.8330.8330.8330.8330.8330.9761.000</v>
      </c>
    </row>
    <row r="231" spans="1:12" x14ac:dyDescent="0.25">
      <c r="A231" t="s">
        <v>407</v>
      </c>
      <c r="B231" t="str">
        <f t="shared" si="9"/>
        <v/>
      </c>
      <c r="C231" s="11" t="str">
        <f>IF($B231&lt;&gt;"",TEXT(1-manut_MP($B231,C$1,C$2)/VLOOKUP(VALUE(MID($A231,5,3)),BASE_Pot!$A$2:$B$321,2,FALSE),"0.000"),"")</f>
        <v/>
      </c>
      <c r="D231" s="11" t="str">
        <f>IF($B231&lt;&gt;"",TEXT(1-manut_MP($B231,D$1,D$2)/VLOOKUP(VALUE(MID($A231,5,3)),BASE_Pot!$A$2:$B$321,2,FALSE),"0.000"),"")</f>
        <v/>
      </c>
      <c r="E231" s="11" t="str">
        <f>IF($B231&lt;&gt;"",TEXT(1-manut_MP($B231,E$1,E$2)/VLOOKUP(VALUE(MID($A231,5,3)),BASE_Pot!$A$2:$B$321,2,FALSE),"0.000"),"")</f>
        <v/>
      </c>
      <c r="F231" s="11" t="str">
        <f>IF($B231&lt;&gt;"",TEXT(1-manut_MP($B231,F$1,F$2)/VLOOKUP(VALUE(MID($A231,5,3)),BASE_Pot!$A$2:$B$321,2,FALSE),"0.000"),"")</f>
        <v/>
      </c>
      <c r="G231" s="11" t="str">
        <f>IF($B231&lt;&gt;"",TEXT(1-manut_MP($B231,G$1,G$2)/VLOOKUP(VALUE(MID($A231,5,3)),BASE_Pot!$A$2:$B$321,2,FALSE),"0.000"),"")</f>
        <v/>
      </c>
      <c r="H231" s="11" t="str">
        <f>IF($B231&lt;&gt;"",TEXT(1-manut_MP($B231,H$1,H$2)/VLOOKUP(VALUE(MID($A231,5,3)),BASE_Pot!$A$2:$B$321,2,FALSE),"0.000"),"")</f>
        <v/>
      </c>
      <c r="I231" s="11" t="str">
        <f>IF($B231&lt;&gt;"",TEXT(1-manut_MP($B231,I$1,I$2)/VLOOKUP(VALUE(MID($A231,5,3)),BASE_Pot!$A$2:$B$321,2,FALSE),"0.000"),"")</f>
        <v/>
      </c>
      <c r="J231" t="str">
        <f>""</f>
        <v/>
      </c>
      <c r="L231" t="str">
        <f t="shared" si="10"/>
        <v>&amp;BARRA BONITA</v>
      </c>
    </row>
    <row r="232" spans="1:12" x14ac:dyDescent="0.25">
      <c r="A232" t="s">
        <v>587</v>
      </c>
      <c r="B232" t="str">
        <f t="shared" si="9"/>
        <v xml:space="preserve"> 37-H</v>
      </c>
      <c r="C232" s="11" t="str">
        <f>IF($B232&lt;&gt;"",TEXT(1-manut_MP($B232,C$1,C$2)/VLOOKUP(VALUE(MID($A232,5,3)),BASE_Pot!$A$2:$B$321,2,FALSE),"0.000"),"")</f>
        <v>0.929</v>
      </c>
      <c r="D232" s="11" t="str">
        <f>IF($B232&lt;&gt;"",TEXT(1-manut_MP($B232,D$1,D$2)/VLOOKUP(VALUE(MID($A232,5,3)),BASE_Pot!$A$2:$B$321,2,FALSE),"0.000"),"")</f>
        <v>1.000</v>
      </c>
      <c r="E232" s="11" t="str">
        <f>IF($B232&lt;&gt;"",TEXT(1-manut_MP($B232,E$1,E$2)/VLOOKUP(VALUE(MID($A232,5,3)),BASE_Pot!$A$2:$B$321,2,FALSE),"0.000"),"")</f>
        <v>1.000</v>
      </c>
      <c r="F232" s="11" t="str">
        <f>IF($B232&lt;&gt;"",TEXT(1-manut_MP($B232,F$1,F$2)/VLOOKUP(VALUE(MID($A232,5,3)),BASE_Pot!$A$2:$B$321,2,FALSE),"0.000"),"")</f>
        <v>1.000</v>
      </c>
      <c r="G232" s="11" t="str">
        <f>IF($B232&lt;&gt;"",TEXT(1-manut_MP($B232,G$1,G$2)/VLOOKUP(VALUE(MID($A232,5,3)),BASE_Pot!$A$2:$B$321,2,FALSE),"0.000"),"")</f>
        <v>1.000</v>
      </c>
      <c r="H232" s="11" t="str">
        <f>IF($B232&lt;&gt;"",TEXT(1-manut_MP($B232,H$1,H$2)/VLOOKUP(VALUE(MID($A232,5,3)),BASE_Pot!$A$2:$B$321,2,FALSE),"0.000"),"")</f>
        <v>1.000</v>
      </c>
      <c r="I232" s="11" t="str">
        <f>IF($B232&lt;&gt;"",TEXT(1-manut_MP($B232,I$1,I$2)/VLOOKUP(VALUE(MID($A232,5,3)),BASE_Pot!$A$2:$B$321,2,FALSE),"0.000"),"")</f>
        <v>1.000</v>
      </c>
      <c r="J232" t="str">
        <f>""</f>
        <v/>
      </c>
      <c r="L232" t="str">
        <f t="shared" si="10"/>
        <v>MP   37  0.9291.0001.0001.0001.0001.0001.000</v>
      </c>
    </row>
    <row r="233" spans="1:12" x14ac:dyDescent="0.25">
      <c r="A233" t="s">
        <v>408</v>
      </c>
      <c r="B233" t="str">
        <f t="shared" si="9"/>
        <v/>
      </c>
      <c r="C233" s="11" t="str">
        <f>IF($B233&lt;&gt;"",TEXT(1-manut_MP($B233,C$1,C$2)/VLOOKUP(VALUE(MID($A233,5,3)),BASE_Pot!$A$2:$B$321,2,FALSE),"0.000"),"")</f>
        <v/>
      </c>
      <c r="D233" s="11" t="str">
        <f>IF($B233&lt;&gt;"",TEXT(1-manut_MP($B233,D$1,D$2)/VLOOKUP(VALUE(MID($A233,5,3)),BASE_Pot!$A$2:$B$321,2,FALSE),"0.000"),"")</f>
        <v/>
      </c>
      <c r="E233" s="11" t="str">
        <f>IF($B233&lt;&gt;"",TEXT(1-manut_MP($B233,E$1,E$2)/VLOOKUP(VALUE(MID($A233,5,3)),BASE_Pot!$A$2:$B$321,2,FALSE),"0.000"),"")</f>
        <v/>
      </c>
      <c r="F233" s="11" t="str">
        <f>IF($B233&lt;&gt;"",TEXT(1-manut_MP($B233,F$1,F$2)/VLOOKUP(VALUE(MID($A233,5,3)),BASE_Pot!$A$2:$B$321,2,FALSE),"0.000"),"")</f>
        <v/>
      </c>
      <c r="G233" s="11" t="str">
        <f>IF($B233&lt;&gt;"",TEXT(1-manut_MP($B233,G$1,G$2)/VLOOKUP(VALUE(MID($A233,5,3)),BASE_Pot!$A$2:$B$321,2,FALSE),"0.000"),"")</f>
        <v/>
      </c>
      <c r="H233" s="11" t="str">
        <f>IF($B233&lt;&gt;"",TEXT(1-manut_MP($B233,H$1,H$2)/VLOOKUP(VALUE(MID($A233,5,3)),BASE_Pot!$A$2:$B$321,2,FALSE),"0.000"),"")</f>
        <v/>
      </c>
      <c r="I233" s="11" t="str">
        <f>IF($B233&lt;&gt;"",TEXT(1-manut_MP($B233,I$1,I$2)/VLOOKUP(VALUE(MID($A233,5,3)),BASE_Pot!$A$2:$B$321,2,FALSE),"0.000"),"")</f>
        <v/>
      </c>
      <c r="J233" t="str">
        <f>""</f>
        <v/>
      </c>
      <c r="L233" t="str">
        <f t="shared" si="10"/>
        <v>&amp;A.S. LIMA</v>
      </c>
    </row>
    <row r="234" spans="1:12" x14ac:dyDescent="0.25">
      <c r="A234" t="s">
        <v>588</v>
      </c>
      <c r="B234" t="str">
        <f t="shared" si="9"/>
        <v xml:space="preserve"> 38-H</v>
      </c>
      <c r="C234" s="11" t="str">
        <f>IF($B234&lt;&gt;"",TEXT(1-manut_MP($B234,C$1,C$2)/VLOOKUP(VALUE(MID($A234,5,3)),BASE_Pot!$A$2:$B$321,2,FALSE),"0.000"),"")</f>
        <v>1.000</v>
      </c>
      <c r="D234" s="11" t="str">
        <f>IF($B234&lt;&gt;"",TEXT(1-manut_MP($B234,D$1,D$2)/VLOOKUP(VALUE(MID($A234,5,3)),BASE_Pot!$A$2:$B$321,2,FALSE),"0.000"),"")</f>
        <v>1.000</v>
      </c>
      <c r="E234" s="11" t="str">
        <f>IF($B234&lt;&gt;"",TEXT(1-manut_MP($B234,E$1,E$2)/VLOOKUP(VALUE(MID($A234,5,3)),BASE_Pot!$A$2:$B$321,2,FALSE),"0.000"),"")</f>
        <v>1.000</v>
      </c>
      <c r="F234" s="11" t="str">
        <f>IF($B234&lt;&gt;"",TEXT(1-manut_MP($B234,F$1,F$2)/VLOOKUP(VALUE(MID($A234,5,3)),BASE_Pot!$A$2:$B$321,2,FALSE),"0.000"),"")</f>
        <v>1.000</v>
      </c>
      <c r="G234" s="11" t="str">
        <f>IF($B234&lt;&gt;"",TEXT(1-manut_MP($B234,G$1,G$2)/VLOOKUP(VALUE(MID($A234,5,3)),BASE_Pot!$A$2:$B$321,2,FALSE),"0.000"),"")</f>
        <v>1.000</v>
      </c>
      <c r="H234" s="11" t="str">
        <f>IF($B234&lt;&gt;"",TEXT(1-manut_MP($B234,H$1,H$2)/VLOOKUP(VALUE(MID($A234,5,3)),BASE_Pot!$A$2:$B$321,2,FALSE),"0.000"),"")</f>
        <v>1.000</v>
      </c>
      <c r="I234" s="11" t="str">
        <f>IF($B234&lt;&gt;"",TEXT(1-manut_MP($B234,I$1,I$2)/VLOOKUP(VALUE(MID($A234,5,3)),BASE_Pot!$A$2:$B$321,2,FALSE),"0.000"),"")</f>
        <v>1.000</v>
      </c>
      <c r="J234" t="str">
        <f>""</f>
        <v/>
      </c>
      <c r="L234" t="str">
        <f t="shared" si="10"/>
        <v>MP   38  1.0001.0001.0001.0001.0001.0001.000</v>
      </c>
    </row>
    <row r="235" spans="1:12" x14ac:dyDescent="0.25">
      <c r="A235" t="s">
        <v>409</v>
      </c>
      <c r="B235" t="str">
        <f t="shared" si="9"/>
        <v/>
      </c>
      <c r="C235" s="11" t="str">
        <f>IF($B235&lt;&gt;"",TEXT(1-manut_MP($B235,C$1,C$2)/VLOOKUP(VALUE(MID($A235,5,3)),BASE_Pot!$A$2:$B$321,2,FALSE),"0.000"),"")</f>
        <v/>
      </c>
      <c r="D235" s="11" t="str">
        <f>IF($B235&lt;&gt;"",TEXT(1-manut_MP($B235,D$1,D$2)/VLOOKUP(VALUE(MID($A235,5,3)),BASE_Pot!$A$2:$B$321,2,FALSE),"0.000"),"")</f>
        <v/>
      </c>
      <c r="E235" s="11" t="str">
        <f>IF($B235&lt;&gt;"",TEXT(1-manut_MP($B235,E$1,E$2)/VLOOKUP(VALUE(MID($A235,5,3)),BASE_Pot!$A$2:$B$321,2,FALSE),"0.000"),"")</f>
        <v/>
      </c>
      <c r="F235" s="11" t="str">
        <f>IF($B235&lt;&gt;"",TEXT(1-manut_MP($B235,F$1,F$2)/VLOOKUP(VALUE(MID($A235,5,3)),BASE_Pot!$A$2:$B$321,2,FALSE),"0.000"),"")</f>
        <v/>
      </c>
      <c r="G235" s="11" t="str">
        <f>IF($B235&lt;&gt;"",TEXT(1-manut_MP($B235,G$1,G$2)/VLOOKUP(VALUE(MID($A235,5,3)),BASE_Pot!$A$2:$B$321,2,FALSE),"0.000"),"")</f>
        <v/>
      </c>
      <c r="H235" s="11" t="str">
        <f>IF($B235&lt;&gt;"",TEXT(1-manut_MP($B235,H$1,H$2)/VLOOKUP(VALUE(MID($A235,5,3)),BASE_Pot!$A$2:$B$321,2,FALSE),"0.000"),"")</f>
        <v/>
      </c>
      <c r="I235" s="11" t="str">
        <f>IF($B235&lt;&gt;"",TEXT(1-manut_MP($B235,I$1,I$2)/VLOOKUP(VALUE(MID($A235,5,3)),BASE_Pot!$A$2:$B$321,2,FALSE),"0.000"),"")</f>
        <v/>
      </c>
      <c r="J235" t="str">
        <f>""</f>
        <v/>
      </c>
      <c r="L235" t="str">
        <f t="shared" si="10"/>
        <v>&amp;IBITINGA</v>
      </c>
    </row>
    <row r="236" spans="1:12" x14ac:dyDescent="0.25">
      <c r="A236" t="s">
        <v>589</v>
      </c>
      <c r="B236" t="str">
        <f t="shared" si="9"/>
        <v xml:space="preserve"> 39-H</v>
      </c>
      <c r="C236" s="11" t="str">
        <f>IF($B236&lt;&gt;"",TEXT(1-manut_MP($B236,C$1,C$2)/VLOOKUP(VALUE(MID($A236,5,3)),BASE_Pot!$A$2:$B$321,2,FALSE),"0.000"),"")</f>
        <v>1.000</v>
      </c>
      <c r="D236" s="11" t="str">
        <f>IF($B236&lt;&gt;"",TEXT(1-manut_MP($B236,D$1,D$2)/VLOOKUP(VALUE(MID($A236,5,3)),BASE_Pot!$A$2:$B$321,2,FALSE),"0.000"),"")</f>
        <v>1.000</v>
      </c>
      <c r="E236" s="11" t="str">
        <f>IF($B236&lt;&gt;"",TEXT(1-manut_MP($B236,E$1,E$2)/VLOOKUP(VALUE(MID($A236,5,3)),BASE_Pot!$A$2:$B$321,2,FALSE),"0.000"),"")</f>
        <v>1.000</v>
      </c>
      <c r="F236" s="11" t="str">
        <f>IF($B236&lt;&gt;"",TEXT(1-manut_MP($B236,F$1,F$2)/VLOOKUP(VALUE(MID($A236,5,3)),BASE_Pot!$A$2:$B$321,2,FALSE),"0.000"),"")</f>
        <v>1.000</v>
      </c>
      <c r="G236" s="11" t="str">
        <f>IF($B236&lt;&gt;"",TEXT(1-manut_MP($B236,G$1,G$2)/VLOOKUP(VALUE(MID($A236,5,3)),BASE_Pot!$A$2:$B$321,2,FALSE),"0.000"),"")</f>
        <v>1.000</v>
      </c>
      <c r="H236" s="11" t="str">
        <f>IF($B236&lt;&gt;"",TEXT(1-manut_MP($B236,H$1,H$2)/VLOOKUP(VALUE(MID($A236,5,3)),BASE_Pot!$A$2:$B$321,2,FALSE),"0.000"),"")</f>
        <v>1.000</v>
      </c>
      <c r="I236" s="11" t="str">
        <f>IF($B236&lt;&gt;"",TEXT(1-manut_MP($B236,I$1,I$2)/VLOOKUP(VALUE(MID($A236,5,3)),BASE_Pot!$A$2:$B$321,2,FALSE),"0.000"),"")</f>
        <v>1.000</v>
      </c>
      <c r="J236" t="str">
        <f>""</f>
        <v/>
      </c>
      <c r="L236" t="str">
        <f t="shared" si="10"/>
        <v>MP   39  1.0001.0001.0001.0001.0001.0001.000</v>
      </c>
    </row>
    <row r="237" spans="1:12" x14ac:dyDescent="0.25">
      <c r="A237" t="s">
        <v>410</v>
      </c>
      <c r="B237" t="str">
        <f t="shared" si="9"/>
        <v/>
      </c>
      <c r="C237" s="11" t="str">
        <f>IF($B237&lt;&gt;"",TEXT(1-manut_MP($B237,C$1,C$2)/VLOOKUP(VALUE(MID($A237,5,3)),BASE_Pot!$A$2:$B$321,2,FALSE),"0.000"),"")</f>
        <v/>
      </c>
      <c r="D237" s="11" t="str">
        <f>IF($B237&lt;&gt;"",TEXT(1-manut_MP($B237,D$1,D$2)/VLOOKUP(VALUE(MID($A237,5,3)),BASE_Pot!$A$2:$B$321,2,FALSE),"0.000"),"")</f>
        <v/>
      </c>
      <c r="E237" s="11" t="str">
        <f>IF($B237&lt;&gt;"",TEXT(1-manut_MP($B237,E$1,E$2)/VLOOKUP(VALUE(MID($A237,5,3)),BASE_Pot!$A$2:$B$321,2,FALSE),"0.000"),"")</f>
        <v/>
      </c>
      <c r="F237" s="11" t="str">
        <f>IF($B237&lt;&gt;"",TEXT(1-manut_MP($B237,F$1,F$2)/VLOOKUP(VALUE(MID($A237,5,3)),BASE_Pot!$A$2:$B$321,2,FALSE),"0.000"),"")</f>
        <v/>
      </c>
      <c r="G237" s="11" t="str">
        <f>IF($B237&lt;&gt;"",TEXT(1-manut_MP($B237,G$1,G$2)/VLOOKUP(VALUE(MID($A237,5,3)),BASE_Pot!$A$2:$B$321,2,FALSE),"0.000"),"")</f>
        <v/>
      </c>
      <c r="H237" s="11" t="str">
        <f>IF($B237&lt;&gt;"",TEXT(1-manut_MP($B237,H$1,H$2)/VLOOKUP(VALUE(MID($A237,5,3)),BASE_Pot!$A$2:$B$321,2,FALSE),"0.000"),"")</f>
        <v/>
      </c>
      <c r="I237" s="11" t="str">
        <f>IF($B237&lt;&gt;"",TEXT(1-manut_MP($B237,I$1,I$2)/VLOOKUP(VALUE(MID($A237,5,3)),BASE_Pot!$A$2:$B$321,2,FALSE),"0.000"),"")</f>
        <v/>
      </c>
      <c r="J237" t="str">
        <f>""</f>
        <v/>
      </c>
      <c r="L237" t="str">
        <f t="shared" si="10"/>
        <v>&amp;PROMISSAO</v>
      </c>
    </row>
    <row r="238" spans="1:12" x14ac:dyDescent="0.25">
      <c r="A238" t="s">
        <v>590</v>
      </c>
      <c r="B238" t="str">
        <f t="shared" si="9"/>
        <v xml:space="preserve"> 40-H</v>
      </c>
      <c r="C238" s="11" t="str">
        <f>IF($B238&lt;&gt;"",TEXT(1-manut_MP($B238,C$1,C$2)/VLOOKUP(VALUE(MID($A238,5,3)),BASE_Pot!$A$2:$B$321,2,FALSE),"0.000"),"")</f>
        <v>0.667</v>
      </c>
      <c r="D238" s="11" t="str">
        <f>IF($B238&lt;&gt;"",TEXT(1-manut_MP($B238,D$1,D$2)/VLOOKUP(VALUE(MID($A238,5,3)),BASE_Pot!$A$2:$B$321,2,FALSE),"0.000"),"")</f>
        <v>0.667</v>
      </c>
      <c r="E238" s="11" t="str">
        <f>IF($B238&lt;&gt;"",TEXT(1-manut_MP($B238,E$1,E$2)/VLOOKUP(VALUE(MID($A238,5,3)),BASE_Pot!$A$2:$B$321,2,FALSE),"0.000"),"")</f>
        <v>0.667</v>
      </c>
      <c r="F238" s="11" t="str">
        <f>IF($B238&lt;&gt;"",TEXT(1-manut_MP($B238,F$1,F$2)/VLOOKUP(VALUE(MID($A238,5,3)),BASE_Pot!$A$2:$B$321,2,FALSE),"0.000"),"")</f>
        <v>0.667</v>
      </c>
      <c r="G238" s="11" t="str">
        <f>IF($B238&lt;&gt;"",TEXT(1-manut_MP($B238,G$1,G$2)/VLOOKUP(VALUE(MID($A238,5,3)),BASE_Pot!$A$2:$B$321,2,FALSE),"0.000"),"")</f>
        <v>0.952</v>
      </c>
      <c r="H238" s="11" t="str">
        <f>IF($B238&lt;&gt;"",TEXT(1-manut_MP($B238,H$1,H$2)/VLOOKUP(VALUE(MID($A238,5,3)),BASE_Pot!$A$2:$B$321,2,FALSE),"0.000"),"")</f>
        <v>1.000</v>
      </c>
      <c r="I238" s="11" t="str">
        <f>IF($B238&lt;&gt;"",TEXT(1-manut_MP($B238,I$1,I$2)/VLOOKUP(VALUE(MID($A238,5,3)),BASE_Pot!$A$2:$B$321,2,FALSE),"0.000"),"")</f>
        <v>1.000</v>
      </c>
      <c r="J238" t="str">
        <f>""</f>
        <v/>
      </c>
      <c r="L238" t="str">
        <f t="shared" si="10"/>
        <v>MP   40  0.6670.6670.6670.6670.9521.0001.000</v>
      </c>
    </row>
    <row r="239" spans="1:12" x14ac:dyDescent="0.25">
      <c r="A239" t="s">
        <v>411</v>
      </c>
      <c r="B239" t="str">
        <f t="shared" si="9"/>
        <v/>
      </c>
      <c r="C239" s="11" t="str">
        <f>IF($B239&lt;&gt;"",TEXT(1-manut_MP($B239,C$1,C$2)/VLOOKUP(VALUE(MID($A239,5,3)),BASE_Pot!$A$2:$B$321,2,FALSE),"0.000"),"")</f>
        <v/>
      </c>
      <c r="D239" s="11" t="str">
        <f>IF($B239&lt;&gt;"",TEXT(1-manut_MP($B239,D$1,D$2)/VLOOKUP(VALUE(MID($A239,5,3)),BASE_Pot!$A$2:$B$321,2,FALSE),"0.000"),"")</f>
        <v/>
      </c>
      <c r="E239" s="11" t="str">
        <f>IF($B239&lt;&gt;"",TEXT(1-manut_MP($B239,E$1,E$2)/VLOOKUP(VALUE(MID($A239,5,3)),BASE_Pot!$A$2:$B$321,2,FALSE),"0.000"),"")</f>
        <v/>
      </c>
      <c r="F239" s="11" t="str">
        <f>IF($B239&lt;&gt;"",TEXT(1-manut_MP($B239,F$1,F$2)/VLOOKUP(VALUE(MID($A239,5,3)),BASE_Pot!$A$2:$B$321,2,FALSE),"0.000"),"")</f>
        <v/>
      </c>
      <c r="G239" s="11" t="str">
        <f>IF($B239&lt;&gt;"",TEXT(1-manut_MP($B239,G$1,G$2)/VLOOKUP(VALUE(MID($A239,5,3)),BASE_Pot!$A$2:$B$321,2,FALSE),"0.000"),"")</f>
        <v/>
      </c>
      <c r="H239" s="11" t="str">
        <f>IF($B239&lt;&gt;"",TEXT(1-manut_MP($B239,H$1,H$2)/VLOOKUP(VALUE(MID($A239,5,3)),BASE_Pot!$A$2:$B$321,2,FALSE),"0.000"),"")</f>
        <v/>
      </c>
      <c r="I239" s="11" t="str">
        <f>IF($B239&lt;&gt;"",TEXT(1-manut_MP($B239,I$1,I$2)/VLOOKUP(VALUE(MID($A239,5,3)),BASE_Pot!$A$2:$B$321,2,FALSE),"0.000"),"")</f>
        <v/>
      </c>
      <c r="J239" t="str">
        <f>""</f>
        <v/>
      </c>
      <c r="L239" t="str">
        <f t="shared" si="10"/>
        <v>&amp;NAVANHANDAVA</v>
      </c>
    </row>
    <row r="240" spans="1:12" x14ac:dyDescent="0.25">
      <c r="A240" t="s">
        <v>591</v>
      </c>
      <c r="B240" t="str">
        <f t="shared" si="9"/>
        <v xml:space="preserve"> 42-H</v>
      </c>
      <c r="C240" s="11" t="str">
        <f>IF($B240&lt;&gt;"",TEXT(1-manut_MP($B240,C$1,C$2)/VLOOKUP(VALUE(MID($A240,5,3)),BASE_Pot!$A$2:$B$321,2,FALSE),"0.000"),"")</f>
        <v>1.000</v>
      </c>
      <c r="D240" s="11" t="str">
        <f>IF($B240&lt;&gt;"",TEXT(1-manut_MP($B240,D$1,D$2)/VLOOKUP(VALUE(MID($A240,5,3)),BASE_Pot!$A$2:$B$321,2,FALSE),"0.000"),"")</f>
        <v>1.000</v>
      </c>
      <c r="E240" s="11" t="str">
        <f>IF($B240&lt;&gt;"",TEXT(1-manut_MP($B240,E$1,E$2)/VLOOKUP(VALUE(MID($A240,5,3)),BASE_Pot!$A$2:$B$321,2,FALSE),"0.000"),"")</f>
        <v>1.000</v>
      </c>
      <c r="F240" s="11" t="str">
        <f>IF($B240&lt;&gt;"",TEXT(1-manut_MP($B240,F$1,F$2)/VLOOKUP(VALUE(MID($A240,5,3)),BASE_Pot!$A$2:$B$321,2,FALSE),"0.000"),"")</f>
        <v>1.000</v>
      </c>
      <c r="G240" s="11" t="str">
        <f>IF($B240&lt;&gt;"",TEXT(1-manut_MP($B240,G$1,G$2)/VLOOKUP(VALUE(MID($A240,5,3)),BASE_Pot!$A$2:$B$321,2,FALSE),"0.000"),"")</f>
        <v>1.000</v>
      </c>
      <c r="H240" s="11" t="str">
        <f>IF($B240&lt;&gt;"",TEXT(1-manut_MP($B240,H$1,H$2)/VLOOKUP(VALUE(MID($A240,5,3)),BASE_Pot!$A$2:$B$321,2,FALSE),"0.000"),"")</f>
        <v>1.000</v>
      </c>
      <c r="I240" s="11" t="str">
        <f>IF($B240&lt;&gt;"",TEXT(1-manut_MP($B240,I$1,I$2)/VLOOKUP(VALUE(MID($A240,5,3)),BASE_Pot!$A$2:$B$321,2,FALSE),"0.000"),"")</f>
        <v>1.000</v>
      </c>
      <c r="J240" t="str">
        <f>""</f>
        <v/>
      </c>
      <c r="L240" t="str">
        <f t="shared" si="10"/>
        <v>MP   42  1.0001.0001.0001.0001.0001.0001.000</v>
      </c>
    </row>
    <row r="241" spans="1:12" x14ac:dyDescent="0.25">
      <c r="A241" t="s">
        <v>304</v>
      </c>
      <c r="B241" t="str">
        <f t="shared" si="9"/>
        <v/>
      </c>
      <c r="C241" s="11" t="str">
        <f>IF($B241&lt;&gt;"",TEXT(1-manut_MP($B241,C$1,C$2)/VLOOKUP(VALUE(MID($A241,5,3)),BASE_Pot!$A$2:$B$321,2,FALSE),"0.000"),"")</f>
        <v/>
      </c>
      <c r="D241" s="11" t="str">
        <f>IF($B241&lt;&gt;"",TEXT(1-manut_MP($B241,D$1,D$2)/VLOOKUP(VALUE(MID($A241,5,3)),BASE_Pot!$A$2:$B$321,2,FALSE),"0.000"),"")</f>
        <v/>
      </c>
      <c r="E241" s="11" t="str">
        <f>IF($B241&lt;&gt;"",TEXT(1-manut_MP($B241,E$1,E$2)/VLOOKUP(VALUE(MID($A241,5,3)),BASE_Pot!$A$2:$B$321,2,FALSE),"0.000"),"")</f>
        <v/>
      </c>
      <c r="F241" s="11" t="str">
        <f>IF($B241&lt;&gt;"",TEXT(1-manut_MP($B241,F$1,F$2)/VLOOKUP(VALUE(MID($A241,5,3)),BASE_Pot!$A$2:$B$321,2,FALSE),"0.000"),"")</f>
        <v/>
      </c>
      <c r="G241" s="11" t="str">
        <f>IF($B241&lt;&gt;"",TEXT(1-manut_MP($B241,G$1,G$2)/VLOOKUP(VALUE(MID($A241,5,3)),BASE_Pot!$A$2:$B$321,2,FALSE),"0.000"),"")</f>
        <v/>
      </c>
      <c r="H241" s="11" t="str">
        <f>IF($B241&lt;&gt;"",TEXT(1-manut_MP($B241,H$1,H$2)/VLOOKUP(VALUE(MID($A241,5,3)),BASE_Pot!$A$2:$B$321,2,FALSE),"0.000"),"")</f>
        <v/>
      </c>
      <c r="I241" s="11" t="str">
        <f>IF($B241&lt;&gt;"",TEXT(1-manut_MP($B241,I$1,I$2)/VLOOKUP(VALUE(MID($A241,5,3)),BASE_Pot!$A$2:$B$321,2,FALSE),"0.000"),"")</f>
        <v/>
      </c>
      <c r="J241" t="str">
        <f>""</f>
        <v/>
      </c>
      <c r="L241" t="str">
        <f t="shared" si="10"/>
        <v>&amp;.................................</v>
      </c>
    </row>
    <row r="242" spans="1:12" x14ac:dyDescent="0.25">
      <c r="A242" t="s">
        <v>412</v>
      </c>
      <c r="B242" t="str">
        <f t="shared" si="9"/>
        <v/>
      </c>
      <c r="C242" s="11" t="str">
        <f>IF($B242&lt;&gt;"",TEXT(1-manut_MP($B242,C$1,C$2)/VLOOKUP(VALUE(MID($A242,5,3)),BASE_Pot!$A$2:$B$321,2,FALSE),"0.000"),"")</f>
        <v/>
      </c>
      <c r="D242" s="11" t="str">
        <f>IF($B242&lt;&gt;"",TEXT(1-manut_MP($B242,D$1,D$2)/VLOOKUP(VALUE(MID($A242,5,3)),BASE_Pot!$A$2:$B$321,2,FALSE),"0.000"),"")</f>
        <v/>
      </c>
      <c r="E242" s="11" t="str">
        <f>IF($B242&lt;&gt;"",TEXT(1-manut_MP($B242,E$1,E$2)/VLOOKUP(VALUE(MID($A242,5,3)),BASE_Pot!$A$2:$B$321,2,FALSE),"0.000"),"")</f>
        <v/>
      </c>
      <c r="F242" s="11" t="str">
        <f>IF($B242&lt;&gt;"",TEXT(1-manut_MP($B242,F$1,F$2)/VLOOKUP(VALUE(MID($A242,5,3)),BASE_Pot!$A$2:$B$321,2,FALSE),"0.000"),"")</f>
        <v/>
      </c>
      <c r="G242" s="11" t="str">
        <f>IF($B242&lt;&gt;"",TEXT(1-manut_MP($B242,G$1,G$2)/VLOOKUP(VALUE(MID($A242,5,3)),BASE_Pot!$A$2:$B$321,2,FALSE),"0.000"),"")</f>
        <v/>
      </c>
      <c r="H242" s="11" t="str">
        <f>IF($B242&lt;&gt;"",TEXT(1-manut_MP($B242,H$1,H$2)/VLOOKUP(VALUE(MID($A242,5,3)),BASE_Pot!$A$2:$B$321,2,FALSE),"0.000"),"")</f>
        <v/>
      </c>
      <c r="I242" s="11" t="str">
        <f>IF($B242&lt;&gt;"",TEXT(1-manut_MP($B242,I$1,I$2)/VLOOKUP(VALUE(MID($A242,5,3)),BASE_Pot!$A$2:$B$321,2,FALSE),"0.000"),"")</f>
        <v/>
      </c>
      <c r="J242" t="str">
        <f>""</f>
        <v/>
      </c>
      <c r="L242" t="str">
        <f t="shared" si="10"/>
        <v>&amp;         CPFL</v>
      </c>
    </row>
    <row r="243" spans="1:12" x14ac:dyDescent="0.25">
      <c r="A243" t="s">
        <v>304</v>
      </c>
      <c r="B243" t="str">
        <f t="shared" si="9"/>
        <v/>
      </c>
      <c r="C243" s="11" t="str">
        <f>IF($B243&lt;&gt;"",TEXT(1-manut_MP($B243,C$1,C$2)/VLOOKUP(VALUE(MID($A243,5,3)),BASE_Pot!$A$2:$B$321,2,FALSE),"0.000"),"")</f>
        <v/>
      </c>
      <c r="D243" s="11" t="str">
        <f>IF($B243&lt;&gt;"",TEXT(1-manut_MP($B243,D$1,D$2)/VLOOKUP(VALUE(MID($A243,5,3)),BASE_Pot!$A$2:$B$321,2,FALSE),"0.000"),"")</f>
        <v/>
      </c>
      <c r="E243" s="11" t="str">
        <f>IF($B243&lt;&gt;"",TEXT(1-manut_MP($B243,E$1,E$2)/VLOOKUP(VALUE(MID($A243,5,3)),BASE_Pot!$A$2:$B$321,2,FALSE),"0.000"),"")</f>
        <v/>
      </c>
      <c r="F243" s="11" t="str">
        <f>IF($B243&lt;&gt;"",TEXT(1-manut_MP($B243,F$1,F$2)/VLOOKUP(VALUE(MID($A243,5,3)),BASE_Pot!$A$2:$B$321,2,FALSE),"0.000"),"")</f>
        <v/>
      </c>
      <c r="G243" s="11" t="str">
        <f>IF($B243&lt;&gt;"",TEXT(1-manut_MP($B243,G$1,G$2)/VLOOKUP(VALUE(MID($A243,5,3)),BASE_Pot!$A$2:$B$321,2,FALSE),"0.000"),"")</f>
        <v/>
      </c>
      <c r="H243" s="11" t="str">
        <f>IF($B243&lt;&gt;"",TEXT(1-manut_MP($B243,H$1,H$2)/VLOOKUP(VALUE(MID($A243,5,3)),BASE_Pot!$A$2:$B$321,2,FALSE),"0.000"),"")</f>
        <v/>
      </c>
      <c r="I243" s="11" t="str">
        <f>IF($B243&lt;&gt;"",TEXT(1-manut_MP($B243,I$1,I$2)/VLOOKUP(VALUE(MID($A243,5,3)),BASE_Pot!$A$2:$B$321,2,FALSE),"0.000"),"")</f>
        <v/>
      </c>
      <c r="J243" t="str">
        <f>""</f>
        <v/>
      </c>
      <c r="L243" t="str">
        <f t="shared" si="10"/>
        <v>&amp;.................................</v>
      </c>
    </row>
    <row r="244" spans="1:12" x14ac:dyDescent="0.25">
      <c r="A244" t="s">
        <v>413</v>
      </c>
      <c r="B244" t="str">
        <f t="shared" si="9"/>
        <v/>
      </c>
      <c r="C244" s="11" t="str">
        <f>IF($B244&lt;&gt;"",TEXT(1-manut_MP($B244,C$1,C$2)/VLOOKUP(VALUE(MID($A244,5,3)),BASE_Pot!$A$2:$B$321,2,FALSE),"0.000"),"")</f>
        <v/>
      </c>
      <c r="D244" s="11" t="str">
        <f>IF($B244&lt;&gt;"",TEXT(1-manut_MP($B244,D$1,D$2)/VLOOKUP(VALUE(MID($A244,5,3)),BASE_Pot!$A$2:$B$321,2,FALSE),"0.000"),"")</f>
        <v/>
      </c>
      <c r="E244" s="11" t="str">
        <f>IF($B244&lt;&gt;"",TEXT(1-manut_MP($B244,E$1,E$2)/VLOOKUP(VALUE(MID($A244,5,3)),BASE_Pot!$A$2:$B$321,2,FALSE),"0.000"),"")</f>
        <v/>
      </c>
      <c r="F244" s="11" t="str">
        <f>IF($B244&lt;&gt;"",TEXT(1-manut_MP($B244,F$1,F$2)/VLOOKUP(VALUE(MID($A244,5,3)),BASE_Pot!$A$2:$B$321,2,FALSE),"0.000"),"")</f>
        <v/>
      </c>
      <c r="G244" s="11" t="str">
        <f>IF($B244&lt;&gt;"",TEXT(1-manut_MP($B244,G$1,G$2)/VLOOKUP(VALUE(MID($A244,5,3)),BASE_Pot!$A$2:$B$321,2,FALSE),"0.000"),"")</f>
        <v/>
      </c>
      <c r="H244" s="11" t="str">
        <f>IF($B244&lt;&gt;"",TEXT(1-manut_MP($B244,H$1,H$2)/VLOOKUP(VALUE(MID($A244,5,3)),BASE_Pot!$A$2:$B$321,2,FALSE),"0.000"),"")</f>
        <v/>
      </c>
      <c r="I244" s="11" t="str">
        <f>IF($B244&lt;&gt;"",TEXT(1-manut_MP($B244,I$1,I$2)/VLOOKUP(VALUE(MID($A244,5,3)),BASE_Pot!$A$2:$B$321,2,FALSE),"0.000"),"")</f>
        <v/>
      </c>
      <c r="J244" t="str">
        <f>""</f>
        <v/>
      </c>
      <c r="L244" t="str">
        <f t="shared" si="10"/>
        <v>&amp;BARRA GRANDE</v>
      </c>
    </row>
    <row r="245" spans="1:12" x14ac:dyDescent="0.25">
      <c r="A245" t="s">
        <v>592</v>
      </c>
      <c r="B245" t="str">
        <f t="shared" si="9"/>
        <v xml:space="preserve"> 86-H</v>
      </c>
      <c r="C245" s="11" t="str">
        <f>IF($B245&lt;&gt;"",TEXT(1-manut_MP($B245,C$1,C$2)/VLOOKUP(VALUE(MID($A245,5,3)),BASE_Pot!$A$2:$B$321,2,FALSE),"0.000"),"")</f>
        <v>1.000</v>
      </c>
      <c r="D245" s="11" t="str">
        <f>IF($B245&lt;&gt;"",TEXT(1-manut_MP($B245,D$1,D$2)/VLOOKUP(VALUE(MID($A245,5,3)),BASE_Pot!$A$2:$B$321,2,FALSE),"0.000"),"")</f>
        <v>1.000</v>
      </c>
      <c r="E245" s="11" t="str">
        <f>IF($B245&lt;&gt;"",TEXT(1-manut_MP($B245,E$1,E$2)/VLOOKUP(VALUE(MID($A245,5,3)),BASE_Pot!$A$2:$B$321,2,FALSE),"0.000"),"")</f>
        <v>1.000</v>
      </c>
      <c r="F245" s="11" t="str">
        <f>IF($B245&lt;&gt;"",TEXT(1-manut_MP($B245,F$1,F$2)/VLOOKUP(VALUE(MID($A245,5,3)),BASE_Pot!$A$2:$B$321,2,FALSE),"0.000"),"")</f>
        <v>1.000</v>
      </c>
      <c r="G245" s="11" t="str">
        <f>IF($B245&lt;&gt;"",TEXT(1-manut_MP($B245,G$1,G$2)/VLOOKUP(VALUE(MID($A245,5,3)),BASE_Pot!$A$2:$B$321,2,FALSE),"0.000"),"")</f>
        <v>1.000</v>
      </c>
      <c r="H245" s="11" t="str">
        <f>IF($B245&lt;&gt;"",TEXT(1-manut_MP($B245,H$1,H$2)/VLOOKUP(VALUE(MID($A245,5,3)),BASE_Pot!$A$2:$B$321,2,FALSE),"0.000"),"")</f>
        <v>1.000</v>
      </c>
      <c r="I245" s="11" t="str">
        <f>IF($B245&lt;&gt;"",TEXT(1-manut_MP($B245,I$1,I$2)/VLOOKUP(VALUE(MID($A245,5,3)),BASE_Pot!$A$2:$B$321,2,FALSE),"0.000"),"")</f>
        <v>1.000</v>
      </c>
      <c r="J245" t="str">
        <f>""</f>
        <v/>
      </c>
      <c r="L245" t="str">
        <f t="shared" si="10"/>
        <v>MP   86  1.0001.0001.0001.0001.0001.0001.000</v>
      </c>
    </row>
    <row r="246" spans="1:12" x14ac:dyDescent="0.25">
      <c r="A246" t="s">
        <v>414</v>
      </c>
      <c r="B246" t="str">
        <f t="shared" si="9"/>
        <v/>
      </c>
      <c r="C246" s="11" t="str">
        <f>IF($B246&lt;&gt;"",TEXT(1-manut_MP($B246,C$1,C$2)/VLOOKUP(VALUE(MID($A246,5,3)),BASE_Pot!$A$2:$B$321,2,FALSE),"0.000"),"")</f>
        <v/>
      </c>
      <c r="D246" s="11" t="str">
        <f>IF($B246&lt;&gt;"",TEXT(1-manut_MP($B246,D$1,D$2)/VLOOKUP(VALUE(MID($A246,5,3)),BASE_Pot!$A$2:$B$321,2,FALSE),"0.000"),"")</f>
        <v/>
      </c>
      <c r="E246" s="11" t="str">
        <f>IF($B246&lt;&gt;"",TEXT(1-manut_MP($B246,E$1,E$2)/VLOOKUP(VALUE(MID($A246,5,3)),BASE_Pot!$A$2:$B$321,2,FALSE),"0.000"),"")</f>
        <v/>
      </c>
      <c r="F246" s="11" t="str">
        <f>IF($B246&lt;&gt;"",TEXT(1-manut_MP($B246,F$1,F$2)/VLOOKUP(VALUE(MID($A246,5,3)),BASE_Pot!$A$2:$B$321,2,FALSE),"0.000"),"")</f>
        <v/>
      </c>
      <c r="G246" s="11" t="str">
        <f>IF($B246&lt;&gt;"",TEXT(1-manut_MP($B246,G$1,G$2)/VLOOKUP(VALUE(MID($A246,5,3)),BASE_Pot!$A$2:$B$321,2,FALSE),"0.000"),"")</f>
        <v/>
      </c>
      <c r="H246" s="11" t="str">
        <f>IF($B246&lt;&gt;"",TEXT(1-manut_MP($B246,H$1,H$2)/VLOOKUP(VALUE(MID($A246,5,3)),BASE_Pot!$A$2:$B$321,2,FALSE),"0.000"),"")</f>
        <v/>
      </c>
      <c r="I246" s="11" t="str">
        <f>IF($B246&lt;&gt;"",TEXT(1-manut_MP($B246,I$1,I$2)/VLOOKUP(VALUE(MID($A246,5,3)),BASE_Pot!$A$2:$B$321,2,FALSE),"0.000"),"")</f>
        <v/>
      </c>
      <c r="J246" t="str">
        <f>""</f>
        <v/>
      </c>
      <c r="L246" t="str">
        <f t="shared" si="10"/>
        <v>&amp;CAMPOS NOVOS</v>
      </c>
    </row>
    <row r="247" spans="1:12" x14ac:dyDescent="0.25">
      <c r="A247" t="s">
        <v>593</v>
      </c>
      <c r="B247" t="str">
        <f t="shared" si="9"/>
        <v xml:space="preserve"> 90-H</v>
      </c>
      <c r="C247" s="11" t="str">
        <f>IF($B247&lt;&gt;"",TEXT(1-manut_MP($B247,C$1,C$2)/VLOOKUP(VALUE(MID($A247,5,3)),BASE_Pot!$A$2:$B$321,2,FALSE),"0.000"),"")</f>
        <v>1.000</v>
      </c>
      <c r="D247" s="11" t="str">
        <f>IF($B247&lt;&gt;"",TEXT(1-manut_MP($B247,D$1,D$2)/VLOOKUP(VALUE(MID($A247,5,3)),BASE_Pot!$A$2:$B$321,2,FALSE),"0.000"),"")</f>
        <v>1.000</v>
      </c>
      <c r="E247" s="11" t="str">
        <f>IF($B247&lt;&gt;"",TEXT(1-manut_MP($B247,E$1,E$2)/VLOOKUP(VALUE(MID($A247,5,3)),BASE_Pot!$A$2:$B$321,2,FALSE),"0.000"),"")</f>
        <v>1.000</v>
      </c>
      <c r="F247" s="11" t="str">
        <f>IF($B247&lt;&gt;"",TEXT(1-manut_MP($B247,F$1,F$2)/VLOOKUP(VALUE(MID($A247,5,3)),BASE_Pot!$A$2:$B$321,2,FALSE),"0.000"),"")</f>
        <v>1.000</v>
      </c>
      <c r="G247" s="11" t="str">
        <f>IF($B247&lt;&gt;"",TEXT(1-manut_MP($B247,G$1,G$2)/VLOOKUP(VALUE(MID($A247,5,3)),BASE_Pot!$A$2:$B$321,2,FALSE),"0.000"),"")</f>
        <v>1.000</v>
      </c>
      <c r="H247" s="11" t="str">
        <f>IF($B247&lt;&gt;"",TEXT(1-manut_MP($B247,H$1,H$2)/VLOOKUP(VALUE(MID($A247,5,3)),BASE_Pot!$A$2:$B$321,2,FALSE),"0.000"),"")</f>
        <v>1.000</v>
      </c>
      <c r="I247" s="11" t="str">
        <f>IF($B247&lt;&gt;"",TEXT(1-manut_MP($B247,I$1,I$2)/VLOOKUP(VALUE(MID($A247,5,3)),BASE_Pot!$A$2:$B$321,2,FALSE),"0.000"),"")</f>
        <v>1.000</v>
      </c>
      <c r="J247" t="str">
        <f>""</f>
        <v/>
      </c>
      <c r="L247" t="str">
        <f t="shared" si="10"/>
        <v>MP   90  1.0001.0001.0001.0001.0001.0001.000</v>
      </c>
    </row>
    <row r="248" spans="1:12" x14ac:dyDescent="0.25">
      <c r="A248" t="s">
        <v>415</v>
      </c>
      <c r="B248" t="str">
        <f t="shared" si="9"/>
        <v/>
      </c>
      <c r="C248" s="11" t="str">
        <f>IF($B248&lt;&gt;"",TEXT(1-manut_MP($B248,C$1,C$2)/VLOOKUP(VALUE(MID($A248,5,3)),BASE_Pot!$A$2:$B$321,2,FALSE),"0.000"),"")</f>
        <v/>
      </c>
      <c r="D248" s="11" t="str">
        <f>IF($B248&lt;&gt;"",TEXT(1-manut_MP($B248,D$1,D$2)/VLOOKUP(VALUE(MID($A248,5,3)),BASE_Pot!$A$2:$B$321,2,FALSE),"0.000"),"")</f>
        <v/>
      </c>
      <c r="E248" s="11" t="str">
        <f>IF($B248&lt;&gt;"",TEXT(1-manut_MP($B248,E$1,E$2)/VLOOKUP(VALUE(MID($A248,5,3)),BASE_Pot!$A$2:$B$321,2,FALSE),"0.000"),"")</f>
        <v/>
      </c>
      <c r="F248" s="11" t="str">
        <f>IF($B248&lt;&gt;"",TEXT(1-manut_MP($B248,F$1,F$2)/VLOOKUP(VALUE(MID($A248,5,3)),BASE_Pot!$A$2:$B$321,2,FALSE),"0.000"),"")</f>
        <v/>
      </c>
      <c r="G248" s="11" t="str">
        <f>IF($B248&lt;&gt;"",TEXT(1-manut_MP($B248,G$1,G$2)/VLOOKUP(VALUE(MID($A248,5,3)),BASE_Pot!$A$2:$B$321,2,FALSE),"0.000"),"")</f>
        <v/>
      </c>
      <c r="H248" s="11" t="str">
        <f>IF($B248&lt;&gt;"",TEXT(1-manut_MP($B248,H$1,H$2)/VLOOKUP(VALUE(MID($A248,5,3)),BASE_Pot!$A$2:$B$321,2,FALSE),"0.000"),"")</f>
        <v/>
      </c>
      <c r="I248" s="11" t="str">
        <f>IF($B248&lt;&gt;"",TEXT(1-manut_MP($B248,I$1,I$2)/VLOOKUP(VALUE(MID($A248,5,3)),BASE_Pot!$A$2:$B$321,2,FALSE),"0.000"),"")</f>
        <v/>
      </c>
      <c r="J248" t="str">
        <f>""</f>
        <v/>
      </c>
      <c r="L248" t="str">
        <f t="shared" si="10"/>
        <v>&amp;FOZ CHAPECO</v>
      </c>
    </row>
    <row r="249" spans="1:12" x14ac:dyDescent="0.25">
      <c r="A249" t="s">
        <v>594</v>
      </c>
      <c r="B249" t="str">
        <f t="shared" si="9"/>
        <v>103-H</v>
      </c>
      <c r="C249" s="11" t="str">
        <f>IF($B249&lt;&gt;"",TEXT(1-manut_MP($B249,C$1,C$2)/VLOOKUP(VALUE(MID($A249,5,3)),BASE_Pot!$A$2:$B$321,2,FALSE),"0.000"),"")</f>
        <v>1.000</v>
      </c>
      <c r="D249" s="11" t="str">
        <f>IF($B249&lt;&gt;"",TEXT(1-manut_MP($B249,D$1,D$2)/VLOOKUP(VALUE(MID($A249,5,3)),BASE_Pot!$A$2:$B$321,2,FALSE),"0.000"),"")</f>
        <v>1.000</v>
      </c>
      <c r="E249" s="11" t="str">
        <f>IF($B249&lt;&gt;"",TEXT(1-manut_MP($B249,E$1,E$2)/VLOOKUP(VALUE(MID($A249,5,3)),BASE_Pot!$A$2:$B$321,2,FALSE),"0.000"),"")</f>
        <v>1.000</v>
      </c>
      <c r="F249" s="11" t="str">
        <f>IF($B249&lt;&gt;"",TEXT(1-manut_MP($B249,F$1,F$2)/VLOOKUP(VALUE(MID($A249,5,3)),BASE_Pot!$A$2:$B$321,2,FALSE),"0.000"),"")</f>
        <v>1.000</v>
      </c>
      <c r="G249" s="11" t="str">
        <f>IF($B249&lt;&gt;"",TEXT(1-manut_MP($B249,G$1,G$2)/VLOOKUP(VALUE(MID($A249,5,3)),BASE_Pot!$A$2:$B$321,2,FALSE),"0.000"),"")</f>
        <v>1.000</v>
      </c>
      <c r="H249" s="11" t="str">
        <f>IF($B249&lt;&gt;"",TEXT(1-manut_MP($B249,H$1,H$2)/VLOOKUP(VALUE(MID($A249,5,3)),BASE_Pot!$A$2:$B$321,2,FALSE),"0.000"),"")</f>
        <v>1.000</v>
      </c>
      <c r="I249" s="11" t="str">
        <f>IF($B249&lt;&gt;"",TEXT(1-manut_MP($B249,I$1,I$2)/VLOOKUP(VALUE(MID($A249,5,3)),BASE_Pot!$A$2:$B$321,2,FALSE),"0.000"),"")</f>
        <v>1.000</v>
      </c>
      <c r="J249" t="str">
        <f>""</f>
        <v/>
      </c>
      <c r="L249" t="str">
        <f t="shared" si="10"/>
        <v>MP  103  1.0001.0001.0001.0001.0001.0001.000</v>
      </c>
    </row>
    <row r="250" spans="1:12" x14ac:dyDescent="0.25">
      <c r="A250" t="s">
        <v>304</v>
      </c>
      <c r="B250" t="str">
        <f t="shared" si="9"/>
        <v/>
      </c>
      <c r="C250" s="11" t="str">
        <f>IF($B250&lt;&gt;"",TEXT(1-manut_MP($B250,C$1,C$2)/VLOOKUP(VALUE(MID($A250,5,3)),BASE_Pot!$A$2:$B$321,2,FALSE),"0.000"),"")</f>
        <v/>
      </c>
      <c r="D250" s="11" t="str">
        <f>IF($B250&lt;&gt;"",TEXT(1-manut_MP($B250,D$1,D$2)/VLOOKUP(VALUE(MID($A250,5,3)),BASE_Pot!$A$2:$B$321,2,FALSE),"0.000"),"")</f>
        <v/>
      </c>
      <c r="E250" s="11" t="str">
        <f>IF($B250&lt;&gt;"",TEXT(1-manut_MP($B250,E$1,E$2)/VLOOKUP(VALUE(MID($A250,5,3)),BASE_Pot!$A$2:$B$321,2,FALSE),"0.000"),"")</f>
        <v/>
      </c>
      <c r="F250" s="11" t="str">
        <f>IF($B250&lt;&gt;"",TEXT(1-manut_MP($B250,F$1,F$2)/VLOOKUP(VALUE(MID($A250,5,3)),BASE_Pot!$A$2:$B$321,2,FALSE),"0.000"),"")</f>
        <v/>
      </c>
      <c r="G250" s="11" t="str">
        <f>IF($B250&lt;&gt;"",TEXT(1-manut_MP($B250,G$1,G$2)/VLOOKUP(VALUE(MID($A250,5,3)),BASE_Pot!$A$2:$B$321,2,FALSE),"0.000"),"")</f>
        <v/>
      </c>
      <c r="H250" s="11" t="str">
        <f>IF($B250&lt;&gt;"",TEXT(1-manut_MP($B250,H$1,H$2)/VLOOKUP(VALUE(MID($A250,5,3)),BASE_Pot!$A$2:$B$321,2,FALSE),"0.000"),"")</f>
        <v/>
      </c>
      <c r="I250" s="11" t="str">
        <f>IF($B250&lt;&gt;"",TEXT(1-manut_MP($B250,I$1,I$2)/VLOOKUP(VALUE(MID($A250,5,3)),BASE_Pot!$A$2:$B$321,2,FALSE),"0.000"),"")</f>
        <v/>
      </c>
      <c r="J250" t="str">
        <f>""</f>
        <v/>
      </c>
      <c r="L250" t="str">
        <f t="shared" si="10"/>
        <v>&amp;.................................</v>
      </c>
    </row>
    <row r="251" spans="1:12" x14ac:dyDescent="0.25">
      <c r="A251" t="s">
        <v>416</v>
      </c>
      <c r="B251" t="str">
        <f t="shared" si="9"/>
        <v/>
      </c>
      <c r="C251" s="11" t="str">
        <f>IF($B251&lt;&gt;"",TEXT(1-manut_MP($B251,C$1,C$2)/VLOOKUP(VALUE(MID($A251,5,3)),BASE_Pot!$A$2:$B$321,2,FALSE),"0.000"),"")</f>
        <v/>
      </c>
      <c r="D251" s="11" t="str">
        <f>IF($B251&lt;&gt;"",TEXT(1-manut_MP($B251,D$1,D$2)/VLOOKUP(VALUE(MID($A251,5,3)),BASE_Pot!$A$2:$B$321,2,FALSE),"0.000"),"")</f>
        <v/>
      </c>
      <c r="E251" s="11" t="str">
        <f>IF($B251&lt;&gt;"",TEXT(1-manut_MP($B251,E$1,E$2)/VLOOKUP(VALUE(MID($A251,5,3)),BASE_Pot!$A$2:$B$321,2,FALSE),"0.000"),"")</f>
        <v/>
      </c>
      <c r="F251" s="11" t="str">
        <f>IF($B251&lt;&gt;"",TEXT(1-manut_MP($B251,F$1,F$2)/VLOOKUP(VALUE(MID($A251,5,3)),BASE_Pot!$A$2:$B$321,2,FALSE),"0.000"),"")</f>
        <v/>
      </c>
      <c r="G251" s="11" t="str">
        <f>IF($B251&lt;&gt;"",TEXT(1-manut_MP($B251,G$1,G$2)/VLOOKUP(VALUE(MID($A251,5,3)),BASE_Pot!$A$2:$B$321,2,FALSE),"0.000"),"")</f>
        <v/>
      </c>
      <c r="H251" s="11" t="str">
        <f>IF($B251&lt;&gt;"",TEXT(1-manut_MP($B251,H$1,H$2)/VLOOKUP(VALUE(MID($A251,5,3)),BASE_Pot!$A$2:$B$321,2,FALSE),"0.000"),"")</f>
        <v/>
      </c>
      <c r="I251" s="11" t="str">
        <f>IF($B251&lt;&gt;"",TEXT(1-manut_MP($B251,I$1,I$2)/VLOOKUP(VALUE(MID($A251,5,3)),BASE_Pot!$A$2:$B$321,2,FALSE),"0.000"),"")</f>
        <v/>
      </c>
      <c r="J251" t="str">
        <f>""</f>
        <v/>
      </c>
      <c r="L251" t="str">
        <f t="shared" si="10"/>
        <v>&amp;         CORUMBA</v>
      </c>
    </row>
    <row r="252" spans="1:12" x14ac:dyDescent="0.25">
      <c r="A252" t="s">
        <v>304</v>
      </c>
      <c r="B252" t="str">
        <f t="shared" si="9"/>
        <v/>
      </c>
      <c r="C252" s="11" t="str">
        <f>IF($B252&lt;&gt;"",TEXT(1-manut_MP($B252,C$1,C$2)/VLOOKUP(VALUE(MID($A252,5,3)),BASE_Pot!$A$2:$B$321,2,FALSE),"0.000"),"")</f>
        <v/>
      </c>
      <c r="D252" s="11" t="str">
        <f>IF($B252&lt;&gt;"",TEXT(1-manut_MP($B252,D$1,D$2)/VLOOKUP(VALUE(MID($A252,5,3)),BASE_Pot!$A$2:$B$321,2,FALSE),"0.000"),"")</f>
        <v/>
      </c>
      <c r="E252" s="11" t="str">
        <f>IF($B252&lt;&gt;"",TEXT(1-manut_MP($B252,E$1,E$2)/VLOOKUP(VALUE(MID($A252,5,3)),BASE_Pot!$A$2:$B$321,2,FALSE),"0.000"),"")</f>
        <v/>
      </c>
      <c r="F252" s="11" t="str">
        <f>IF($B252&lt;&gt;"",TEXT(1-manut_MP($B252,F$1,F$2)/VLOOKUP(VALUE(MID($A252,5,3)),BASE_Pot!$A$2:$B$321,2,FALSE),"0.000"),"")</f>
        <v/>
      </c>
      <c r="G252" s="11" t="str">
        <f>IF($B252&lt;&gt;"",TEXT(1-manut_MP($B252,G$1,G$2)/VLOOKUP(VALUE(MID($A252,5,3)),BASE_Pot!$A$2:$B$321,2,FALSE),"0.000"),"")</f>
        <v/>
      </c>
      <c r="H252" s="11" t="str">
        <f>IF($B252&lt;&gt;"",TEXT(1-manut_MP($B252,H$1,H$2)/VLOOKUP(VALUE(MID($A252,5,3)),BASE_Pot!$A$2:$B$321,2,FALSE),"0.000"),"")</f>
        <v/>
      </c>
      <c r="I252" s="11" t="str">
        <f>IF($B252&lt;&gt;"",TEXT(1-manut_MP($B252,I$1,I$2)/VLOOKUP(VALUE(MID($A252,5,3)),BASE_Pot!$A$2:$B$321,2,FALSE),"0.000"),"")</f>
        <v/>
      </c>
      <c r="J252" t="str">
        <f>""</f>
        <v/>
      </c>
      <c r="L252" t="str">
        <f t="shared" si="10"/>
        <v>&amp;.................................</v>
      </c>
    </row>
    <row r="253" spans="1:12" x14ac:dyDescent="0.25">
      <c r="A253" t="s">
        <v>417</v>
      </c>
      <c r="B253" t="str">
        <f t="shared" si="9"/>
        <v/>
      </c>
      <c r="C253" s="11" t="str">
        <f>IF($B253&lt;&gt;"",TEXT(1-manut_MP($B253,C$1,C$2)/VLOOKUP(VALUE(MID($A253,5,3)),BASE_Pot!$A$2:$B$321,2,FALSE),"0.000"),"")</f>
        <v/>
      </c>
      <c r="D253" s="11" t="str">
        <f>IF($B253&lt;&gt;"",TEXT(1-manut_MP($B253,D$1,D$2)/VLOOKUP(VALUE(MID($A253,5,3)),BASE_Pot!$A$2:$B$321,2,FALSE),"0.000"),"")</f>
        <v/>
      </c>
      <c r="E253" s="11" t="str">
        <f>IF($B253&lt;&gt;"",TEXT(1-manut_MP($B253,E$1,E$2)/VLOOKUP(VALUE(MID($A253,5,3)),BASE_Pot!$A$2:$B$321,2,FALSE),"0.000"),"")</f>
        <v/>
      </c>
      <c r="F253" s="11" t="str">
        <f>IF($B253&lt;&gt;"",TEXT(1-manut_MP($B253,F$1,F$2)/VLOOKUP(VALUE(MID($A253,5,3)),BASE_Pot!$A$2:$B$321,2,FALSE),"0.000"),"")</f>
        <v/>
      </c>
      <c r="G253" s="11" t="str">
        <f>IF($B253&lt;&gt;"",TEXT(1-manut_MP($B253,G$1,G$2)/VLOOKUP(VALUE(MID($A253,5,3)),BASE_Pot!$A$2:$B$321,2,FALSE),"0.000"),"")</f>
        <v/>
      </c>
      <c r="H253" s="11" t="str">
        <f>IF($B253&lt;&gt;"",TEXT(1-manut_MP($B253,H$1,H$2)/VLOOKUP(VALUE(MID($A253,5,3)),BASE_Pot!$A$2:$B$321,2,FALSE),"0.000"),"")</f>
        <v/>
      </c>
      <c r="I253" s="11" t="str">
        <f>IF($B253&lt;&gt;"",TEXT(1-manut_MP($B253,I$1,I$2)/VLOOKUP(VALUE(MID($A253,5,3)),BASE_Pot!$A$2:$B$321,2,FALSE),"0.000"),"")</f>
        <v/>
      </c>
      <c r="J253" t="str">
        <f>""</f>
        <v/>
      </c>
      <c r="L253" t="str">
        <f t="shared" si="10"/>
        <v>&amp;CORUMBA IV</v>
      </c>
    </row>
    <row r="254" spans="1:12" x14ac:dyDescent="0.25">
      <c r="A254" t="s">
        <v>595</v>
      </c>
      <c r="B254" t="str">
        <f t="shared" si="9"/>
        <v xml:space="preserve"> 29-H</v>
      </c>
      <c r="C254" s="11" t="str">
        <f>IF($B254&lt;&gt;"",TEXT(1-manut_MP($B254,C$1,C$2)/VLOOKUP(VALUE(MID($A254,5,3)),BASE_Pot!$A$2:$B$321,2,FALSE),"0.000"),"")</f>
        <v>1.000</v>
      </c>
      <c r="D254" s="11" t="str">
        <f>IF($B254&lt;&gt;"",TEXT(1-manut_MP($B254,D$1,D$2)/VLOOKUP(VALUE(MID($A254,5,3)),BASE_Pot!$A$2:$B$321,2,FALSE),"0.000"),"")</f>
        <v>1.000</v>
      </c>
      <c r="E254" s="11" t="str">
        <f>IF($B254&lt;&gt;"",TEXT(1-manut_MP($B254,E$1,E$2)/VLOOKUP(VALUE(MID($A254,5,3)),BASE_Pot!$A$2:$B$321,2,FALSE),"0.000"),"")</f>
        <v>1.000</v>
      </c>
      <c r="F254" s="11" t="str">
        <f>IF($B254&lt;&gt;"",TEXT(1-manut_MP($B254,F$1,F$2)/VLOOKUP(VALUE(MID($A254,5,3)),BASE_Pot!$A$2:$B$321,2,FALSE),"0.000"),"")</f>
        <v>1.000</v>
      </c>
      <c r="G254" s="11" t="str">
        <f>IF($B254&lt;&gt;"",TEXT(1-manut_MP($B254,G$1,G$2)/VLOOKUP(VALUE(MID($A254,5,3)),BASE_Pot!$A$2:$B$321,2,FALSE),"0.000"),"")</f>
        <v>1.000</v>
      </c>
      <c r="H254" s="11" t="str">
        <f>IF($B254&lt;&gt;"",TEXT(1-manut_MP($B254,H$1,H$2)/VLOOKUP(VALUE(MID($A254,5,3)),BASE_Pot!$A$2:$B$321,2,FALSE),"0.000"),"")</f>
        <v>1.000</v>
      </c>
      <c r="I254" s="11" t="str">
        <f>IF($B254&lt;&gt;"",TEXT(1-manut_MP($B254,I$1,I$2)/VLOOKUP(VALUE(MID($A254,5,3)),BASE_Pot!$A$2:$B$321,2,FALSE),"0.000"),"")</f>
        <v>1.000</v>
      </c>
      <c r="J254" t="str">
        <f>""</f>
        <v/>
      </c>
      <c r="L254" t="str">
        <f t="shared" si="10"/>
        <v>MP   29  1.0001.0001.0001.0001.0001.0001.000</v>
      </c>
    </row>
    <row r="255" spans="1:12" x14ac:dyDescent="0.25">
      <c r="A255" t="s">
        <v>304</v>
      </c>
      <c r="B255" t="str">
        <f t="shared" si="9"/>
        <v/>
      </c>
      <c r="C255" s="11" t="str">
        <f>IF($B255&lt;&gt;"",TEXT(1-manut_MP($B255,C$1,C$2)/VLOOKUP(VALUE(MID($A255,5,3)),BASE_Pot!$A$2:$B$321,2,FALSE),"0.000"),"")</f>
        <v/>
      </c>
      <c r="D255" s="11" t="str">
        <f>IF($B255&lt;&gt;"",TEXT(1-manut_MP($B255,D$1,D$2)/VLOOKUP(VALUE(MID($A255,5,3)),BASE_Pot!$A$2:$B$321,2,FALSE),"0.000"),"")</f>
        <v/>
      </c>
      <c r="E255" s="11" t="str">
        <f>IF($B255&lt;&gt;"",TEXT(1-manut_MP($B255,E$1,E$2)/VLOOKUP(VALUE(MID($A255,5,3)),BASE_Pot!$A$2:$B$321,2,FALSE),"0.000"),"")</f>
        <v/>
      </c>
      <c r="F255" s="11" t="str">
        <f>IF($B255&lt;&gt;"",TEXT(1-manut_MP($B255,F$1,F$2)/VLOOKUP(VALUE(MID($A255,5,3)),BASE_Pot!$A$2:$B$321,2,FALSE),"0.000"),"")</f>
        <v/>
      </c>
      <c r="G255" s="11" t="str">
        <f>IF($B255&lt;&gt;"",TEXT(1-manut_MP($B255,G$1,G$2)/VLOOKUP(VALUE(MID($A255,5,3)),BASE_Pot!$A$2:$B$321,2,FALSE),"0.000"),"")</f>
        <v/>
      </c>
      <c r="H255" s="11" t="str">
        <f>IF($B255&lt;&gt;"",TEXT(1-manut_MP($B255,H$1,H$2)/VLOOKUP(VALUE(MID($A255,5,3)),BASE_Pot!$A$2:$B$321,2,FALSE),"0.000"),"")</f>
        <v/>
      </c>
      <c r="I255" s="11" t="str">
        <f>IF($B255&lt;&gt;"",TEXT(1-manut_MP($B255,I$1,I$2)/VLOOKUP(VALUE(MID($A255,5,3)),BASE_Pot!$A$2:$B$321,2,FALSE),"0.000"),"")</f>
        <v/>
      </c>
      <c r="J255" t="str">
        <f>""</f>
        <v/>
      </c>
      <c r="L255" t="str">
        <f t="shared" si="10"/>
        <v>&amp;.................................</v>
      </c>
    </row>
    <row r="256" spans="1:12" x14ac:dyDescent="0.25">
      <c r="A256" t="s">
        <v>418</v>
      </c>
      <c r="B256" t="str">
        <f t="shared" si="9"/>
        <v/>
      </c>
      <c r="C256" s="11" t="str">
        <f>IF($B256&lt;&gt;"",TEXT(1-manut_MP($B256,C$1,C$2)/VLOOKUP(VALUE(MID($A256,5,3)),BASE_Pot!$A$2:$B$321,2,FALSE),"0.000"),"")</f>
        <v/>
      </c>
      <c r="D256" s="11" t="str">
        <f>IF($B256&lt;&gt;"",TEXT(1-manut_MP($B256,D$1,D$2)/VLOOKUP(VALUE(MID($A256,5,3)),BASE_Pot!$A$2:$B$321,2,FALSE),"0.000"),"")</f>
        <v/>
      </c>
      <c r="E256" s="11" t="str">
        <f>IF($B256&lt;&gt;"",TEXT(1-manut_MP($B256,E$1,E$2)/VLOOKUP(VALUE(MID($A256,5,3)),BASE_Pot!$A$2:$B$321,2,FALSE),"0.000"),"")</f>
        <v/>
      </c>
      <c r="F256" s="11" t="str">
        <f>IF($B256&lt;&gt;"",TEXT(1-manut_MP($B256,F$1,F$2)/VLOOKUP(VALUE(MID($A256,5,3)),BASE_Pot!$A$2:$B$321,2,FALSE),"0.000"),"")</f>
        <v/>
      </c>
      <c r="G256" s="11" t="str">
        <f>IF($B256&lt;&gt;"",TEXT(1-manut_MP($B256,G$1,G$2)/VLOOKUP(VALUE(MID($A256,5,3)),BASE_Pot!$A$2:$B$321,2,FALSE),"0.000"),"")</f>
        <v/>
      </c>
      <c r="H256" s="11" t="str">
        <f>IF($B256&lt;&gt;"",TEXT(1-manut_MP($B256,H$1,H$2)/VLOOKUP(VALUE(MID($A256,5,3)),BASE_Pot!$A$2:$B$321,2,FALSE),"0.000"),"")</f>
        <v/>
      </c>
      <c r="I256" s="11" t="str">
        <f>IF($B256&lt;&gt;"",TEXT(1-manut_MP($B256,I$1,I$2)/VLOOKUP(VALUE(MID($A256,5,3)),BASE_Pot!$A$2:$B$321,2,FALSE),"0.000"),"")</f>
        <v/>
      </c>
      <c r="J256" t="str">
        <f>""</f>
        <v/>
      </c>
      <c r="L256" t="str">
        <f t="shared" si="10"/>
        <v>&amp;         VCP</v>
      </c>
    </row>
    <row r="257" spans="1:12" x14ac:dyDescent="0.25">
      <c r="A257" t="s">
        <v>304</v>
      </c>
      <c r="B257" t="str">
        <f t="shared" si="9"/>
        <v/>
      </c>
      <c r="C257" s="11" t="str">
        <f>IF($B257&lt;&gt;"",TEXT(1-manut_MP($B257,C$1,C$2)/VLOOKUP(VALUE(MID($A257,5,3)),BASE_Pot!$A$2:$B$321,2,FALSE),"0.000"),"")</f>
        <v/>
      </c>
      <c r="D257" s="11" t="str">
        <f>IF($B257&lt;&gt;"",TEXT(1-manut_MP($B257,D$1,D$2)/VLOOKUP(VALUE(MID($A257,5,3)),BASE_Pot!$A$2:$B$321,2,FALSE),"0.000"),"")</f>
        <v/>
      </c>
      <c r="E257" s="11" t="str">
        <f>IF($B257&lt;&gt;"",TEXT(1-manut_MP($B257,E$1,E$2)/VLOOKUP(VALUE(MID($A257,5,3)),BASE_Pot!$A$2:$B$321,2,FALSE),"0.000"),"")</f>
        <v/>
      </c>
      <c r="F257" s="11" t="str">
        <f>IF($B257&lt;&gt;"",TEXT(1-manut_MP($B257,F$1,F$2)/VLOOKUP(VALUE(MID($A257,5,3)),BASE_Pot!$A$2:$B$321,2,FALSE),"0.000"),"")</f>
        <v/>
      </c>
      <c r="G257" s="11" t="str">
        <f>IF($B257&lt;&gt;"",TEXT(1-manut_MP($B257,G$1,G$2)/VLOOKUP(VALUE(MID($A257,5,3)),BASE_Pot!$A$2:$B$321,2,FALSE),"0.000"),"")</f>
        <v/>
      </c>
      <c r="H257" s="11" t="str">
        <f>IF($B257&lt;&gt;"",TEXT(1-manut_MP($B257,H$1,H$2)/VLOOKUP(VALUE(MID($A257,5,3)),BASE_Pot!$A$2:$B$321,2,FALSE),"0.000"),"")</f>
        <v/>
      </c>
      <c r="I257" s="11" t="str">
        <f>IF($B257&lt;&gt;"",TEXT(1-manut_MP($B257,I$1,I$2)/VLOOKUP(VALUE(MID($A257,5,3)),BASE_Pot!$A$2:$B$321,2,FALSE),"0.000"),"")</f>
        <v/>
      </c>
      <c r="J257" t="str">
        <f>""</f>
        <v/>
      </c>
      <c r="L257" t="str">
        <f t="shared" si="10"/>
        <v>&amp;.................................</v>
      </c>
    </row>
    <row r="258" spans="1:12" x14ac:dyDescent="0.25">
      <c r="A258" t="s">
        <v>419</v>
      </c>
      <c r="B258" t="str">
        <f t="shared" si="9"/>
        <v/>
      </c>
      <c r="C258" s="11" t="str">
        <f>IF($B258&lt;&gt;"",TEXT(1-manut_MP($B258,C$1,C$2)/VLOOKUP(VALUE(MID($A258,5,3)),BASE_Pot!$A$2:$B$321,2,FALSE),"0.000"),"")</f>
        <v/>
      </c>
      <c r="D258" s="11" t="str">
        <f>IF($B258&lt;&gt;"",TEXT(1-manut_MP($B258,D$1,D$2)/VLOOKUP(VALUE(MID($A258,5,3)),BASE_Pot!$A$2:$B$321,2,FALSE),"0.000"),"")</f>
        <v/>
      </c>
      <c r="E258" s="11" t="str">
        <f>IF($B258&lt;&gt;"",TEXT(1-manut_MP($B258,E$1,E$2)/VLOOKUP(VALUE(MID($A258,5,3)),BASE_Pot!$A$2:$B$321,2,FALSE),"0.000"),"")</f>
        <v/>
      </c>
      <c r="F258" s="11" t="str">
        <f>IF($B258&lt;&gt;"",TEXT(1-manut_MP($B258,F$1,F$2)/VLOOKUP(VALUE(MID($A258,5,3)),BASE_Pot!$A$2:$B$321,2,FALSE),"0.000"),"")</f>
        <v/>
      </c>
      <c r="G258" s="11" t="str">
        <f>IF($B258&lt;&gt;"",TEXT(1-manut_MP($B258,G$1,G$2)/VLOOKUP(VALUE(MID($A258,5,3)),BASE_Pot!$A$2:$B$321,2,FALSE),"0.000"),"")</f>
        <v/>
      </c>
      <c r="H258" s="11" t="str">
        <f>IF($B258&lt;&gt;"",TEXT(1-manut_MP($B258,H$1,H$2)/VLOOKUP(VALUE(MID($A258,5,3)),BASE_Pot!$A$2:$B$321,2,FALSE),"0.000"),"")</f>
        <v/>
      </c>
      <c r="I258" s="11" t="str">
        <f>IF($B258&lt;&gt;"",TEXT(1-manut_MP($B258,I$1,I$2)/VLOOKUP(VALUE(MID($A258,5,3)),BASE_Pot!$A$2:$B$321,2,FALSE),"0.000"),"")</f>
        <v/>
      </c>
      <c r="J258" t="str">
        <f>""</f>
        <v/>
      </c>
      <c r="L258" t="str">
        <f t="shared" si="10"/>
        <v>&amp;P. CAVALO</v>
      </c>
    </row>
    <row r="259" spans="1:12" x14ac:dyDescent="0.25">
      <c r="A259" t="s">
        <v>596</v>
      </c>
      <c r="B259" t="str">
        <f t="shared" si="9"/>
        <v>189-H</v>
      </c>
      <c r="C259" s="11" t="str">
        <f>IF($B259&lt;&gt;"",TEXT(1-manut_MP($B259,C$1,C$2)/VLOOKUP(VALUE(MID($A259,5,3)),BASE_Pot!$A$2:$B$321,2,FALSE),"0.000"),"")</f>
        <v>1.000</v>
      </c>
      <c r="D259" s="11" t="str">
        <f>IF($B259&lt;&gt;"",TEXT(1-manut_MP($B259,D$1,D$2)/VLOOKUP(VALUE(MID($A259,5,3)),BASE_Pot!$A$2:$B$321,2,FALSE),"0.000"),"")</f>
        <v>1.000</v>
      </c>
      <c r="E259" s="11" t="str">
        <f>IF($B259&lt;&gt;"",TEXT(1-manut_MP($B259,E$1,E$2)/VLOOKUP(VALUE(MID($A259,5,3)),BASE_Pot!$A$2:$B$321,2,FALSE),"0.000"),"")</f>
        <v>1.000</v>
      </c>
      <c r="F259" s="11" t="str">
        <f>IF($B259&lt;&gt;"",TEXT(1-manut_MP($B259,F$1,F$2)/VLOOKUP(VALUE(MID($A259,5,3)),BASE_Pot!$A$2:$B$321,2,FALSE),"0.000"),"")</f>
        <v>1.000</v>
      </c>
      <c r="G259" s="11" t="str">
        <f>IF($B259&lt;&gt;"",TEXT(1-manut_MP($B259,G$1,G$2)/VLOOKUP(VALUE(MID($A259,5,3)),BASE_Pot!$A$2:$B$321,2,FALSE),"0.000"),"")</f>
        <v>1.000</v>
      </c>
      <c r="H259" s="11" t="str">
        <f>IF($B259&lt;&gt;"",TEXT(1-manut_MP($B259,H$1,H$2)/VLOOKUP(VALUE(MID($A259,5,3)),BASE_Pot!$A$2:$B$321,2,FALSE),"0.000"),"")</f>
        <v>1.000</v>
      </c>
      <c r="I259" s="11" t="str">
        <f>IF($B259&lt;&gt;"",TEXT(1-manut_MP($B259,I$1,I$2)/VLOOKUP(VALUE(MID($A259,5,3)),BASE_Pot!$A$2:$B$321,2,FALSE),"0.000"),"")</f>
        <v>1.000</v>
      </c>
      <c r="J259" t="str">
        <f>""</f>
        <v/>
      </c>
      <c r="L259" t="str">
        <f t="shared" si="10"/>
        <v>MP  189  1.0001.0001.0001.0001.0001.0001.000</v>
      </c>
    </row>
    <row r="260" spans="1:12" x14ac:dyDescent="0.25">
      <c r="A260" t="s">
        <v>304</v>
      </c>
      <c r="B260" t="str">
        <f t="shared" ref="B260:B323" si="11">IF(LEFT(A260,1)="&amp;","",MID(A260,5,3)&amp;"-H")</f>
        <v/>
      </c>
      <c r="C260" s="11" t="str">
        <f>IF($B260&lt;&gt;"",TEXT(1-manut_MP($B260,C$1,C$2)/VLOOKUP(VALUE(MID($A260,5,3)),BASE_Pot!$A$2:$B$321,2,FALSE),"0.000"),"")</f>
        <v/>
      </c>
      <c r="D260" s="11" t="str">
        <f>IF($B260&lt;&gt;"",TEXT(1-manut_MP($B260,D$1,D$2)/VLOOKUP(VALUE(MID($A260,5,3)),BASE_Pot!$A$2:$B$321,2,FALSE),"0.000"),"")</f>
        <v/>
      </c>
      <c r="E260" s="11" t="str">
        <f>IF($B260&lt;&gt;"",TEXT(1-manut_MP($B260,E$1,E$2)/VLOOKUP(VALUE(MID($A260,5,3)),BASE_Pot!$A$2:$B$321,2,FALSE),"0.000"),"")</f>
        <v/>
      </c>
      <c r="F260" s="11" t="str">
        <f>IF($B260&lt;&gt;"",TEXT(1-manut_MP($B260,F$1,F$2)/VLOOKUP(VALUE(MID($A260,5,3)),BASE_Pot!$A$2:$B$321,2,FALSE),"0.000"),"")</f>
        <v/>
      </c>
      <c r="G260" s="11" t="str">
        <f>IF($B260&lt;&gt;"",TEXT(1-manut_MP($B260,G$1,G$2)/VLOOKUP(VALUE(MID($A260,5,3)),BASE_Pot!$A$2:$B$321,2,FALSE),"0.000"),"")</f>
        <v/>
      </c>
      <c r="H260" s="11" t="str">
        <f>IF($B260&lt;&gt;"",TEXT(1-manut_MP($B260,H$1,H$2)/VLOOKUP(VALUE(MID($A260,5,3)),BASE_Pot!$A$2:$B$321,2,FALSE),"0.000"),"")</f>
        <v/>
      </c>
      <c r="I260" s="11" t="str">
        <f>IF($B260&lt;&gt;"",TEXT(1-manut_MP($B260,I$1,I$2)/VLOOKUP(VALUE(MID($A260,5,3)),BASE_Pot!$A$2:$B$321,2,FALSE),"0.000"),"")</f>
        <v/>
      </c>
      <c r="J260" t="str">
        <f>""</f>
        <v/>
      </c>
      <c r="L260" t="str">
        <f t="shared" si="10"/>
        <v>&amp;.................................</v>
      </c>
    </row>
    <row r="261" spans="1:12" x14ac:dyDescent="0.25">
      <c r="A261" t="s">
        <v>420</v>
      </c>
      <c r="B261" t="str">
        <f t="shared" si="11"/>
        <v/>
      </c>
      <c r="C261" s="11" t="str">
        <f>IF($B261&lt;&gt;"",TEXT(1-manut_MP($B261,C$1,C$2)/VLOOKUP(VALUE(MID($A261,5,3)),BASE_Pot!$A$2:$B$321,2,FALSE),"0.000"),"")</f>
        <v/>
      </c>
      <c r="D261" s="11" t="str">
        <f>IF($B261&lt;&gt;"",TEXT(1-manut_MP($B261,D$1,D$2)/VLOOKUP(VALUE(MID($A261,5,3)),BASE_Pot!$A$2:$B$321,2,FALSE),"0.000"),"")</f>
        <v/>
      </c>
      <c r="E261" s="11" t="str">
        <f>IF($B261&lt;&gt;"",TEXT(1-manut_MP($B261,E$1,E$2)/VLOOKUP(VALUE(MID($A261,5,3)),BASE_Pot!$A$2:$B$321,2,FALSE),"0.000"),"")</f>
        <v/>
      </c>
      <c r="F261" s="11" t="str">
        <f>IF($B261&lt;&gt;"",TEXT(1-manut_MP($B261,F$1,F$2)/VLOOKUP(VALUE(MID($A261,5,3)),BASE_Pot!$A$2:$B$321,2,FALSE),"0.000"),"")</f>
        <v/>
      </c>
      <c r="G261" s="11" t="str">
        <f>IF($B261&lt;&gt;"",TEXT(1-manut_MP($B261,G$1,G$2)/VLOOKUP(VALUE(MID($A261,5,3)),BASE_Pot!$A$2:$B$321,2,FALSE),"0.000"),"")</f>
        <v/>
      </c>
      <c r="H261" s="11" t="str">
        <f>IF($B261&lt;&gt;"",TEXT(1-manut_MP($B261,H$1,H$2)/VLOOKUP(VALUE(MID($A261,5,3)),BASE_Pot!$A$2:$B$321,2,FALSE),"0.000"),"")</f>
        <v/>
      </c>
      <c r="I261" s="11" t="str">
        <f>IF($B261&lt;&gt;"",TEXT(1-manut_MP($B261,I$1,I$2)/VLOOKUP(VALUE(MID($A261,5,3)),BASE_Pot!$A$2:$B$321,2,FALSE),"0.000"),"")</f>
        <v/>
      </c>
      <c r="J261" t="str">
        <f>""</f>
        <v/>
      </c>
      <c r="L261" t="str">
        <f t="shared" si="10"/>
        <v>&amp;         CDSA</v>
      </c>
    </row>
    <row r="262" spans="1:12" x14ac:dyDescent="0.25">
      <c r="A262" t="s">
        <v>304</v>
      </c>
      <c r="B262" t="str">
        <f t="shared" si="11"/>
        <v/>
      </c>
      <c r="C262" s="11" t="str">
        <f>IF($B262&lt;&gt;"",TEXT(1-manut_MP($B262,C$1,C$2)/VLOOKUP(VALUE(MID($A262,5,3)),BASE_Pot!$A$2:$B$321,2,FALSE),"0.000"),"")</f>
        <v/>
      </c>
      <c r="D262" s="11" t="str">
        <f>IF($B262&lt;&gt;"",TEXT(1-manut_MP($B262,D$1,D$2)/VLOOKUP(VALUE(MID($A262,5,3)),BASE_Pot!$A$2:$B$321,2,FALSE),"0.000"),"")</f>
        <v/>
      </c>
      <c r="E262" s="11" t="str">
        <f>IF($B262&lt;&gt;"",TEXT(1-manut_MP($B262,E$1,E$2)/VLOOKUP(VALUE(MID($A262,5,3)),BASE_Pot!$A$2:$B$321,2,FALSE),"0.000"),"")</f>
        <v/>
      </c>
      <c r="F262" s="11" t="str">
        <f>IF($B262&lt;&gt;"",TEXT(1-manut_MP($B262,F$1,F$2)/VLOOKUP(VALUE(MID($A262,5,3)),BASE_Pot!$A$2:$B$321,2,FALSE),"0.000"),"")</f>
        <v/>
      </c>
      <c r="G262" s="11" t="str">
        <f>IF($B262&lt;&gt;"",TEXT(1-manut_MP($B262,G$1,G$2)/VLOOKUP(VALUE(MID($A262,5,3)),BASE_Pot!$A$2:$B$321,2,FALSE),"0.000"),"")</f>
        <v/>
      </c>
      <c r="H262" s="11" t="str">
        <f>IF($B262&lt;&gt;"",TEXT(1-manut_MP($B262,H$1,H$2)/VLOOKUP(VALUE(MID($A262,5,3)),BASE_Pot!$A$2:$B$321,2,FALSE),"0.000"),"")</f>
        <v/>
      </c>
      <c r="I262" s="11" t="str">
        <f>IF($B262&lt;&gt;"",TEXT(1-manut_MP($B262,I$1,I$2)/VLOOKUP(VALUE(MID($A262,5,3)),BASE_Pot!$A$2:$B$321,2,FALSE),"0.000"),"")</f>
        <v/>
      </c>
      <c r="J262" t="str">
        <f>""</f>
        <v/>
      </c>
      <c r="L262" t="str">
        <f t="shared" si="10"/>
        <v>&amp;.................................</v>
      </c>
    </row>
    <row r="263" spans="1:12" x14ac:dyDescent="0.25">
      <c r="A263" t="s">
        <v>421</v>
      </c>
      <c r="B263" t="str">
        <f t="shared" si="11"/>
        <v/>
      </c>
      <c r="C263" s="11" t="str">
        <f>IF($B263&lt;&gt;"",TEXT(1-manut_MP($B263,C$1,C$2)/VLOOKUP(VALUE(MID($A263,5,3)),BASE_Pot!$A$2:$B$321,2,FALSE),"0.000"),"")</f>
        <v/>
      </c>
      <c r="D263" s="11" t="str">
        <f>IF($B263&lt;&gt;"",TEXT(1-manut_MP($B263,D$1,D$2)/VLOOKUP(VALUE(MID($A263,5,3)),BASE_Pot!$A$2:$B$321,2,FALSE),"0.000"),"")</f>
        <v/>
      </c>
      <c r="E263" s="11" t="str">
        <f>IF($B263&lt;&gt;"",TEXT(1-manut_MP($B263,E$1,E$2)/VLOOKUP(VALUE(MID($A263,5,3)),BASE_Pot!$A$2:$B$321,2,FALSE),"0.000"),"")</f>
        <v/>
      </c>
      <c r="F263" s="11" t="str">
        <f>IF($B263&lt;&gt;"",TEXT(1-manut_MP($B263,F$1,F$2)/VLOOKUP(VALUE(MID($A263,5,3)),BASE_Pot!$A$2:$B$321,2,FALSE),"0.000"),"")</f>
        <v/>
      </c>
      <c r="G263" s="11" t="str">
        <f>IF($B263&lt;&gt;"",TEXT(1-manut_MP($B263,G$1,G$2)/VLOOKUP(VALUE(MID($A263,5,3)),BASE_Pot!$A$2:$B$321,2,FALSE),"0.000"),"")</f>
        <v/>
      </c>
      <c r="H263" s="11" t="str">
        <f>IF($B263&lt;&gt;"",TEXT(1-manut_MP($B263,H$1,H$2)/VLOOKUP(VALUE(MID($A263,5,3)),BASE_Pot!$A$2:$B$321,2,FALSE),"0.000"),"")</f>
        <v/>
      </c>
      <c r="I263" s="11" t="str">
        <f>IF($B263&lt;&gt;"",TEXT(1-manut_MP($B263,I$1,I$2)/VLOOKUP(VALUE(MID($A263,5,3)),BASE_Pot!$A$2:$B$321,2,FALSE),"0.000"),"")</f>
        <v/>
      </c>
      <c r="J263" t="str">
        <f>""</f>
        <v/>
      </c>
      <c r="L263" t="str">
        <f t="shared" si="10"/>
        <v>&amp;CACH.DOURADA</v>
      </c>
    </row>
    <row r="264" spans="1:12" x14ac:dyDescent="0.25">
      <c r="A264" t="s">
        <v>597</v>
      </c>
      <c r="B264" t="str">
        <f t="shared" si="11"/>
        <v xml:space="preserve"> 32-H</v>
      </c>
      <c r="C264" s="11" t="str">
        <f>IF($B264&lt;&gt;"",TEXT(1-manut_MP($B264,C$1,C$2)/VLOOKUP(VALUE(MID($A264,5,3)),BASE_Pot!$A$2:$B$321,2,FALSE),"0.000"),"")</f>
        <v>0.822</v>
      </c>
      <c r="D264" s="11" t="str">
        <f>IF($B264&lt;&gt;"",TEXT(1-manut_MP($B264,D$1,D$2)/VLOOKUP(VALUE(MID($A264,5,3)),BASE_Pot!$A$2:$B$321,2,FALSE),"0.000"),"")</f>
        <v>0.918</v>
      </c>
      <c r="E264" s="11" t="str">
        <f>IF($B264&lt;&gt;"",TEXT(1-manut_MP($B264,E$1,E$2)/VLOOKUP(VALUE(MID($A264,5,3)),BASE_Pot!$A$2:$B$321,2,FALSE),"0.000"),"")</f>
        <v>0.918</v>
      </c>
      <c r="F264" s="11" t="str">
        <f>IF($B264&lt;&gt;"",TEXT(1-manut_MP($B264,F$1,F$2)/VLOOKUP(VALUE(MID($A264,5,3)),BASE_Pot!$A$2:$B$321,2,FALSE),"0.000"),"")</f>
        <v>0.918</v>
      </c>
      <c r="G264" s="11" t="str">
        <f>IF($B264&lt;&gt;"",TEXT(1-manut_MP($B264,G$1,G$2)/VLOOKUP(VALUE(MID($A264,5,3)),BASE_Pot!$A$2:$B$321,2,FALSE),"0.000"),"")</f>
        <v>0.918</v>
      </c>
      <c r="H264" s="11" t="str">
        <f>IF($B264&lt;&gt;"",TEXT(1-manut_MP($B264,H$1,H$2)/VLOOKUP(VALUE(MID($A264,5,3)),BASE_Pot!$A$2:$B$321,2,FALSE),"0.000"),"")</f>
        <v>0.988</v>
      </c>
      <c r="I264" s="11" t="str">
        <f>IF($B264&lt;&gt;"",TEXT(1-manut_MP($B264,I$1,I$2)/VLOOKUP(VALUE(MID($A264,5,3)),BASE_Pot!$A$2:$B$321,2,FALSE),"0.000"),"")</f>
        <v>1.000</v>
      </c>
      <c r="J264" t="str">
        <f>""</f>
        <v/>
      </c>
      <c r="L264" t="str">
        <f t="shared" si="10"/>
        <v>MP   32  0.8220.9180.9180.9180.9180.9881.000</v>
      </c>
    </row>
    <row r="265" spans="1:12" x14ac:dyDescent="0.25">
      <c r="A265" t="s">
        <v>304</v>
      </c>
      <c r="B265" t="str">
        <f t="shared" si="11"/>
        <v/>
      </c>
      <c r="C265" s="11" t="str">
        <f>IF($B265&lt;&gt;"",TEXT(1-manut_MP($B265,C$1,C$2)/VLOOKUP(VALUE(MID($A265,5,3)),BASE_Pot!$A$2:$B$321,2,FALSE),"0.000"),"")</f>
        <v/>
      </c>
      <c r="D265" s="11" t="str">
        <f>IF($B265&lt;&gt;"",TEXT(1-manut_MP($B265,D$1,D$2)/VLOOKUP(VALUE(MID($A265,5,3)),BASE_Pot!$A$2:$B$321,2,FALSE),"0.000"),"")</f>
        <v/>
      </c>
      <c r="E265" s="11" t="str">
        <f>IF($B265&lt;&gt;"",TEXT(1-manut_MP($B265,E$1,E$2)/VLOOKUP(VALUE(MID($A265,5,3)),BASE_Pot!$A$2:$B$321,2,FALSE),"0.000"),"")</f>
        <v/>
      </c>
      <c r="F265" s="11" t="str">
        <f>IF($B265&lt;&gt;"",TEXT(1-manut_MP($B265,F$1,F$2)/VLOOKUP(VALUE(MID($A265,5,3)),BASE_Pot!$A$2:$B$321,2,FALSE),"0.000"),"")</f>
        <v/>
      </c>
      <c r="G265" s="11" t="str">
        <f>IF($B265&lt;&gt;"",TEXT(1-manut_MP($B265,G$1,G$2)/VLOOKUP(VALUE(MID($A265,5,3)),BASE_Pot!$A$2:$B$321,2,FALSE),"0.000"),"")</f>
        <v/>
      </c>
      <c r="H265" s="11" t="str">
        <f>IF($B265&lt;&gt;"",TEXT(1-manut_MP($B265,H$1,H$2)/VLOOKUP(VALUE(MID($A265,5,3)),BASE_Pot!$A$2:$B$321,2,FALSE),"0.000"),"")</f>
        <v/>
      </c>
      <c r="I265" s="11" t="str">
        <f>IF($B265&lt;&gt;"",TEXT(1-manut_MP($B265,I$1,I$2)/VLOOKUP(VALUE(MID($A265,5,3)),BASE_Pot!$A$2:$B$321,2,FALSE),"0.000"),"")</f>
        <v/>
      </c>
      <c r="J265" t="str">
        <f>""</f>
        <v/>
      </c>
      <c r="L265" t="str">
        <f t="shared" si="10"/>
        <v>&amp;.................................</v>
      </c>
    </row>
    <row r="266" spans="1:12" x14ac:dyDescent="0.25">
      <c r="A266" t="s">
        <v>422</v>
      </c>
      <c r="B266" t="str">
        <f t="shared" si="11"/>
        <v/>
      </c>
      <c r="C266" s="11" t="str">
        <f>IF($B266&lt;&gt;"",TEXT(1-manut_MP($B266,C$1,C$2)/VLOOKUP(VALUE(MID($A266,5,3)),BASE_Pot!$A$2:$B$321,2,FALSE),"0.000"),"")</f>
        <v/>
      </c>
      <c r="D266" s="11" t="str">
        <f>IF($B266&lt;&gt;"",TEXT(1-manut_MP($B266,D$1,D$2)/VLOOKUP(VALUE(MID($A266,5,3)),BASE_Pot!$A$2:$B$321,2,FALSE),"0.000"),"")</f>
        <v/>
      </c>
      <c r="E266" s="11" t="str">
        <f>IF($B266&lt;&gt;"",TEXT(1-manut_MP($B266,E$1,E$2)/VLOOKUP(VALUE(MID($A266,5,3)),BASE_Pot!$A$2:$B$321,2,FALSE),"0.000"),"")</f>
        <v/>
      </c>
      <c r="F266" s="11" t="str">
        <f>IF($B266&lt;&gt;"",TEXT(1-manut_MP($B266,F$1,F$2)/VLOOKUP(VALUE(MID($A266,5,3)),BASE_Pot!$A$2:$B$321,2,FALSE),"0.000"),"")</f>
        <v/>
      </c>
      <c r="G266" s="11" t="str">
        <f>IF($B266&lt;&gt;"",TEXT(1-manut_MP($B266,G$1,G$2)/VLOOKUP(VALUE(MID($A266,5,3)),BASE_Pot!$A$2:$B$321,2,FALSE),"0.000"),"")</f>
        <v/>
      </c>
      <c r="H266" s="11" t="str">
        <f>IF($B266&lt;&gt;"",TEXT(1-manut_MP($B266,H$1,H$2)/VLOOKUP(VALUE(MID($A266,5,3)),BASE_Pot!$A$2:$B$321,2,FALSE),"0.000"),"")</f>
        <v/>
      </c>
      <c r="I266" s="11" t="str">
        <f>IF($B266&lt;&gt;"",TEXT(1-manut_MP($B266,I$1,I$2)/VLOOKUP(VALUE(MID($A266,5,3)),BASE_Pot!$A$2:$B$321,2,FALSE),"0.000"),"")</f>
        <v/>
      </c>
      <c r="J266" t="str">
        <f>""</f>
        <v/>
      </c>
      <c r="L266" t="str">
        <f t="shared" si="10"/>
        <v>&amp;         INVESTCO</v>
      </c>
    </row>
    <row r="267" spans="1:12" x14ac:dyDescent="0.25">
      <c r="A267" t="s">
        <v>304</v>
      </c>
      <c r="B267" t="str">
        <f t="shared" si="11"/>
        <v/>
      </c>
      <c r="C267" s="11" t="str">
        <f>IF($B267&lt;&gt;"",TEXT(1-manut_MP($B267,C$1,C$2)/VLOOKUP(VALUE(MID($A267,5,3)),BASE_Pot!$A$2:$B$321,2,FALSE),"0.000"),"")</f>
        <v/>
      </c>
      <c r="D267" s="11" t="str">
        <f>IF($B267&lt;&gt;"",TEXT(1-manut_MP($B267,D$1,D$2)/VLOOKUP(VALUE(MID($A267,5,3)),BASE_Pot!$A$2:$B$321,2,FALSE),"0.000"),"")</f>
        <v/>
      </c>
      <c r="E267" s="11" t="str">
        <f>IF($B267&lt;&gt;"",TEXT(1-manut_MP($B267,E$1,E$2)/VLOOKUP(VALUE(MID($A267,5,3)),BASE_Pot!$A$2:$B$321,2,FALSE),"0.000"),"")</f>
        <v/>
      </c>
      <c r="F267" s="11" t="str">
        <f>IF($B267&lt;&gt;"",TEXT(1-manut_MP($B267,F$1,F$2)/VLOOKUP(VALUE(MID($A267,5,3)),BASE_Pot!$A$2:$B$321,2,FALSE),"0.000"),"")</f>
        <v/>
      </c>
      <c r="G267" s="11" t="str">
        <f>IF($B267&lt;&gt;"",TEXT(1-manut_MP($B267,G$1,G$2)/VLOOKUP(VALUE(MID($A267,5,3)),BASE_Pot!$A$2:$B$321,2,FALSE),"0.000"),"")</f>
        <v/>
      </c>
      <c r="H267" s="11" t="str">
        <f>IF($B267&lt;&gt;"",TEXT(1-manut_MP($B267,H$1,H$2)/VLOOKUP(VALUE(MID($A267,5,3)),BASE_Pot!$A$2:$B$321,2,FALSE),"0.000"),"")</f>
        <v/>
      </c>
      <c r="I267" s="11" t="str">
        <f>IF($B267&lt;&gt;"",TEXT(1-manut_MP($B267,I$1,I$2)/VLOOKUP(VALUE(MID($A267,5,3)),BASE_Pot!$A$2:$B$321,2,FALSE),"0.000"),"")</f>
        <v/>
      </c>
      <c r="J267" t="str">
        <f>""</f>
        <v/>
      </c>
      <c r="L267" t="str">
        <f t="shared" si="10"/>
        <v>&amp;.................................</v>
      </c>
    </row>
    <row r="268" spans="1:12" x14ac:dyDescent="0.25">
      <c r="A268" t="s">
        <v>423</v>
      </c>
      <c r="B268" t="str">
        <f t="shared" si="11"/>
        <v/>
      </c>
      <c r="C268" s="11" t="str">
        <f>IF($B268&lt;&gt;"",TEXT(1-manut_MP($B268,C$1,C$2)/VLOOKUP(VALUE(MID($A268,5,3)),BASE_Pot!$A$2:$B$321,2,FALSE),"0.000"),"")</f>
        <v/>
      </c>
      <c r="D268" s="11" t="str">
        <f>IF($B268&lt;&gt;"",TEXT(1-manut_MP($B268,D$1,D$2)/VLOOKUP(VALUE(MID($A268,5,3)),BASE_Pot!$A$2:$B$321,2,FALSE),"0.000"),"")</f>
        <v/>
      </c>
      <c r="E268" s="11" t="str">
        <f>IF($B268&lt;&gt;"",TEXT(1-manut_MP($B268,E$1,E$2)/VLOOKUP(VALUE(MID($A268,5,3)),BASE_Pot!$A$2:$B$321,2,FALSE),"0.000"),"")</f>
        <v/>
      </c>
      <c r="F268" s="11" t="str">
        <f>IF($B268&lt;&gt;"",TEXT(1-manut_MP($B268,F$1,F$2)/VLOOKUP(VALUE(MID($A268,5,3)),BASE_Pot!$A$2:$B$321,2,FALSE),"0.000"),"")</f>
        <v/>
      </c>
      <c r="G268" s="11" t="str">
        <f>IF($B268&lt;&gt;"",TEXT(1-manut_MP($B268,G$1,G$2)/VLOOKUP(VALUE(MID($A268,5,3)),BASE_Pot!$A$2:$B$321,2,FALSE),"0.000"),"")</f>
        <v/>
      </c>
      <c r="H268" s="11" t="str">
        <f>IF($B268&lt;&gt;"",TEXT(1-manut_MP($B268,H$1,H$2)/VLOOKUP(VALUE(MID($A268,5,3)),BASE_Pot!$A$2:$B$321,2,FALSE),"0.000"),"")</f>
        <v/>
      </c>
      <c r="I268" s="11" t="str">
        <f>IF($B268&lt;&gt;"",TEXT(1-manut_MP($B268,I$1,I$2)/VLOOKUP(VALUE(MID($A268,5,3)),BASE_Pot!$A$2:$B$321,2,FALSE),"0.000"),"")</f>
        <v/>
      </c>
      <c r="J268" t="str">
        <f>""</f>
        <v/>
      </c>
      <c r="L268" t="str">
        <f t="shared" si="10"/>
        <v>&amp;LAJEADO</v>
      </c>
    </row>
    <row r="269" spans="1:12" x14ac:dyDescent="0.25">
      <c r="A269" t="s">
        <v>598</v>
      </c>
      <c r="B269" t="str">
        <f t="shared" si="11"/>
        <v>261-H</v>
      </c>
      <c r="C269" s="11" t="str">
        <f>IF($B269&lt;&gt;"",TEXT(1-manut_MP($B269,C$1,C$2)/VLOOKUP(VALUE(MID($A269,5,3)),BASE_Pot!$A$2:$B$321,2,FALSE),"0.000"),"")</f>
        <v>1.000</v>
      </c>
      <c r="D269" s="11" t="str">
        <f>IF($B269&lt;&gt;"",TEXT(1-manut_MP($B269,D$1,D$2)/VLOOKUP(VALUE(MID($A269,5,3)),BASE_Pot!$A$2:$B$321,2,FALSE),"0.000"),"")</f>
        <v>1.000</v>
      </c>
      <c r="E269" s="11" t="str">
        <f>IF($B269&lt;&gt;"",TEXT(1-manut_MP($B269,E$1,E$2)/VLOOKUP(VALUE(MID($A269,5,3)),BASE_Pot!$A$2:$B$321,2,FALSE),"0.000"),"")</f>
        <v>1.000</v>
      </c>
      <c r="F269" s="11" t="str">
        <f>IF($B269&lt;&gt;"",TEXT(1-manut_MP($B269,F$1,F$2)/VLOOKUP(VALUE(MID($A269,5,3)),BASE_Pot!$A$2:$B$321,2,FALSE),"0.000"),"")</f>
        <v>1.000</v>
      </c>
      <c r="G269" s="11" t="str">
        <f>IF($B269&lt;&gt;"",TEXT(1-manut_MP($B269,G$1,G$2)/VLOOKUP(VALUE(MID($A269,5,3)),BASE_Pot!$A$2:$B$321,2,FALSE),"0.000"),"")</f>
        <v>1.000</v>
      </c>
      <c r="H269" s="11" t="str">
        <f>IF($B269&lt;&gt;"",TEXT(1-manut_MP($B269,H$1,H$2)/VLOOKUP(VALUE(MID($A269,5,3)),BASE_Pot!$A$2:$B$321,2,FALSE),"0.000"),"")</f>
        <v>1.000</v>
      </c>
      <c r="I269" s="11" t="str">
        <f>IF($B269&lt;&gt;"",TEXT(1-manut_MP($B269,I$1,I$2)/VLOOKUP(VALUE(MID($A269,5,3)),BASE_Pot!$A$2:$B$321,2,FALSE),"0.000"),"")</f>
        <v>1.000</v>
      </c>
      <c r="J269" t="str">
        <f>""</f>
        <v/>
      </c>
      <c r="L269" t="str">
        <f t="shared" si="10"/>
        <v>MP  261  1.0001.0001.0001.0001.0001.0001.000</v>
      </c>
    </row>
    <row r="270" spans="1:12" x14ac:dyDescent="0.25">
      <c r="A270" t="s">
        <v>304</v>
      </c>
      <c r="B270" t="str">
        <f t="shared" si="11"/>
        <v/>
      </c>
      <c r="C270" s="11" t="str">
        <f>IF($B270&lt;&gt;"",TEXT(1-manut_MP($B270,C$1,C$2)/VLOOKUP(VALUE(MID($A270,5,3)),BASE_Pot!$A$2:$B$321,2,FALSE),"0.000"),"")</f>
        <v/>
      </c>
      <c r="D270" s="11" t="str">
        <f>IF($B270&lt;&gt;"",TEXT(1-manut_MP($B270,D$1,D$2)/VLOOKUP(VALUE(MID($A270,5,3)),BASE_Pot!$A$2:$B$321,2,FALSE),"0.000"),"")</f>
        <v/>
      </c>
      <c r="E270" s="11" t="str">
        <f>IF($B270&lt;&gt;"",TEXT(1-manut_MP($B270,E$1,E$2)/VLOOKUP(VALUE(MID($A270,5,3)),BASE_Pot!$A$2:$B$321,2,FALSE),"0.000"),"")</f>
        <v/>
      </c>
      <c r="F270" s="11" t="str">
        <f>IF($B270&lt;&gt;"",TEXT(1-manut_MP($B270,F$1,F$2)/VLOOKUP(VALUE(MID($A270,5,3)),BASE_Pot!$A$2:$B$321,2,FALSE),"0.000"),"")</f>
        <v/>
      </c>
      <c r="G270" s="11" t="str">
        <f>IF($B270&lt;&gt;"",TEXT(1-manut_MP($B270,G$1,G$2)/VLOOKUP(VALUE(MID($A270,5,3)),BASE_Pot!$A$2:$B$321,2,FALSE),"0.000"),"")</f>
        <v/>
      </c>
      <c r="H270" s="11" t="str">
        <f>IF($B270&lt;&gt;"",TEXT(1-manut_MP($B270,H$1,H$2)/VLOOKUP(VALUE(MID($A270,5,3)),BASE_Pot!$A$2:$B$321,2,FALSE),"0.000"),"")</f>
        <v/>
      </c>
      <c r="I270" s="11" t="str">
        <f>IF($B270&lt;&gt;"",TEXT(1-manut_MP($B270,I$1,I$2)/VLOOKUP(VALUE(MID($A270,5,3)),BASE_Pot!$A$2:$B$321,2,FALSE),"0.000"),"")</f>
        <v/>
      </c>
      <c r="J270" t="str">
        <f>""</f>
        <v/>
      </c>
      <c r="L270" t="str">
        <f t="shared" si="10"/>
        <v>&amp;.................................</v>
      </c>
    </row>
    <row r="271" spans="1:12" x14ac:dyDescent="0.25">
      <c r="A271" t="s">
        <v>424</v>
      </c>
      <c r="B271" t="str">
        <f t="shared" si="11"/>
        <v/>
      </c>
      <c r="C271" s="11" t="str">
        <f>IF($B271&lt;&gt;"",TEXT(1-manut_MP($B271,C$1,C$2)/VLOOKUP(VALUE(MID($A271,5,3)),BASE_Pot!$A$2:$B$321,2,FALSE),"0.000"),"")</f>
        <v/>
      </c>
      <c r="D271" s="11" t="str">
        <f>IF($B271&lt;&gt;"",TEXT(1-manut_MP($B271,D$1,D$2)/VLOOKUP(VALUE(MID($A271,5,3)),BASE_Pot!$A$2:$B$321,2,FALSE),"0.000"),"")</f>
        <v/>
      </c>
      <c r="E271" s="11" t="str">
        <f>IF($B271&lt;&gt;"",TEXT(1-manut_MP($B271,E$1,E$2)/VLOOKUP(VALUE(MID($A271,5,3)),BASE_Pot!$A$2:$B$321,2,FALSE),"0.000"),"")</f>
        <v/>
      </c>
      <c r="F271" s="11" t="str">
        <f>IF($B271&lt;&gt;"",TEXT(1-manut_MP($B271,F$1,F$2)/VLOOKUP(VALUE(MID($A271,5,3)),BASE_Pot!$A$2:$B$321,2,FALSE),"0.000"),"")</f>
        <v/>
      </c>
      <c r="G271" s="11" t="str">
        <f>IF($B271&lt;&gt;"",TEXT(1-manut_MP($B271,G$1,G$2)/VLOOKUP(VALUE(MID($A271,5,3)),BASE_Pot!$A$2:$B$321,2,FALSE),"0.000"),"")</f>
        <v/>
      </c>
      <c r="H271" s="11" t="str">
        <f>IF($B271&lt;&gt;"",TEXT(1-manut_MP($B271,H$1,H$2)/VLOOKUP(VALUE(MID($A271,5,3)),BASE_Pot!$A$2:$B$321,2,FALSE),"0.000"),"")</f>
        <v/>
      </c>
      <c r="I271" s="11" t="str">
        <f>IF($B271&lt;&gt;"",TEXT(1-manut_MP($B271,I$1,I$2)/VLOOKUP(VALUE(MID($A271,5,3)),BASE_Pot!$A$2:$B$321,2,FALSE),"0.000"),"")</f>
        <v/>
      </c>
      <c r="J271" t="str">
        <f>""</f>
        <v/>
      </c>
      <c r="L271" t="str">
        <f t="shared" si="10"/>
        <v>&amp;         CBA</v>
      </c>
    </row>
    <row r="272" spans="1:12" x14ac:dyDescent="0.25">
      <c r="A272" t="s">
        <v>304</v>
      </c>
      <c r="B272" t="str">
        <f t="shared" si="11"/>
        <v/>
      </c>
      <c r="C272" s="11" t="str">
        <f>IF($B272&lt;&gt;"",TEXT(1-manut_MP($B272,C$1,C$2)/VLOOKUP(VALUE(MID($A272,5,3)),BASE_Pot!$A$2:$B$321,2,FALSE),"0.000"),"")</f>
        <v/>
      </c>
      <c r="D272" s="11" t="str">
        <f>IF($B272&lt;&gt;"",TEXT(1-manut_MP($B272,D$1,D$2)/VLOOKUP(VALUE(MID($A272,5,3)),BASE_Pot!$A$2:$B$321,2,FALSE),"0.000"),"")</f>
        <v/>
      </c>
      <c r="E272" s="11" t="str">
        <f>IF($B272&lt;&gt;"",TEXT(1-manut_MP($B272,E$1,E$2)/VLOOKUP(VALUE(MID($A272,5,3)),BASE_Pot!$A$2:$B$321,2,FALSE),"0.000"),"")</f>
        <v/>
      </c>
      <c r="F272" s="11" t="str">
        <f>IF($B272&lt;&gt;"",TEXT(1-manut_MP($B272,F$1,F$2)/VLOOKUP(VALUE(MID($A272,5,3)),BASE_Pot!$A$2:$B$321,2,FALSE),"0.000"),"")</f>
        <v/>
      </c>
      <c r="G272" s="11" t="str">
        <f>IF($B272&lt;&gt;"",TEXT(1-manut_MP($B272,G$1,G$2)/VLOOKUP(VALUE(MID($A272,5,3)),BASE_Pot!$A$2:$B$321,2,FALSE),"0.000"),"")</f>
        <v/>
      </c>
      <c r="H272" s="11" t="str">
        <f>IF($B272&lt;&gt;"",TEXT(1-manut_MP($B272,H$1,H$2)/VLOOKUP(VALUE(MID($A272,5,3)),BASE_Pot!$A$2:$B$321,2,FALSE),"0.000"),"")</f>
        <v/>
      </c>
      <c r="I272" s="11" t="str">
        <f>IF($B272&lt;&gt;"",TEXT(1-manut_MP($B272,I$1,I$2)/VLOOKUP(VALUE(MID($A272,5,3)),BASE_Pot!$A$2:$B$321,2,FALSE),"0.000"),"")</f>
        <v/>
      </c>
      <c r="J272" t="str">
        <f>""</f>
        <v/>
      </c>
      <c r="L272" t="str">
        <f t="shared" si="10"/>
        <v>&amp;.................................</v>
      </c>
    </row>
    <row r="273" spans="1:12" x14ac:dyDescent="0.25">
      <c r="A273" t="s">
        <v>425</v>
      </c>
      <c r="B273" t="str">
        <f t="shared" si="11"/>
        <v/>
      </c>
      <c r="C273" s="11" t="str">
        <f>IF($B273&lt;&gt;"",TEXT(1-manut_MP($B273,C$1,C$2)/VLOOKUP(VALUE(MID($A273,5,3)),BASE_Pot!$A$2:$B$321,2,FALSE),"0.000"),"")</f>
        <v/>
      </c>
      <c r="D273" s="11" t="str">
        <f>IF($B273&lt;&gt;"",TEXT(1-manut_MP($B273,D$1,D$2)/VLOOKUP(VALUE(MID($A273,5,3)),BASE_Pot!$A$2:$B$321,2,FALSE),"0.000"),"")</f>
        <v/>
      </c>
      <c r="E273" s="11" t="str">
        <f>IF($B273&lt;&gt;"",TEXT(1-manut_MP($B273,E$1,E$2)/VLOOKUP(VALUE(MID($A273,5,3)),BASE_Pot!$A$2:$B$321,2,FALSE),"0.000"),"")</f>
        <v/>
      </c>
      <c r="F273" s="11" t="str">
        <f>IF($B273&lt;&gt;"",TEXT(1-manut_MP($B273,F$1,F$2)/VLOOKUP(VALUE(MID($A273,5,3)),BASE_Pot!$A$2:$B$321,2,FALSE),"0.000"),"")</f>
        <v/>
      </c>
      <c r="G273" s="11" t="str">
        <f>IF($B273&lt;&gt;"",TEXT(1-manut_MP($B273,G$1,G$2)/VLOOKUP(VALUE(MID($A273,5,3)),BASE_Pot!$A$2:$B$321,2,FALSE),"0.000"),"")</f>
        <v/>
      </c>
      <c r="H273" s="11" t="str">
        <f>IF($B273&lt;&gt;"",TEXT(1-manut_MP($B273,H$1,H$2)/VLOOKUP(VALUE(MID($A273,5,3)),BASE_Pot!$A$2:$B$321,2,FALSE),"0.000"),"")</f>
        <v/>
      </c>
      <c r="I273" s="11" t="str">
        <f>IF($B273&lt;&gt;"",TEXT(1-manut_MP($B273,I$1,I$2)/VLOOKUP(VALUE(MID($A273,5,3)),BASE_Pot!$A$2:$B$321,2,FALSE),"0.000"),"")</f>
        <v/>
      </c>
      <c r="J273" t="str">
        <f>""</f>
        <v/>
      </c>
      <c r="L273" t="str">
        <f t="shared" si="10"/>
        <v>&amp;PIRAJU</v>
      </c>
    </row>
    <row r="274" spans="1:12" x14ac:dyDescent="0.25">
      <c r="A274" t="s">
        <v>599</v>
      </c>
      <c r="B274" t="str">
        <f t="shared" si="11"/>
        <v xml:space="preserve"> 48-H</v>
      </c>
      <c r="C274" s="11" t="str">
        <f>IF($B274&lt;&gt;"",TEXT(1-manut_MP($B274,C$1,C$2)/VLOOKUP(VALUE(MID($A274,5,3)),BASE_Pot!$A$2:$B$321,2,FALSE),"0.000"),"")</f>
        <v>1.000</v>
      </c>
      <c r="D274" s="11" t="str">
        <f>IF($B274&lt;&gt;"",TEXT(1-manut_MP($B274,D$1,D$2)/VLOOKUP(VALUE(MID($A274,5,3)),BASE_Pot!$A$2:$B$321,2,FALSE),"0.000"),"")</f>
        <v>1.000</v>
      </c>
      <c r="E274" s="11" t="str">
        <f>IF($B274&lt;&gt;"",TEXT(1-manut_MP($B274,E$1,E$2)/VLOOKUP(VALUE(MID($A274,5,3)),BASE_Pot!$A$2:$B$321,2,FALSE),"0.000"),"")</f>
        <v>1.000</v>
      </c>
      <c r="F274" s="11" t="str">
        <f>IF($B274&lt;&gt;"",TEXT(1-manut_MP($B274,F$1,F$2)/VLOOKUP(VALUE(MID($A274,5,3)),BASE_Pot!$A$2:$B$321,2,FALSE),"0.000"),"")</f>
        <v>1.000</v>
      </c>
      <c r="G274" s="11" t="str">
        <f>IF($B274&lt;&gt;"",TEXT(1-manut_MP($B274,G$1,G$2)/VLOOKUP(VALUE(MID($A274,5,3)),BASE_Pot!$A$2:$B$321,2,FALSE),"0.000"),"")</f>
        <v>1.000</v>
      </c>
      <c r="H274" s="11" t="str">
        <f>IF($B274&lt;&gt;"",TEXT(1-manut_MP($B274,H$1,H$2)/VLOOKUP(VALUE(MID($A274,5,3)),BASE_Pot!$A$2:$B$321,2,FALSE),"0.000"),"")</f>
        <v>1.000</v>
      </c>
      <c r="I274" s="11" t="str">
        <f>IF($B274&lt;&gt;"",TEXT(1-manut_MP($B274,I$1,I$2)/VLOOKUP(VALUE(MID($A274,5,3)),BASE_Pot!$A$2:$B$321,2,FALSE),"0.000"),"")</f>
        <v>1.000</v>
      </c>
      <c r="J274" t="str">
        <f>""</f>
        <v/>
      </c>
      <c r="L274" t="str">
        <f t="shared" si="10"/>
        <v>MP   48  1.0001.0001.0001.0001.0001.0001.000</v>
      </c>
    </row>
    <row r="275" spans="1:12" x14ac:dyDescent="0.25">
      <c r="A275" t="s">
        <v>426</v>
      </c>
      <c r="B275" t="str">
        <f t="shared" si="11"/>
        <v/>
      </c>
      <c r="C275" s="11" t="str">
        <f>IF($B275&lt;&gt;"",TEXT(1-manut_MP($B275,C$1,C$2)/VLOOKUP(VALUE(MID($A275,5,3)),BASE_Pot!$A$2:$B$321,2,FALSE),"0.000"),"")</f>
        <v/>
      </c>
      <c r="D275" s="11" t="str">
        <f>IF($B275&lt;&gt;"",TEXT(1-manut_MP($B275,D$1,D$2)/VLOOKUP(VALUE(MID($A275,5,3)),BASE_Pot!$A$2:$B$321,2,FALSE),"0.000"),"")</f>
        <v/>
      </c>
      <c r="E275" s="11" t="str">
        <f>IF($B275&lt;&gt;"",TEXT(1-manut_MP($B275,E$1,E$2)/VLOOKUP(VALUE(MID($A275,5,3)),BASE_Pot!$A$2:$B$321,2,FALSE),"0.000"),"")</f>
        <v/>
      </c>
      <c r="F275" s="11" t="str">
        <f>IF($B275&lt;&gt;"",TEXT(1-manut_MP($B275,F$1,F$2)/VLOOKUP(VALUE(MID($A275,5,3)),BASE_Pot!$A$2:$B$321,2,FALSE),"0.000"),"")</f>
        <v/>
      </c>
      <c r="G275" s="11" t="str">
        <f>IF($B275&lt;&gt;"",TEXT(1-manut_MP($B275,G$1,G$2)/VLOOKUP(VALUE(MID($A275,5,3)),BASE_Pot!$A$2:$B$321,2,FALSE),"0.000"),"")</f>
        <v/>
      </c>
      <c r="H275" s="11" t="str">
        <f>IF($B275&lt;&gt;"",TEXT(1-manut_MP($B275,H$1,H$2)/VLOOKUP(VALUE(MID($A275,5,3)),BASE_Pot!$A$2:$B$321,2,FALSE),"0.000"),"")</f>
        <v/>
      </c>
      <c r="I275" s="11" t="str">
        <f>IF($B275&lt;&gt;"",TEXT(1-manut_MP($B275,I$1,I$2)/VLOOKUP(VALUE(MID($A275,5,3)),BASE_Pot!$A$2:$B$321,2,FALSE),"0.000"),"")</f>
        <v/>
      </c>
      <c r="J275" t="str">
        <f>""</f>
        <v/>
      </c>
      <c r="L275" t="str">
        <f t="shared" ref="L275:L338" si="12">IF(LEFT(A275,1)="&amp;",A275,A275&amp;"  "&amp;LEFT(INDEX($C275:$J275,1,MIN($M$1,8))&amp;INDEX($C275:$J275,1,MIN($M$1+1,8))&amp;INDEX($C275:$J275,1,MIN($M$1+2,8))&amp;INDEX($C275:$J275,1,MIN($M$1+3,8))&amp;INDEX($C275:$J275,1,MIN($M$1+4,8))&amp;INDEX($C275:$J275,1,MIN($M$1+5,8))&amp;INDEX($C275:$J275,1,MIN($M$1+6,8))&amp;INDEX($C275:$J275,1,MIN($M$1+7,8)),5*($P$1-1))&amp;"1.000")</f>
        <v>&amp;SLT VERDINHO</v>
      </c>
    </row>
    <row r="276" spans="1:12" x14ac:dyDescent="0.25">
      <c r="A276" t="s">
        <v>600</v>
      </c>
      <c r="B276" t="str">
        <f t="shared" si="11"/>
        <v>241-H</v>
      </c>
      <c r="C276" s="11" t="str">
        <f>IF($B276&lt;&gt;"",TEXT(1-manut_MP($B276,C$1,C$2)/VLOOKUP(VALUE(MID($A276,5,3)),BASE_Pot!$A$2:$B$321,2,FALSE),"0.000"),"")</f>
        <v>1.000</v>
      </c>
      <c r="D276" s="11" t="str">
        <f>IF($B276&lt;&gt;"",TEXT(1-manut_MP($B276,D$1,D$2)/VLOOKUP(VALUE(MID($A276,5,3)),BASE_Pot!$A$2:$B$321,2,FALSE),"0.000"),"")</f>
        <v>1.000</v>
      </c>
      <c r="E276" s="11" t="str">
        <f>IF($B276&lt;&gt;"",TEXT(1-manut_MP($B276,E$1,E$2)/VLOOKUP(VALUE(MID($A276,5,3)),BASE_Pot!$A$2:$B$321,2,FALSE),"0.000"),"")</f>
        <v>1.000</v>
      </c>
      <c r="F276" s="11" t="str">
        <f>IF($B276&lt;&gt;"",TEXT(1-manut_MP($B276,F$1,F$2)/VLOOKUP(VALUE(MID($A276,5,3)),BASE_Pot!$A$2:$B$321,2,FALSE),"0.000"),"")</f>
        <v>1.000</v>
      </c>
      <c r="G276" s="11" t="str">
        <f>IF($B276&lt;&gt;"",TEXT(1-manut_MP($B276,G$1,G$2)/VLOOKUP(VALUE(MID($A276,5,3)),BASE_Pot!$A$2:$B$321,2,FALSE),"0.000"),"")</f>
        <v>1.000</v>
      </c>
      <c r="H276" s="11" t="str">
        <f>IF($B276&lt;&gt;"",TEXT(1-manut_MP($B276,H$1,H$2)/VLOOKUP(VALUE(MID($A276,5,3)),BASE_Pot!$A$2:$B$321,2,FALSE),"0.000"),"")</f>
        <v>1.000</v>
      </c>
      <c r="I276" s="11" t="str">
        <f>IF($B276&lt;&gt;"",TEXT(1-manut_MP($B276,I$1,I$2)/VLOOKUP(VALUE(MID($A276,5,3)),BASE_Pot!$A$2:$B$321,2,FALSE),"0.000"),"")</f>
        <v>1.000</v>
      </c>
      <c r="J276" t="str">
        <f>""</f>
        <v/>
      </c>
      <c r="L276" t="str">
        <f t="shared" si="12"/>
        <v>MP  241  1.0001.0001.0001.0001.0001.0001.000</v>
      </c>
    </row>
    <row r="277" spans="1:12" x14ac:dyDescent="0.25">
      <c r="A277" t="s">
        <v>427</v>
      </c>
      <c r="B277" t="str">
        <f t="shared" si="11"/>
        <v/>
      </c>
      <c r="C277" s="11" t="str">
        <f>IF($B277&lt;&gt;"",TEXT(1-manut_MP($B277,C$1,C$2)/VLOOKUP(VALUE(MID($A277,5,3)),BASE_Pot!$A$2:$B$321,2,FALSE),"0.000"),"")</f>
        <v/>
      </c>
      <c r="D277" s="11" t="str">
        <f>IF($B277&lt;&gt;"",TEXT(1-manut_MP($B277,D$1,D$2)/VLOOKUP(VALUE(MID($A277,5,3)),BASE_Pot!$A$2:$B$321,2,FALSE),"0.000"),"")</f>
        <v/>
      </c>
      <c r="E277" s="11" t="str">
        <f>IF($B277&lt;&gt;"",TEXT(1-manut_MP($B277,E$1,E$2)/VLOOKUP(VALUE(MID($A277,5,3)),BASE_Pot!$A$2:$B$321,2,FALSE),"0.000"),"")</f>
        <v/>
      </c>
      <c r="F277" s="11" t="str">
        <f>IF($B277&lt;&gt;"",TEXT(1-manut_MP($B277,F$1,F$2)/VLOOKUP(VALUE(MID($A277,5,3)),BASE_Pot!$A$2:$B$321,2,FALSE),"0.000"),"")</f>
        <v/>
      </c>
      <c r="G277" s="11" t="str">
        <f>IF($B277&lt;&gt;"",TEXT(1-manut_MP($B277,G$1,G$2)/VLOOKUP(VALUE(MID($A277,5,3)),BASE_Pot!$A$2:$B$321,2,FALSE),"0.000"),"")</f>
        <v/>
      </c>
      <c r="H277" s="11" t="str">
        <f>IF($B277&lt;&gt;"",TEXT(1-manut_MP($B277,H$1,H$2)/VLOOKUP(VALUE(MID($A277,5,3)),BASE_Pot!$A$2:$B$321,2,FALSE),"0.000"),"")</f>
        <v/>
      </c>
      <c r="I277" s="11" t="str">
        <f>IF($B277&lt;&gt;"",TEXT(1-manut_MP($B277,I$1,I$2)/VLOOKUP(VALUE(MID($A277,5,3)),BASE_Pot!$A$2:$B$321,2,FALSE),"0.000"),"")</f>
        <v/>
      </c>
      <c r="J277" t="str">
        <f>""</f>
        <v/>
      </c>
      <c r="L277" t="str">
        <f t="shared" si="12"/>
        <v>&amp;OURINHOS</v>
      </c>
    </row>
    <row r="278" spans="1:12" x14ac:dyDescent="0.25">
      <c r="A278" t="s">
        <v>601</v>
      </c>
      <c r="B278" t="str">
        <f t="shared" si="11"/>
        <v>249-H</v>
      </c>
      <c r="C278" s="11" t="str">
        <f>IF($B278&lt;&gt;"",TEXT(1-manut_MP($B278,C$1,C$2)/VLOOKUP(VALUE(MID($A278,5,3)),BASE_Pot!$A$2:$B$321,2,FALSE),"0.000"),"")</f>
        <v>1.000</v>
      </c>
      <c r="D278" s="11" t="str">
        <f>IF($B278&lt;&gt;"",TEXT(1-manut_MP($B278,D$1,D$2)/VLOOKUP(VALUE(MID($A278,5,3)),BASE_Pot!$A$2:$B$321,2,FALSE),"0.000"),"")</f>
        <v>1.000</v>
      </c>
      <c r="E278" s="11" t="str">
        <f>IF($B278&lt;&gt;"",TEXT(1-manut_MP($B278,E$1,E$2)/VLOOKUP(VALUE(MID($A278,5,3)),BASE_Pot!$A$2:$B$321,2,FALSE),"0.000"),"")</f>
        <v>1.000</v>
      </c>
      <c r="F278" s="11" t="str">
        <f>IF($B278&lt;&gt;"",TEXT(1-manut_MP($B278,F$1,F$2)/VLOOKUP(VALUE(MID($A278,5,3)),BASE_Pot!$A$2:$B$321,2,FALSE),"0.000"),"")</f>
        <v>1.000</v>
      </c>
      <c r="G278" s="11" t="str">
        <f>IF($B278&lt;&gt;"",TEXT(1-manut_MP($B278,G$1,G$2)/VLOOKUP(VALUE(MID($A278,5,3)),BASE_Pot!$A$2:$B$321,2,FALSE),"0.000"),"")</f>
        <v>1.000</v>
      </c>
      <c r="H278" s="11" t="str">
        <f>IF($B278&lt;&gt;"",TEXT(1-manut_MP($B278,H$1,H$2)/VLOOKUP(VALUE(MID($A278,5,3)),BASE_Pot!$A$2:$B$321,2,FALSE),"0.000"),"")</f>
        <v>1.000</v>
      </c>
      <c r="I278" s="11" t="str">
        <f>IF($B278&lt;&gt;"",TEXT(1-manut_MP($B278,I$1,I$2)/VLOOKUP(VALUE(MID($A278,5,3)),BASE_Pot!$A$2:$B$321,2,FALSE),"0.000"),"")</f>
        <v>1.000</v>
      </c>
      <c r="J278" t="str">
        <f>""</f>
        <v/>
      </c>
      <c r="L278" t="str">
        <f t="shared" si="12"/>
        <v>MP  249  1.0001.0001.0001.0001.0001.0001.000</v>
      </c>
    </row>
    <row r="279" spans="1:12" x14ac:dyDescent="0.25">
      <c r="A279" t="s">
        <v>304</v>
      </c>
      <c r="B279" t="str">
        <f t="shared" si="11"/>
        <v/>
      </c>
      <c r="C279" s="11" t="str">
        <f>IF($B279&lt;&gt;"",TEXT(1-manut_MP($B279,C$1,C$2)/VLOOKUP(VALUE(MID($A279,5,3)),BASE_Pot!$A$2:$B$321,2,FALSE),"0.000"),"")</f>
        <v/>
      </c>
      <c r="D279" s="11" t="str">
        <f>IF($B279&lt;&gt;"",TEXT(1-manut_MP($B279,D$1,D$2)/VLOOKUP(VALUE(MID($A279,5,3)),BASE_Pot!$A$2:$B$321,2,FALSE),"0.000"),"")</f>
        <v/>
      </c>
      <c r="E279" s="11" t="str">
        <f>IF($B279&lt;&gt;"",TEXT(1-manut_MP($B279,E$1,E$2)/VLOOKUP(VALUE(MID($A279,5,3)),BASE_Pot!$A$2:$B$321,2,FALSE),"0.000"),"")</f>
        <v/>
      </c>
      <c r="F279" s="11" t="str">
        <f>IF($B279&lt;&gt;"",TEXT(1-manut_MP($B279,F$1,F$2)/VLOOKUP(VALUE(MID($A279,5,3)),BASE_Pot!$A$2:$B$321,2,FALSE),"0.000"),"")</f>
        <v/>
      </c>
      <c r="G279" s="11" t="str">
        <f>IF($B279&lt;&gt;"",TEXT(1-manut_MP($B279,G$1,G$2)/VLOOKUP(VALUE(MID($A279,5,3)),BASE_Pot!$A$2:$B$321,2,FALSE),"0.000"),"")</f>
        <v/>
      </c>
      <c r="H279" s="11" t="str">
        <f>IF($B279&lt;&gt;"",TEXT(1-manut_MP($B279,H$1,H$2)/VLOOKUP(VALUE(MID($A279,5,3)),BASE_Pot!$A$2:$B$321,2,FALSE),"0.000"),"")</f>
        <v/>
      </c>
      <c r="I279" s="11" t="str">
        <f>IF($B279&lt;&gt;"",TEXT(1-manut_MP($B279,I$1,I$2)/VLOOKUP(VALUE(MID($A279,5,3)),BASE_Pot!$A$2:$B$321,2,FALSE),"0.000"),"")</f>
        <v/>
      </c>
      <c r="J279" t="str">
        <f>""</f>
        <v/>
      </c>
      <c r="L279" t="str">
        <f t="shared" si="12"/>
        <v>&amp;.................................</v>
      </c>
    </row>
    <row r="280" spans="1:12" x14ac:dyDescent="0.25">
      <c r="A280" t="s">
        <v>428</v>
      </c>
      <c r="B280" t="str">
        <f t="shared" si="11"/>
        <v/>
      </c>
      <c r="C280" s="11" t="str">
        <f>IF($B280&lt;&gt;"",TEXT(1-manut_MP($B280,C$1,C$2)/VLOOKUP(VALUE(MID($A280,5,3)),BASE_Pot!$A$2:$B$321,2,FALSE),"0.000"),"")</f>
        <v/>
      </c>
      <c r="D280" s="11" t="str">
        <f>IF($B280&lt;&gt;"",TEXT(1-manut_MP($B280,D$1,D$2)/VLOOKUP(VALUE(MID($A280,5,3)),BASE_Pot!$A$2:$B$321,2,FALSE),"0.000"),"")</f>
        <v/>
      </c>
      <c r="E280" s="11" t="str">
        <f>IF($B280&lt;&gt;"",TEXT(1-manut_MP($B280,E$1,E$2)/VLOOKUP(VALUE(MID($A280,5,3)),BASE_Pot!$A$2:$B$321,2,FALSE),"0.000"),"")</f>
        <v/>
      </c>
      <c r="F280" s="11" t="str">
        <f>IF($B280&lt;&gt;"",TEXT(1-manut_MP($B280,F$1,F$2)/VLOOKUP(VALUE(MID($A280,5,3)),BASE_Pot!$A$2:$B$321,2,FALSE),"0.000"),"")</f>
        <v/>
      </c>
      <c r="G280" s="11" t="str">
        <f>IF($B280&lt;&gt;"",TEXT(1-manut_MP($B280,G$1,G$2)/VLOOKUP(VALUE(MID($A280,5,3)),BASE_Pot!$A$2:$B$321,2,FALSE),"0.000"),"")</f>
        <v/>
      </c>
      <c r="H280" s="11" t="str">
        <f>IF($B280&lt;&gt;"",TEXT(1-manut_MP($B280,H$1,H$2)/VLOOKUP(VALUE(MID($A280,5,3)),BASE_Pot!$A$2:$B$321,2,FALSE),"0.000"),"")</f>
        <v/>
      </c>
      <c r="I280" s="11" t="str">
        <f>IF($B280&lt;&gt;"",TEXT(1-manut_MP($B280,I$1,I$2)/VLOOKUP(VALUE(MID($A280,5,3)),BASE_Pot!$A$2:$B$321,2,FALSE),"0.000"),"")</f>
        <v/>
      </c>
      <c r="J280" t="str">
        <f>""</f>
        <v/>
      </c>
      <c r="L280" t="str">
        <f t="shared" si="12"/>
        <v>&amp;         CEC</v>
      </c>
    </row>
    <row r="281" spans="1:12" x14ac:dyDescent="0.25">
      <c r="A281" t="s">
        <v>304</v>
      </c>
      <c r="B281" t="str">
        <f t="shared" si="11"/>
        <v/>
      </c>
      <c r="C281" s="11" t="str">
        <f>IF($B281&lt;&gt;"",TEXT(1-manut_MP($B281,C$1,C$2)/VLOOKUP(VALUE(MID($A281,5,3)),BASE_Pot!$A$2:$B$321,2,FALSE),"0.000"),"")</f>
        <v/>
      </c>
      <c r="D281" s="11" t="str">
        <f>IF($B281&lt;&gt;"",TEXT(1-manut_MP($B281,D$1,D$2)/VLOOKUP(VALUE(MID($A281,5,3)),BASE_Pot!$A$2:$B$321,2,FALSE),"0.000"),"")</f>
        <v/>
      </c>
      <c r="E281" s="11" t="str">
        <f>IF($B281&lt;&gt;"",TEXT(1-manut_MP($B281,E$1,E$2)/VLOOKUP(VALUE(MID($A281,5,3)),BASE_Pot!$A$2:$B$321,2,FALSE),"0.000"),"")</f>
        <v/>
      </c>
      <c r="F281" s="11" t="str">
        <f>IF($B281&lt;&gt;"",TEXT(1-manut_MP($B281,F$1,F$2)/VLOOKUP(VALUE(MID($A281,5,3)),BASE_Pot!$A$2:$B$321,2,FALSE),"0.000"),"")</f>
        <v/>
      </c>
      <c r="G281" s="11" t="str">
        <f>IF($B281&lt;&gt;"",TEXT(1-manut_MP($B281,G$1,G$2)/VLOOKUP(VALUE(MID($A281,5,3)),BASE_Pot!$A$2:$B$321,2,FALSE),"0.000"),"")</f>
        <v/>
      </c>
      <c r="H281" s="11" t="str">
        <f>IF($B281&lt;&gt;"",TEXT(1-manut_MP($B281,H$1,H$2)/VLOOKUP(VALUE(MID($A281,5,3)),BASE_Pot!$A$2:$B$321,2,FALSE),"0.000"),"")</f>
        <v/>
      </c>
      <c r="I281" s="11" t="str">
        <f>IF($B281&lt;&gt;"",TEXT(1-manut_MP($B281,I$1,I$2)/VLOOKUP(VALUE(MID($A281,5,3)),BASE_Pot!$A$2:$B$321,2,FALSE),"0.000"),"")</f>
        <v/>
      </c>
      <c r="J281" t="str">
        <f>""</f>
        <v/>
      </c>
      <c r="L281" t="str">
        <f t="shared" si="12"/>
        <v>&amp;.................................</v>
      </c>
    </row>
    <row r="282" spans="1:12" x14ac:dyDescent="0.25">
      <c r="A282" t="s">
        <v>429</v>
      </c>
      <c r="B282" t="str">
        <f t="shared" si="11"/>
        <v/>
      </c>
      <c r="C282" s="11" t="str">
        <f>IF($B282&lt;&gt;"",TEXT(1-manut_MP($B282,C$1,C$2)/VLOOKUP(VALUE(MID($A282,5,3)),BASE_Pot!$A$2:$B$321,2,FALSE),"0.000"),"")</f>
        <v/>
      </c>
      <c r="D282" s="11" t="str">
        <f>IF($B282&lt;&gt;"",TEXT(1-manut_MP($B282,D$1,D$2)/VLOOKUP(VALUE(MID($A282,5,3)),BASE_Pot!$A$2:$B$321,2,FALSE),"0.000"),"")</f>
        <v/>
      </c>
      <c r="E282" s="11" t="str">
        <f>IF($B282&lt;&gt;"",TEXT(1-manut_MP($B282,E$1,E$2)/VLOOKUP(VALUE(MID($A282,5,3)),BASE_Pot!$A$2:$B$321,2,FALSE),"0.000"),"")</f>
        <v/>
      </c>
      <c r="F282" s="11" t="str">
        <f>IF($B282&lt;&gt;"",TEXT(1-manut_MP($B282,F$1,F$2)/VLOOKUP(VALUE(MID($A282,5,3)),BASE_Pot!$A$2:$B$321,2,FALSE),"0.000"),"")</f>
        <v/>
      </c>
      <c r="G282" s="11" t="str">
        <f>IF($B282&lt;&gt;"",TEXT(1-manut_MP($B282,G$1,G$2)/VLOOKUP(VALUE(MID($A282,5,3)),BASE_Pot!$A$2:$B$321,2,FALSE),"0.000"),"")</f>
        <v/>
      </c>
      <c r="H282" s="11" t="str">
        <f>IF($B282&lt;&gt;"",TEXT(1-manut_MP($B282,H$1,H$2)/VLOOKUP(VALUE(MID($A282,5,3)),BASE_Pot!$A$2:$B$321,2,FALSE),"0.000"),"")</f>
        <v/>
      </c>
      <c r="I282" s="11" t="str">
        <f>IF($B282&lt;&gt;"",TEXT(1-manut_MP($B282,I$1,I$2)/VLOOKUP(VALUE(MID($A282,5,3)),BASE_Pot!$A$2:$B$321,2,FALSE),"0.000"),"")</f>
        <v/>
      </c>
      <c r="J282" t="str">
        <f>""</f>
        <v/>
      </c>
      <c r="L282" t="str">
        <f t="shared" si="12"/>
        <v>&amp;QUEBRA QUEIX</v>
      </c>
    </row>
    <row r="283" spans="1:12" x14ac:dyDescent="0.25">
      <c r="A283" t="s">
        <v>602</v>
      </c>
      <c r="B283" t="str">
        <f t="shared" si="11"/>
        <v xml:space="preserve"> 95-H</v>
      </c>
      <c r="C283" s="11" t="str">
        <f>IF($B283&lt;&gt;"",TEXT(1-manut_MP($B283,C$1,C$2)/VLOOKUP(VALUE(MID($A283,5,3)),BASE_Pot!$A$2:$B$321,2,FALSE),"0.000"),"")</f>
        <v>0.711</v>
      </c>
      <c r="D283" s="11" t="str">
        <f>IF($B283&lt;&gt;"",TEXT(1-manut_MP($B283,D$1,D$2)/VLOOKUP(VALUE(MID($A283,5,3)),BASE_Pot!$A$2:$B$321,2,FALSE),"0.000"),"")</f>
        <v>1.000</v>
      </c>
      <c r="E283" s="11" t="str">
        <f>IF($B283&lt;&gt;"",TEXT(1-manut_MP($B283,E$1,E$2)/VLOOKUP(VALUE(MID($A283,5,3)),BASE_Pot!$A$2:$B$321,2,FALSE),"0.000"),"")</f>
        <v>1.000</v>
      </c>
      <c r="F283" s="11" t="str">
        <f>IF($B283&lt;&gt;"",TEXT(1-manut_MP($B283,F$1,F$2)/VLOOKUP(VALUE(MID($A283,5,3)),BASE_Pot!$A$2:$B$321,2,FALSE),"0.000"),"")</f>
        <v>1.000</v>
      </c>
      <c r="G283" s="11" t="str">
        <f>IF($B283&lt;&gt;"",TEXT(1-manut_MP($B283,G$1,G$2)/VLOOKUP(VALUE(MID($A283,5,3)),BASE_Pot!$A$2:$B$321,2,FALSE),"0.000"),"")</f>
        <v>1.000</v>
      </c>
      <c r="H283" s="11" t="str">
        <f>IF($B283&lt;&gt;"",TEXT(1-manut_MP($B283,H$1,H$2)/VLOOKUP(VALUE(MID($A283,5,3)),BASE_Pot!$A$2:$B$321,2,FALSE),"0.000"),"")</f>
        <v>1.000</v>
      </c>
      <c r="I283" s="11" t="str">
        <f>IF($B283&lt;&gt;"",TEXT(1-manut_MP($B283,I$1,I$2)/VLOOKUP(VALUE(MID($A283,5,3)),BASE_Pot!$A$2:$B$321,2,FALSE),"0.000"),"")</f>
        <v>1.000</v>
      </c>
      <c r="J283" t="str">
        <f>""</f>
        <v/>
      </c>
      <c r="L283" t="str">
        <f t="shared" si="12"/>
        <v>MP   95  0.7111.0001.0001.0001.0001.0001.000</v>
      </c>
    </row>
    <row r="284" spans="1:12" x14ac:dyDescent="0.25">
      <c r="A284" t="s">
        <v>304</v>
      </c>
      <c r="B284" t="str">
        <f t="shared" si="11"/>
        <v/>
      </c>
      <c r="C284" s="11" t="str">
        <f>IF($B284&lt;&gt;"",TEXT(1-manut_MP($B284,C$1,C$2)/VLOOKUP(VALUE(MID($A284,5,3)),BASE_Pot!$A$2:$B$321,2,FALSE),"0.000"),"")</f>
        <v/>
      </c>
      <c r="D284" s="11" t="str">
        <f>IF($B284&lt;&gt;"",TEXT(1-manut_MP($B284,D$1,D$2)/VLOOKUP(VALUE(MID($A284,5,3)),BASE_Pot!$A$2:$B$321,2,FALSE),"0.000"),"")</f>
        <v/>
      </c>
      <c r="E284" s="11" t="str">
        <f>IF($B284&lt;&gt;"",TEXT(1-manut_MP($B284,E$1,E$2)/VLOOKUP(VALUE(MID($A284,5,3)),BASE_Pot!$A$2:$B$321,2,FALSE),"0.000"),"")</f>
        <v/>
      </c>
      <c r="F284" s="11" t="str">
        <f>IF($B284&lt;&gt;"",TEXT(1-manut_MP($B284,F$1,F$2)/VLOOKUP(VALUE(MID($A284,5,3)),BASE_Pot!$A$2:$B$321,2,FALSE),"0.000"),"")</f>
        <v/>
      </c>
      <c r="G284" s="11" t="str">
        <f>IF($B284&lt;&gt;"",TEXT(1-manut_MP($B284,G$1,G$2)/VLOOKUP(VALUE(MID($A284,5,3)),BASE_Pot!$A$2:$B$321,2,FALSE),"0.000"),"")</f>
        <v/>
      </c>
      <c r="H284" s="11" t="str">
        <f>IF($B284&lt;&gt;"",TEXT(1-manut_MP($B284,H$1,H$2)/VLOOKUP(VALUE(MID($A284,5,3)),BASE_Pot!$A$2:$B$321,2,FALSE),"0.000"),"")</f>
        <v/>
      </c>
      <c r="I284" s="11" t="str">
        <f>IF($B284&lt;&gt;"",TEXT(1-manut_MP($B284,I$1,I$2)/VLOOKUP(VALUE(MID($A284,5,3)),BASE_Pot!$A$2:$B$321,2,FALSE),"0.000"),"")</f>
        <v/>
      </c>
      <c r="J284" t="str">
        <f>""</f>
        <v/>
      </c>
      <c r="L284" t="str">
        <f t="shared" si="12"/>
        <v>&amp;.................................</v>
      </c>
    </row>
    <row r="285" spans="1:12" x14ac:dyDescent="0.25">
      <c r="A285" t="s">
        <v>430</v>
      </c>
      <c r="B285" t="str">
        <f t="shared" si="11"/>
        <v/>
      </c>
      <c r="C285" s="11" t="str">
        <f>IF($B285&lt;&gt;"",TEXT(1-manut_MP($B285,C$1,C$2)/VLOOKUP(VALUE(MID($A285,5,3)),BASE_Pot!$A$2:$B$321,2,FALSE),"0.000"),"")</f>
        <v/>
      </c>
      <c r="D285" s="11" t="str">
        <f>IF($B285&lt;&gt;"",TEXT(1-manut_MP($B285,D$1,D$2)/VLOOKUP(VALUE(MID($A285,5,3)),BASE_Pot!$A$2:$B$321,2,FALSE),"0.000"),"")</f>
        <v/>
      </c>
      <c r="E285" s="11" t="str">
        <f>IF($B285&lt;&gt;"",TEXT(1-manut_MP($B285,E$1,E$2)/VLOOKUP(VALUE(MID($A285,5,3)),BASE_Pot!$A$2:$B$321,2,FALSE),"0.000"),"")</f>
        <v/>
      </c>
      <c r="F285" s="11" t="str">
        <f>IF($B285&lt;&gt;"",TEXT(1-manut_MP($B285,F$1,F$2)/VLOOKUP(VALUE(MID($A285,5,3)),BASE_Pot!$A$2:$B$321,2,FALSE),"0.000"),"")</f>
        <v/>
      </c>
      <c r="G285" s="11" t="str">
        <f>IF($B285&lt;&gt;"",TEXT(1-manut_MP($B285,G$1,G$2)/VLOOKUP(VALUE(MID($A285,5,3)),BASE_Pot!$A$2:$B$321,2,FALSE),"0.000"),"")</f>
        <v/>
      </c>
      <c r="H285" s="11" t="str">
        <f>IF($B285&lt;&gt;"",TEXT(1-manut_MP($B285,H$1,H$2)/VLOOKUP(VALUE(MID($A285,5,3)),BASE_Pot!$A$2:$B$321,2,FALSE),"0.000"),"")</f>
        <v/>
      </c>
      <c r="I285" s="11" t="str">
        <f>IF($B285&lt;&gt;"",TEXT(1-manut_MP($B285,I$1,I$2)/VLOOKUP(VALUE(MID($A285,5,3)),BASE_Pot!$A$2:$B$321,2,FALSE),"0.000"),"")</f>
        <v/>
      </c>
      <c r="J285" t="str">
        <f>""</f>
        <v/>
      </c>
      <c r="L285" t="str">
        <f t="shared" si="12"/>
        <v>&amp;         PORTOESTRELA</v>
      </c>
    </row>
    <row r="286" spans="1:12" x14ac:dyDescent="0.25">
      <c r="A286" t="s">
        <v>304</v>
      </c>
      <c r="B286" t="str">
        <f t="shared" si="11"/>
        <v/>
      </c>
      <c r="C286" s="11" t="str">
        <f>IF($B286&lt;&gt;"",TEXT(1-manut_MP($B286,C$1,C$2)/VLOOKUP(VALUE(MID($A286,5,3)),BASE_Pot!$A$2:$B$321,2,FALSE),"0.000"),"")</f>
        <v/>
      </c>
      <c r="D286" s="11" t="str">
        <f>IF($B286&lt;&gt;"",TEXT(1-manut_MP($B286,D$1,D$2)/VLOOKUP(VALUE(MID($A286,5,3)),BASE_Pot!$A$2:$B$321,2,FALSE),"0.000"),"")</f>
        <v/>
      </c>
      <c r="E286" s="11" t="str">
        <f>IF($B286&lt;&gt;"",TEXT(1-manut_MP($B286,E$1,E$2)/VLOOKUP(VALUE(MID($A286,5,3)),BASE_Pot!$A$2:$B$321,2,FALSE),"0.000"),"")</f>
        <v/>
      </c>
      <c r="F286" s="11" t="str">
        <f>IF($B286&lt;&gt;"",TEXT(1-manut_MP($B286,F$1,F$2)/VLOOKUP(VALUE(MID($A286,5,3)),BASE_Pot!$A$2:$B$321,2,FALSE),"0.000"),"")</f>
        <v/>
      </c>
      <c r="G286" s="11" t="str">
        <f>IF($B286&lt;&gt;"",TEXT(1-manut_MP($B286,G$1,G$2)/VLOOKUP(VALUE(MID($A286,5,3)),BASE_Pot!$A$2:$B$321,2,FALSE),"0.000"),"")</f>
        <v/>
      </c>
      <c r="H286" s="11" t="str">
        <f>IF($B286&lt;&gt;"",TEXT(1-manut_MP($B286,H$1,H$2)/VLOOKUP(VALUE(MID($A286,5,3)),BASE_Pot!$A$2:$B$321,2,FALSE),"0.000"),"")</f>
        <v/>
      </c>
      <c r="I286" s="11" t="str">
        <f>IF($B286&lt;&gt;"",TEXT(1-manut_MP($B286,I$1,I$2)/VLOOKUP(VALUE(MID($A286,5,3)),BASE_Pot!$A$2:$B$321,2,FALSE),"0.000"),"")</f>
        <v/>
      </c>
      <c r="J286" t="str">
        <f>""</f>
        <v/>
      </c>
      <c r="L286" t="str">
        <f t="shared" si="12"/>
        <v>&amp;.................................</v>
      </c>
    </row>
    <row r="287" spans="1:12" x14ac:dyDescent="0.25">
      <c r="A287" t="s">
        <v>431</v>
      </c>
      <c r="B287" t="str">
        <f t="shared" si="11"/>
        <v/>
      </c>
      <c r="C287" s="11" t="str">
        <f>IF($B287&lt;&gt;"",TEXT(1-manut_MP($B287,C$1,C$2)/VLOOKUP(VALUE(MID($A287,5,3)),BASE_Pot!$A$2:$B$321,2,FALSE),"0.000"),"")</f>
        <v/>
      </c>
      <c r="D287" s="11" t="str">
        <f>IF($B287&lt;&gt;"",TEXT(1-manut_MP($B287,D$1,D$2)/VLOOKUP(VALUE(MID($A287,5,3)),BASE_Pot!$A$2:$B$321,2,FALSE),"0.000"),"")</f>
        <v/>
      </c>
      <c r="E287" s="11" t="str">
        <f>IF($B287&lt;&gt;"",TEXT(1-manut_MP($B287,E$1,E$2)/VLOOKUP(VALUE(MID($A287,5,3)),BASE_Pot!$A$2:$B$321,2,FALSE),"0.000"),"")</f>
        <v/>
      </c>
      <c r="F287" s="11" t="str">
        <f>IF($B287&lt;&gt;"",TEXT(1-manut_MP($B287,F$1,F$2)/VLOOKUP(VALUE(MID($A287,5,3)),BASE_Pot!$A$2:$B$321,2,FALSE),"0.000"),"")</f>
        <v/>
      </c>
      <c r="G287" s="11" t="str">
        <f>IF($B287&lt;&gt;"",TEXT(1-manut_MP($B287,G$1,G$2)/VLOOKUP(VALUE(MID($A287,5,3)),BASE_Pot!$A$2:$B$321,2,FALSE),"0.000"),"")</f>
        <v/>
      </c>
      <c r="H287" s="11" t="str">
        <f>IF($B287&lt;&gt;"",TEXT(1-manut_MP($B287,H$1,H$2)/VLOOKUP(VALUE(MID($A287,5,3)),BASE_Pot!$A$2:$B$321,2,FALSE),"0.000"),"")</f>
        <v/>
      </c>
      <c r="I287" s="11" t="str">
        <f>IF($B287&lt;&gt;"",TEXT(1-manut_MP($B287,I$1,I$2)/VLOOKUP(VALUE(MID($A287,5,3)),BASE_Pot!$A$2:$B$321,2,FALSE),"0.000"),"")</f>
        <v/>
      </c>
      <c r="J287" t="str">
        <f>""</f>
        <v/>
      </c>
      <c r="L287" t="str">
        <f t="shared" si="12"/>
        <v>&amp;P. ESTRELA</v>
      </c>
    </row>
    <row r="288" spans="1:12" x14ac:dyDescent="0.25">
      <c r="A288" t="s">
        <v>603</v>
      </c>
      <c r="B288" t="str">
        <f t="shared" si="11"/>
        <v>135-H</v>
      </c>
      <c r="C288" s="11" t="str">
        <f>IF($B288&lt;&gt;"",TEXT(1-manut_MP($B288,C$1,C$2)/VLOOKUP(VALUE(MID($A288,5,3)),BASE_Pot!$A$2:$B$321,2,FALSE),"0.000"),"")</f>
        <v>1.000</v>
      </c>
      <c r="D288" s="11" t="str">
        <f>IF($B288&lt;&gt;"",TEXT(1-manut_MP($B288,D$1,D$2)/VLOOKUP(VALUE(MID($A288,5,3)),BASE_Pot!$A$2:$B$321,2,FALSE),"0.000"),"")</f>
        <v>1.000</v>
      </c>
      <c r="E288" s="11" t="str">
        <f>IF($B288&lt;&gt;"",TEXT(1-manut_MP($B288,E$1,E$2)/VLOOKUP(VALUE(MID($A288,5,3)),BASE_Pot!$A$2:$B$321,2,FALSE),"0.000"),"")</f>
        <v>1.000</v>
      </c>
      <c r="F288" s="11" t="str">
        <f>IF($B288&lt;&gt;"",TEXT(1-manut_MP($B288,F$1,F$2)/VLOOKUP(VALUE(MID($A288,5,3)),BASE_Pot!$A$2:$B$321,2,FALSE),"0.000"),"")</f>
        <v>1.000</v>
      </c>
      <c r="G288" s="11" t="str">
        <f>IF($B288&lt;&gt;"",TEXT(1-manut_MP($B288,G$1,G$2)/VLOOKUP(VALUE(MID($A288,5,3)),BASE_Pot!$A$2:$B$321,2,FALSE),"0.000"),"")</f>
        <v>1.000</v>
      </c>
      <c r="H288" s="11" t="str">
        <f>IF($B288&lt;&gt;"",TEXT(1-manut_MP($B288,H$1,H$2)/VLOOKUP(VALUE(MID($A288,5,3)),BASE_Pot!$A$2:$B$321,2,FALSE),"0.000"),"")</f>
        <v>1.000</v>
      </c>
      <c r="I288" s="11" t="str">
        <f>IF($B288&lt;&gt;"",TEXT(1-manut_MP($B288,I$1,I$2)/VLOOKUP(VALUE(MID($A288,5,3)),BASE_Pot!$A$2:$B$321,2,FALSE),"0.000"),"")</f>
        <v>1.000</v>
      </c>
      <c r="J288" t="str">
        <f>""</f>
        <v/>
      </c>
      <c r="L288" t="str">
        <f t="shared" si="12"/>
        <v>MP  135  1.0001.0001.0001.0001.0001.0001.000</v>
      </c>
    </row>
    <row r="289" spans="1:12" x14ac:dyDescent="0.25">
      <c r="A289" t="s">
        <v>304</v>
      </c>
      <c r="B289" t="str">
        <f t="shared" si="11"/>
        <v/>
      </c>
      <c r="C289" s="11" t="str">
        <f>IF($B289&lt;&gt;"",TEXT(1-manut_MP($B289,C$1,C$2)/VLOOKUP(VALUE(MID($A289,5,3)),BASE_Pot!$A$2:$B$321,2,FALSE),"0.000"),"")</f>
        <v/>
      </c>
      <c r="D289" s="11" t="str">
        <f>IF($B289&lt;&gt;"",TEXT(1-manut_MP($B289,D$1,D$2)/VLOOKUP(VALUE(MID($A289,5,3)),BASE_Pot!$A$2:$B$321,2,FALSE),"0.000"),"")</f>
        <v/>
      </c>
      <c r="E289" s="11" t="str">
        <f>IF($B289&lt;&gt;"",TEXT(1-manut_MP($B289,E$1,E$2)/VLOOKUP(VALUE(MID($A289,5,3)),BASE_Pot!$A$2:$B$321,2,FALSE),"0.000"),"")</f>
        <v/>
      </c>
      <c r="F289" s="11" t="str">
        <f>IF($B289&lt;&gt;"",TEXT(1-manut_MP($B289,F$1,F$2)/VLOOKUP(VALUE(MID($A289,5,3)),BASE_Pot!$A$2:$B$321,2,FALSE),"0.000"),"")</f>
        <v/>
      </c>
      <c r="G289" s="11" t="str">
        <f>IF($B289&lt;&gt;"",TEXT(1-manut_MP($B289,G$1,G$2)/VLOOKUP(VALUE(MID($A289,5,3)),BASE_Pot!$A$2:$B$321,2,FALSE),"0.000"),"")</f>
        <v/>
      </c>
      <c r="H289" s="11" t="str">
        <f>IF($B289&lt;&gt;"",TEXT(1-manut_MP($B289,H$1,H$2)/VLOOKUP(VALUE(MID($A289,5,3)),BASE_Pot!$A$2:$B$321,2,FALSE),"0.000"),"")</f>
        <v/>
      </c>
      <c r="I289" s="11" t="str">
        <f>IF($B289&lt;&gt;"",TEXT(1-manut_MP($B289,I$1,I$2)/VLOOKUP(VALUE(MID($A289,5,3)),BASE_Pot!$A$2:$B$321,2,FALSE),"0.000"),"")</f>
        <v/>
      </c>
      <c r="J289" t="str">
        <f>""</f>
        <v/>
      </c>
      <c r="L289" t="str">
        <f t="shared" si="12"/>
        <v>&amp;.................................</v>
      </c>
    </row>
    <row r="290" spans="1:12" x14ac:dyDescent="0.25">
      <c r="A290" t="s">
        <v>432</v>
      </c>
      <c r="B290" t="str">
        <f t="shared" si="11"/>
        <v/>
      </c>
      <c r="C290" s="11" t="str">
        <f>IF($B290&lt;&gt;"",TEXT(1-manut_MP($B290,C$1,C$2)/VLOOKUP(VALUE(MID($A290,5,3)),BASE_Pot!$A$2:$B$321,2,FALSE),"0.000"),"")</f>
        <v/>
      </c>
      <c r="D290" s="11" t="str">
        <f>IF($B290&lt;&gt;"",TEXT(1-manut_MP($B290,D$1,D$2)/VLOOKUP(VALUE(MID($A290,5,3)),BASE_Pot!$A$2:$B$321,2,FALSE),"0.000"),"")</f>
        <v/>
      </c>
      <c r="E290" s="11" t="str">
        <f>IF($B290&lt;&gt;"",TEXT(1-manut_MP($B290,E$1,E$2)/VLOOKUP(VALUE(MID($A290,5,3)),BASE_Pot!$A$2:$B$321,2,FALSE),"0.000"),"")</f>
        <v/>
      </c>
      <c r="F290" s="11" t="str">
        <f>IF($B290&lt;&gt;"",TEXT(1-manut_MP($B290,F$1,F$2)/VLOOKUP(VALUE(MID($A290,5,3)),BASE_Pot!$A$2:$B$321,2,FALSE),"0.000"),"")</f>
        <v/>
      </c>
      <c r="G290" s="11" t="str">
        <f>IF($B290&lt;&gt;"",TEXT(1-manut_MP($B290,G$1,G$2)/VLOOKUP(VALUE(MID($A290,5,3)),BASE_Pot!$A$2:$B$321,2,FALSE),"0.000"),"")</f>
        <v/>
      </c>
      <c r="H290" s="11" t="str">
        <f>IF($B290&lt;&gt;"",TEXT(1-manut_MP($B290,H$1,H$2)/VLOOKUP(VALUE(MID($A290,5,3)),BASE_Pot!$A$2:$B$321,2,FALSE),"0.000"),"")</f>
        <v/>
      </c>
      <c r="I290" s="11" t="str">
        <f>IF($B290&lt;&gt;"",TEXT(1-manut_MP($B290,I$1,I$2)/VLOOKUP(VALUE(MID($A290,5,3)),BASE_Pot!$A$2:$B$321,2,FALSE),"0.000"),"")</f>
        <v/>
      </c>
      <c r="J290" t="str">
        <f>""</f>
        <v/>
      </c>
      <c r="L290" t="str">
        <f t="shared" si="12"/>
        <v>&amp;         ITAPEBI</v>
      </c>
    </row>
    <row r="291" spans="1:12" x14ac:dyDescent="0.25">
      <c r="A291" t="s">
        <v>304</v>
      </c>
      <c r="B291" t="str">
        <f t="shared" si="11"/>
        <v/>
      </c>
      <c r="C291" s="11" t="str">
        <f>IF($B291&lt;&gt;"",TEXT(1-manut_MP($B291,C$1,C$2)/VLOOKUP(VALUE(MID($A291,5,3)),BASE_Pot!$A$2:$B$321,2,FALSE),"0.000"),"")</f>
        <v/>
      </c>
      <c r="D291" s="11" t="str">
        <f>IF($B291&lt;&gt;"",TEXT(1-manut_MP($B291,D$1,D$2)/VLOOKUP(VALUE(MID($A291,5,3)),BASE_Pot!$A$2:$B$321,2,FALSE),"0.000"),"")</f>
        <v/>
      </c>
      <c r="E291" s="11" t="str">
        <f>IF($B291&lt;&gt;"",TEXT(1-manut_MP($B291,E$1,E$2)/VLOOKUP(VALUE(MID($A291,5,3)),BASE_Pot!$A$2:$B$321,2,FALSE),"0.000"),"")</f>
        <v/>
      </c>
      <c r="F291" s="11" t="str">
        <f>IF($B291&lt;&gt;"",TEXT(1-manut_MP($B291,F$1,F$2)/VLOOKUP(VALUE(MID($A291,5,3)),BASE_Pot!$A$2:$B$321,2,FALSE),"0.000"),"")</f>
        <v/>
      </c>
      <c r="G291" s="11" t="str">
        <f>IF($B291&lt;&gt;"",TEXT(1-manut_MP($B291,G$1,G$2)/VLOOKUP(VALUE(MID($A291,5,3)),BASE_Pot!$A$2:$B$321,2,FALSE),"0.000"),"")</f>
        <v/>
      </c>
      <c r="H291" s="11" t="str">
        <f>IF($B291&lt;&gt;"",TEXT(1-manut_MP($B291,H$1,H$2)/VLOOKUP(VALUE(MID($A291,5,3)),BASE_Pot!$A$2:$B$321,2,FALSE),"0.000"),"")</f>
        <v/>
      </c>
      <c r="I291" s="11" t="str">
        <f>IF($B291&lt;&gt;"",TEXT(1-manut_MP($B291,I$1,I$2)/VLOOKUP(VALUE(MID($A291,5,3)),BASE_Pot!$A$2:$B$321,2,FALSE),"0.000"),"")</f>
        <v/>
      </c>
      <c r="J291" t="str">
        <f>""</f>
        <v/>
      </c>
      <c r="L291" t="str">
        <f t="shared" si="12"/>
        <v>&amp;.................................</v>
      </c>
    </row>
    <row r="292" spans="1:12" x14ac:dyDescent="0.25">
      <c r="A292" t="s">
        <v>433</v>
      </c>
      <c r="B292" t="str">
        <f t="shared" si="11"/>
        <v/>
      </c>
      <c r="C292" s="11" t="str">
        <f>IF($B292&lt;&gt;"",TEXT(1-manut_MP($B292,C$1,C$2)/VLOOKUP(VALUE(MID($A292,5,3)),BASE_Pot!$A$2:$B$321,2,FALSE),"0.000"),"")</f>
        <v/>
      </c>
      <c r="D292" s="11" t="str">
        <f>IF($B292&lt;&gt;"",TEXT(1-manut_MP($B292,D$1,D$2)/VLOOKUP(VALUE(MID($A292,5,3)),BASE_Pot!$A$2:$B$321,2,FALSE),"0.000"),"")</f>
        <v/>
      </c>
      <c r="E292" s="11" t="str">
        <f>IF($B292&lt;&gt;"",TEXT(1-manut_MP($B292,E$1,E$2)/VLOOKUP(VALUE(MID($A292,5,3)),BASE_Pot!$A$2:$B$321,2,FALSE),"0.000"),"")</f>
        <v/>
      </c>
      <c r="F292" s="11" t="str">
        <f>IF($B292&lt;&gt;"",TEXT(1-manut_MP($B292,F$1,F$2)/VLOOKUP(VALUE(MID($A292,5,3)),BASE_Pot!$A$2:$B$321,2,FALSE),"0.000"),"")</f>
        <v/>
      </c>
      <c r="G292" s="11" t="str">
        <f>IF($B292&lt;&gt;"",TEXT(1-manut_MP($B292,G$1,G$2)/VLOOKUP(VALUE(MID($A292,5,3)),BASE_Pot!$A$2:$B$321,2,FALSE),"0.000"),"")</f>
        <v/>
      </c>
      <c r="H292" s="11" t="str">
        <f>IF($B292&lt;&gt;"",TEXT(1-manut_MP($B292,H$1,H$2)/VLOOKUP(VALUE(MID($A292,5,3)),BASE_Pot!$A$2:$B$321,2,FALSE),"0.000"),"")</f>
        <v/>
      </c>
      <c r="I292" s="11" t="str">
        <f>IF($B292&lt;&gt;"",TEXT(1-manut_MP($B292,I$1,I$2)/VLOOKUP(VALUE(MID($A292,5,3)),BASE_Pot!$A$2:$B$321,2,FALSE),"0.000"),"")</f>
        <v/>
      </c>
      <c r="J292" t="str">
        <f>""</f>
        <v/>
      </c>
      <c r="L292" t="str">
        <f t="shared" si="12"/>
        <v>&amp;ITAPEBI</v>
      </c>
    </row>
    <row r="293" spans="1:12" x14ac:dyDescent="0.25">
      <c r="A293" t="s">
        <v>604</v>
      </c>
      <c r="B293" t="str">
        <f t="shared" si="11"/>
        <v>154-H</v>
      </c>
      <c r="C293" s="11" t="str">
        <f>IF($B293&lt;&gt;"",TEXT(1-manut_MP($B293,C$1,C$2)/VLOOKUP(VALUE(MID($A293,5,3)),BASE_Pot!$A$2:$B$321,2,FALSE),"0.000"),"")</f>
        <v>1.000</v>
      </c>
      <c r="D293" s="11" t="str">
        <f>IF($B293&lt;&gt;"",TEXT(1-manut_MP($B293,D$1,D$2)/VLOOKUP(VALUE(MID($A293,5,3)),BASE_Pot!$A$2:$B$321,2,FALSE),"0.000"),"")</f>
        <v>1.000</v>
      </c>
      <c r="E293" s="11" t="str">
        <f>IF($B293&lt;&gt;"",TEXT(1-manut_MP($B293,E$1,E$2)/VLOOKUP(VALUE(MID($A293,5,3)),BASE_Pot!$A$2:$B$321,2,FALSE),"0.000"),"")</f>
        <v>1.000</v>
      </c>
      <c r="F293" s="11" t="str">
        <f>IF($B293&lt;&gt;"",TEXT(1-manut_MP($B293,F$1,F$2)/VLOOKUP(VALUE(MID($A293,5,3)),BASE_Pot!$A$2:$B$321,2,FALSE),"0.000"),"")</f>
        <v>1.000</v>
      </c>
      <c r="G293" s="11" t="str">
        <f>IF($B293&lt;&gt;"",TEXT(1-manut_MP($B293,G$1,G$2)/VLOOKUP(VALUE(MID($A293,5,3)),BASE_Pot!$A$2:$B$321,2,FALSE),"0.000"),"")</f>
        <v>1.000</v>
      </c>
      <c r="H293" s="11" t="str">
        <f>IF($B293&lt;&gt;"",TEXT(1-manut_MP($B293,H$1,H$2)/VLOOKUP(VALUE(MID($A293,5,3)),BASE_Pot!$A$2:$B$321,2,FALSE),"0.000"),"")</f>
        <v>1.000</v>
      </c>
      <c r="I293" s="11" t="str">
        <f>IF($B293&lt;&gt;"",TEXT(1-manut_MP($B293,I$1,I$2)/VLOOKUP(VALUE(MID($A293,5,3)),BASE_Pot!$A$2:$B$321,2,FALSE),"0.000"),"")</f>
        <v>1.000</v>
      </c>
      <c r="J293" t="str">
        <f>""</f>
        <v/>
      </c>
      <c r="L293" t="str">
        <f t="shared" si="12"/>
        <v>MP  154  1.0001.0001.0001.0001.0001.0001.000</v>
      </c>
    </row>
    <row r="294" spans="1:12" x14ac:dyDescent="0.25">
      <c r="A294" t="s">
        <v>304</v>
      </c>
      <c r="B294" t="str">
        <f t="shared" si="11"/>
        <v/>
      </c>
      <c r="C294" s="11" t="str">
        <f>IF($B294&lt;&gt;"",TEXT(1-manut_MP($B294,C$1,C$2)/VLOOKUP(VALUE(MID($A294,5,3)),BASE_Pot!$A$2:$B$321,2,FALSE),"0.000"),"")</f>
        <v/>
      </c>
      <c r="D294" s="11" t="str">
        <f>IF($B294&lt;&gt;"",TEXT(1-manut_MP($B294,D$1,D$2)/VLOOKUP(VALUE(MID($A294,5,3)),BASE_Pot!$A$2:$B$321,2,FALSE),"0.000"),"")</f>
        <v/>
      </c>
      <c r="E294" s="11" t="str">
        <f>IF($B294&lt;&gt;"",TEXT(1-manut_MP($B294,E$1,E$2)/VLOOKUP(VALUE(MID($A294,5,3)),BASE_Pot!$A$2:$B$321,2,FALSE),"0.000"),"")</f>
        <v/>
      </c>
      <c r="F294" s="11" t="str">
        <f>IF($B294&lt;&gt;"",TEXT(1-manut_MP($B294,F$1,F$2)/VLOOKUP(VALUE(MID($A294,5,3)),BASE_Pot!$A$2:$B$321,2,FALSE),"0.000"),"")</f>
        <v/>
      </c>
      <c r="G294" s="11" t="str">
        <f>IF($B294&lt;&gt;"",TEXT(1-manut_MP($B294,G$1,G$2)/VLOOKUP(VALUE(MID($A294,5,3)),BASE_Pot!$A$2:$B$321,2,FALSE),"0.000"),"")</f>
        <v/>
      </c>
      <c r="H294" s="11" t="str">
        <f>IF($B294&lt;&gt;"",TEXT(1-manut_MP($B294,H$1,H$2)/VLOOKUP(VALUE(MID($A294,5,3)),BASE_Pot!$A$2:$B$321,2,FALSE),"0.000"),"")</f>
        <v/>
      </c>
      <c r="I294" s="11" t="str">
        <f>IF($B294&lt;&gt;"",TEXT(1-manut_MP($B294,I$1,I$2)/VLOOKUP(VALUE(MID($A294,5,3)),BASE_Pot!$A$2:$B$321,2,FALSE),"0.000"),"")</f>
        <v/>
      </c>
      <c r="J294" t="str">
        <f>""</f>
        <v/>
      </c>
      <c r="L294" t="str">
        <f t="shared" si="12"/>
        <v>&amp;.................................</v>
      </c>
    </row>
    <row r="295" spans="1:12" x14ac:dyDescent="0.25">
      <c r="A295" t="s">
        <v>434</v>
      </c>
      <c r="B295" t="str">
        <f t="shared" si="11"/>
        <v/>
      </c>
      <c r="C295" s="11" t="str">
        <f>IF($B295&lt;&gt;"",TEXT(1-manut_MP($B295,C$1,C$2)/VLOOKUP(VALUE(MID($A295,5,3)),BASE_Pot!$A$2:$B$321,2,FALSE),"0.000"),"")</f>
        <v/>
      </c>
      <c r="D295" s="11" t="str">
        <f>IF($B295&lt;&gt;"",TEXT(1-manut_MP($B295,D$1,D$2)/VLOOKUP(VALUE(MID($A295,5,3)),BASE_Pot!$A$2:$B$321,2,FALSE),"0.000"),"")</f>
        <v/>
      </c>
      <c r="E295" s="11" t="str">
        <f>IF($B295&lt;&gt;"",TEXT(1-manut_MP($B295,E$1,E$2)/VLOOKUP(VALUE(MID($A295,5,3)),BASE_Pot!$A$2:$B$321,2,FALSE),"0.000"),"")</f>
        <v/>
      </c>
      <c r="F295" s="11" t="str">
        <f>IF($B295&lt;&gt;"",TEXT(1-manut_MP($B295,F$1,F$2)/VLOOKUP(VALUE(MID($A295,5,3)),BASE_Pot!$A$2:$B$321,2,FALSE),"0.000"),"")</f>
        <v/>
      </c>
      <c r="G295" s="11" t="str">
        <f>IF($B295&lt;&gt;"",TEXT(1-manut_MP($B295,G$1,G$2)/VLOOKUP(VALUE(MID($A295,5,3)),BASE_Pot!$A$2:$B$321,2,FALSE),"0.000"),"")</f>
        <v/>
      </c>
      <c r="H295" s="11" t="str">
        <f>IF($B295&lt;&gt;"",TEXT(1-manut_MP($B295,H$1,H$2)/VLOOKUP(VALUE(MID($A295,5,3)),BASE_Pot!$A$2:$B$321,2,FALSE),"0.000"),"")</f>
        <v/>
      </c>
      <c r="I295" s="11" t="str">
        <f>IF($B295&lt;&gt;"",TEXT(1-manut_MP($B295,I$1,I$2)/VLOOKUP(VALUE(MID($A295,5,3)),BASE_Pot!$A$2:$B$321,2,FALSE),"0.000"),"")</f>
        <v/>
      </c>
      <c r="J295" t="str">
        <f>""</f>
        <v/>
      </c>
      <c r="L295" t="str">
        <f t="shared" si="12"/>
        <v>&amp;         QGE</v>
      </c>
    </row>
    <row r="296" spans="1:12" x14ac:dyDescent="0.25">
      <c r="A296" t="s">
        <v>304</v>
      </c>
      <c r="B296" t="str">
        <f t="shared" si="11"/>
        <v/>
      </c>
      <c r="C296" s="11" t="str">
        <f>IF($B296&lt;&gt;"",TEXT(1-manut_MP($B296,C$1,C$2)/VLOOKUP(VALUE(MID($A296,5,3)),BASE_Pot!$A$2:$B$321,2,FALSE),"0.000"),"")</f>
        <v/>
      </c>
      <c r="D296" s="11" t="str">
        <f>IF($B296&lt;&gt;"",TEXT(1-manut_MP($B296,D$1,D$2)/VLOOKUP(VALUE(MID($A296,5,3)),BASE_Pot!$A$2:$B$321,2,FALSE),"0.000"),"")</f>
        <v/>
      </c>
      <c r="E296" s="11" t="str">
        <f>IF($B296&lt;&gt;"",TEXT(1-manut_MP($B296,E$1,E$2)/VLOOKUP(VALUE(MID($A296,5,3)),BASE_Pot!$A$2:$B$321,2,FALSE),"0.000"),"")</f>
        <v/>
      </c>
      <c r="F296" s="11" t="str">
        <f>IF($B296&lt;&gt;"",TEXT(1-manut_MP($B296,F$1,F$2)/VLOOKUP(VALUE(MID($A296,5,3)),BASE_Pot!$A$2:$B$321,2,FALSE),"0.000"),"")</f>
        <v/>
      </c>
      <c r="G296" s="11" t="str">
        <f>IF($B296&lt;&gt;"",TEXT(1-manut_MP($B296,G$1,G$2)/VLOOKUP(VALUE(MID($A296,5,3)),BASE_Pot!$A$2:$B$321,2,FALSE),"0.000"),"")</f>
        <v/>
      </c>
      <c r="H296" s="11" t="str">
        <f>IF($B296&lt;&gt;"",TEXT(1-manut_MP($B296,H$1,H$2)/VLOOKUP(VALUE(MID($A296,5,3)),BASE_Pot!$A$2:$B$321,2,FALSE),"0.000"),"")</f>
        <v/>
      </c>
      <c r="I296" s="11" t="str">
        <f>IF($B296&lt;&gt;"",TEXT(1-manut_MP($B296,I$1,I$2)/VLOOKUP(VALUE(MID($A296,5,3)),BASE_Pot!$A$2:$B$321,2,FALSE),"0.000"),"")</f>
        <v/>
      </c>
      <c r="J296" t="str">
        <f>""</f>
        <v/>
      </c>
      <c r="L296" t="str">
        <f t="shared" si="12"/>
        <v>&amp;.................................</v>
      </c>
    </row>
    <row r="297" spans="1:12" x14ac:dyDescent="0.25">
      <c r="A297" t="s">
        <v>435</v>
      </c>
      <c r="B297" t="str">
        <f t="shared" si="11"/>
        <v/>
      </c>
      <c r="C297" s="11" t="str">
        <f>IF($B297&lt;&gt;"",TEXT(1-manut_MP($B297,C$1,C$2)/VLOOKUP(VALUE(MID($A297,5,3)),BASE_Pot!$A$2:$B$321,2,FALSE),"0.000"),"")</f>
        <v/>
      </c>
      <c r="D297" s="11" t="str">
        <f>IF($B297&lt;&gt;"",TEXT(1-manut_MP($B297,D$1,D$2)/VLOOKUP(VALUE(MID($A297,5,3)),BASE_Pot!$A$2:$B$321,2,FALSE),"0.000"),"")</f>
        <v/>
      </c>
      <c r="E297" s="11" t="str">
        <f>IF($B297&lt;&gt;"",TEXT(1-manut_MP($B297,E$1,E$2)/VLOOKUP(VALUE(MID($A297,5,3)),BASE_Pot!$A$2:$B$321,2,FALSE),"0.000"),"")</f>
        <v/>
      </c>
      <c r="F297" s="11" t="str">
        <f>IF($B297&lt;&gt;"",TEXT(1-manut_MP($B297,F$1,F$2)/VLOOKUP(VALUE(MID($A297,5,3)),BASE_Pot!$A$2:$B$321,2,FALSE),"0.000"),"")</f>
        <v/>
      </c>
      <c r="G297" s="11" t="str">
        <f>IF($B297&lt;&gt;"",TEXT(1-manut_MP($B297,G$1,G$2)/VLOOKUP(VALUE(MID($A297,5,3)),BASE_Pot!$A$2:$B$321,2,FALSE),"0.000"),"")</f>
        <v/>
      </c>
      <c r="H297" s="11" t="str">
        <f>IF($B297&lt;&gt;"",TEXT(1-manut_MP($B297,H$1,H$2)/VLOOKUP(VALUE(MID($A297,5,3)),BASE_Pot!$A$2:$B$321,2,FALSE),"0.000"),"")</f>
        <v/>
      </c>
      <c r="I297" s="11" t="str">
        <f>IF($B297&lt;&gt;"",TEXT(1-manut_MP($B297,I$1,I$2)/VLOOKUP(VALUE(MID($A297,5,3)),BASE_Pot!$A$2:$B$321,2,FALSE),"0.000"),"")</f>
        <v/>
      </c>
      <c r="J297" t="str">
        <f>""</f>
        <v/>
      </c>
      <c r="L297" t="str">
        <f t="shared" si="12"/>
        <v>&amp;JAURU</v>
      </c>
    </row>
    <row r="298" spans="1:12" x14ac:dyDescent="0.25">
      <c r="A298" t="s">
        <v>605</v>
      </c>
      <c r="B298" t="str">
        <f t="shared" si="11"/>
        <v>195-H</v>
      </c>
      <c r="C298" s="11" t="str">
        <f>IF($B298&lt;&gt;"",TEXT(1-manut_MP($B298,C$1,C$2)/VLOOKUP(VALUE(MID($A298,5,3)),BASE_Pot!$A$2:$B$321,2,FALSE),"0.000"),"")</f>
        <v>1.000</v>
      </c>
      <c r="D298" s="11" t="str">
        <f>IF($B298&lt;&gt;"",TEXT(1-manut_MP($B298,D$1,D$2)/VLOOKUP(VALUE(MID($A298,5,3)),BASE_Pot!$A$2:$B$321,2,FALSE),"0.000"),"")</f>
        <v>1.000</v>
      </c>
      <c r="E298" s="11" t="str">
        <f>IF($B298&lt;&gt;"",TEXT(1-manut_MP($B298,E$1,E$2)/VLOOKUP(VALUE(MID($A298,5,3)),BASE_Pot!$A$2:$B$321,2,FALSE),"0.000"),"")</f>
        <v>1.000</v>
      </c>
      <c r="F298" s="11" t="str">
        <f>IF($B298&lt;&gt;"",TEXT(1-manut_MP($B298,F$1,F$2)/VLOOKUP(VALUE(MID($A298,5,3)),BASE_Pot!$A$2:$B$321,2,FALSE),"0.000"),"")</f>
        <v>1.000</v>
      </c>
      <c r="G298" s="11" t="str">
        <f>IF($B298&lt;&gt;"",TEXT(1-manut_MP($B298,G$1,G$2)/VLOOKUP(VALUE(MID($A298,5,3)),BASE_Pot!$A$2:$B$321,2,FALSE),"0.000"),"")</f>
        <v>1.000</v>
      </c>
      <c r="H298" s="11" t="str">
        <f>IF($B298&lt;&gt;"",TEXT(1-manut_MP($B298,H$1,H$2)/VLOOKUP(VALUE(MID($A298,5,3)),BASE_Pot!$A$2:$B$321,2,FALSE),"0.000"),"")</f>
        <v>1.000</v>
      </c>
      <c r="I298" s="11" t="str">
        <f>IF($B298&lt;&gt;"",TEXT(1-manut_MP($B298,I$1,I$2)/VLOOKUP(VALUE(MID($A298,5,3)),BASE_Pot!$A$2:$B$321,2,FALSE),"0.000"),"")</f>
        <v>1.000</v>
      </c>
      <c r="J298" t="str">
        <f>""</f>
        <v/>
      </c>
      <c r="L298" t="str">
        <f t="shared" si="12"/>
        <v>MP  195  1.0001.0001.0001.0001.0001.0001.000</v>
      </c>
    </row>
    <row r="299" spans="1:12" x14ac:dyDescent="0.25">
      <c r="A299" t="s">
        <v>304</v>
      </c>
      <c r="B299" t="str">
        <f t="shared" si="11"/>
        <v/>
      </c>
      <c r="C299" s="11" t="str">
        <f>IF($B299&lt;&gt;"",TEXT(1-manut_MP($B299,C$1,C$2)/VLOOKUP(VALUE(MID($A299,5,3)),BASE_Pot!$A$2:$B$321,2,FALSE),"0.000"),"")</f>
        <v/>
      </c>
      <c r="D299" s="11" t="str">
        <f>IF($B299&lt;&gt;"",TEXT(1-manut_MP($B299,D$1,D$2)/VLOOKUP(VALUE(MID($A299,5,3)),BASE_Pot!$A$2:$B$321,2,FALSE),"0.000"),"")</f>
        <v/>
      </c>
      <c r="E299" s="11" t="str">
        <f>IF($B299&lt;&gt;"",TEXT(1-manut_MP($B299,E$1,E$2)/VLOOKUP(VALUE(MID($A299,5,3)),BASE_Pot!$A$2:$B$321,2,FALSE),"0.000"),"")</f>
        <v/>
      </c>
      <c r="F299" s="11" t="str">
        <f>IF($B299&lt;&gt;"",TEXT(1-manut_MP($B299,F$1,F$2)/VLOOKUP(VALUE(MID($A299,5,3)),BASE_Pot!$A$2:$B$321,2,FALSE),"0.000"),"")</f>
        <v/>
      </c>
      <c r="G299" s="11" t="str">
        <f>IF($B299&lt;&gt;"",TEXT(1-manut_MP($B299,G$1,G$2)/VLOOKUP(VALUE(MID($A299,5,3)),BASE_Pot!$A$2:$B$321,2,FALSE),"0.000"),"")</f>
        <v/>
      </c>
      <c r="H299" s="11" t="str">
        <f>IF($B299&lt;&gt;"",TEXT(1-manut_MP($B299,H$1,H$2)/VLOOKUP(VALUE(MID($A299,5,3)),BASE_Pot!$A$2:$B$321,2,FALSE),"0.000"),"")</f>
        <v/>
      </c>
      <c r="I299" s="11" t="str">
        <f>IF($B299&lt;&gt;"",TEXT(1-manut_MP($B299,I$1,I$2)/VLOOKUP(VALUE(MID($A299,5,3)),BASE_Pot!$A$2:$B$321,2,FALSE),"0.000"),"")</f>
        <v/>
      </c>
      <c r="J299" t="str">
        <f>""</f>
        <v/>
      </c>
      <c r="L299" t="str">
        <f t="shared" si="12"/>
        <v>&amp;.................................</v>
      </c>
    </row>
    <row r="300" spans="1:12" x14ac:dyDescent="0.25">
      <c r="A300" t="s">
        <v>436</v>
      </c>
      <c r="B300" t="str">
        <f t="shared" si="11"/>
        <v/>
      </c>
      <c r="C300" s="11" t="str">
        <f>IF($B300&lt;&gt;"",TEXT(1-manut_MP($B300,C$1,C$2)/VLOOKUP(VALUE(MID($A300,5,3)),BASE_Pot!$A$2:$B$321,2,FALSE),"0.000"),"")</f>
        <v/>
      </c>
      <c r="D300" s="11" t="str">
        <f>IF($B300&lt;&gt;"",TEXT(1-manut_MP($B300,D$1,D$2)/VLOOKUP(VALUE(MID($A300,5,3)),BASE_Pot!$A$2:$B$321,2,FALSE),"0.000"),"")</f>
        <v/>
      </c>
      <c r="E300" s="11" t="str">
        <f>IF($B300&lt;&gt;"",TEXT(1-manut_MP($B300,E$1,E$2)/VLOOKUP(VALUE(MID($A300,5,3)),BASE_Pot!$A$2:$B$321,2,FALSE),"0.000"),"")</f>
        <v/>
      </c>
      <c r="F300" s="11" t="str">
        <f>IF($B300&lt;&gt;"",TEXT(1-manut_MP($B300,F$1,F$2)/VLOOKUP(VALUE(MID($A300,5,3)),BASE_Pot!$A$2:$B$321,2,FALSE),"0.000"),"")</f>
        <v/>
      </c>
      <c r="G300" s="11" t="str">
        <f>IF($B300&lt;&gt;"",TEXT(1-manut_MP($B300,G$1,G$2)/VLOOKUP(VALUE(MID($A300,5,3)),BASE_Pot!$A$2:$B$321,2,FALSE),"0.000"),"")</f>
        <v/>
      </c>
      <c r="H300" s="11" t="str">
        <f>IF($B300&lt;&gt;"",TEXT(1-manut_MP($B300,H$1,H$2)/VLOOKUP(VALUE(MID($A300,5,3)),BASE_Pot!$A$2:$B$321,2,FALSE),"0.000"),"")</f>
        <v/>
      </c>
      <c r="I300" s="11" t="str">
        <f>IF($B300&lt;&gt;"",TEXT(1-manut_MP($B300,I$1,I$2)/VLOOKUP(VALUE(MID($A300,5,3)),BASE_Pot!$A$2:$B$321,2,FALSE),"0.000"),"")</f>
        <v/>
      </c>
      <c r="J300" t="str">
        <f>""</f>
        <v/>
      </c>
      <c r="L300" t="str">
        <f t="shared" si="12"/>
        <v>&amp;         TANGARA</v>
      </c>
    </row>
    <row r="301" spans="1:12" x14ac:dyDescent="0.25">
      <c r="A301" t="s">
        <v>304</v>
      </c>
      <c r="B301" t="str">
        <f t="shared" si="11"/>
        <v/>
      </c>
      <c r="C301" s="11" t="str">
        <f>IF($B301&lt;&gt;"",TEXT(1-manut_MP($B301,C$1,C$2)/VLOOKUP(VALUE(MID($A301,5,3)),BASE_Pot!$A$2:$B$321,2,FALSE),"0.000"),"")</f>
        <v/>
      </c>
      <c r="D301" s="11" t="str">
        <f>IF($B301&lt;&gt;"",TEXT(1-manut_MP($B301,D$1,D$2)/VLOOKUP(VALUE(MID($A301,5,3)),BASE_Pot!$A$2:$B$321,2,FALSE),"0.000"),"")</f>
        <v/>
      </c>
      <c r="E301" s="11" t="str">
        <f>IF($B301&lt;&gt;"",TEXT(1-manut_MP($B301,E$1,E$2)/VLOOKUP(VALUE(MID($A301,5,3)),BASE_Pot!$A$2:$B$321,2,FALSE),"0.000"),"")</f>
        <v/>
      </c>
      <c r="F301" s="11" t="str">
        <f>IF($B301&lt;&gt;"",TEXT(1-manut_MP($B301,F$1,F$2)/VLOOKUP(VALUE(MID($A301,5,3)),BASE_Pot!$A$2:$B$321,2,FALSE),"0.000"),"")</f>
        <v/>
      </c>
      <c r="G301" s="11" t="str">
        <f>IF($B301&lt;&gt;"",TEXT(1-manut_MP($B301,G$1,G$2)/VLOOKUP(VALUE(MID($A301,5,3)),BASE_Pot!$A$2:$B$321,2,FALSE),"0.000"),"")</f>
        <v/>
      </c>
      <c r="H301" s="11" t="str">
        <f>IF($B301&lt;&gt;"",TEXT(1-manut_MP($B301,H$1,H$2)/VLOOKUP(VALUE(MID($A301,5,3)),BASE_Pot!$A$2:$B$321,2,FALSE),"0.000"),"")</f>
        <v/>
      </c>
      <c r="I301" s="11" t="str">
        <f>IF($B301&lt;&gt;"",TEXT(1-manut_MP($B301,I$1,I$2)/VLOOKUP(VALUE(MID($A301,5,3)),BASE_Pot!$A$2:$B$321,2,FALSE),"0.000"),"")</f>
        <v/>
      </c>
      <c r="J301" t="str">
        <f>""</f>
        <v/>
      </c>
      <c r="L301" t="str">
        <f t="shared" si="12"/>
        <v>&amp;.................................</v>
      </c>
    </row>
    <row r="302" spans="1:12" x14ac:dyDescent="0.25">
      <c r="A302" t="s">
        <v>437</v>
      </c>
      <c r="B302" t="str">
        <f t="shared" si="11"/>
        <v/>
      </c>
      <c r="C302" s="11" t="str">
        <f>IF($B302&lt;&gt;"",TEXT(1-manut_MP($B302,C$1,C$2)/VLOOKUP(VALUE(MID($A302,5,3)),BASE_Pot!$A$2:$B$321,2,FALSE),"0.000"),"")</f>
        <v/>
      </c>
      <c r="D302" s="11" t="str">
        <f>IF($B302&lt;&gt;"",TEXT(1-manut_MP($B302,D$1,D$2)/VLOOKUP(VALUE(MID($A302,5,3)),BASE_Pot!$A$2:$B$321,2,FALSE),"0.000"),"")</f>
        <v/>
      </c>
      <c r="E302" s="11" t="str">
        <f>IF($B302&lt;&gt;"",TEXT(1-manut_MP($B302,E$1,E$2)/VLOOKUP(VALUE(MID($A302,5,3)),BASE_Pot!$A$2:$B$321,2,FALSE),"0.000"),"")</f>
        <v/>
      </c>
      <c r="F302" s="11" t="str">
        <f>IF($B302&lt;&gt;"",TEXT(1-manut_MP($B302,F$1,F$2)/VLOOKUP(VALUE(MID($A302,5,3)),BASE_Pot!$A$2:$B$321,2,FALSE),"0.000"),"")</f>
        <v/>
      </c>
      <c r="G302" s="11" t="str">
        <f>IF($B302&lt;&gt;"",TEXT(1-manut_MP($B302,G$1,G$2)/VLOOKUP(VALUE(MID($A302,5,3)),BASE_Pot!$A$2:$B$321,2,FALSE),"0.000"),"")</f>
        <v/>
      </c>
      <c r="H302" s="11" t="str">
        <f>IF($B302&lt;&gt;"",TEXT(1-manut_MP($B302,H$1,H$2)/VLOOKUP(VALUE(MID($A302,5,3)),BASE_Pot!$A$2:$B$321,2,FALSE),"0.000"),"")</f>
        <v/>
      </c>
      <c r="I302" s="11" t="str">
        <f>IF($B302&lt;&gt;"",TEXT(1-manut_MP($B302,I$1,I$2)/VLOOKUP(VALUE(MID($A302,5,3)),BASE_Pot!$A$2:$B$321,2,FALSE),"0.000"),"")</f>
        <v/>
      </c>
      <c r="J302" t="str">
        <f>""</f>
        <v/>
      </c>
      <c r="L302" t="str">
        <f t="shared" si="12"/>
        <v>&amp;GUAPORE</v>
      </c>
    </row>
    <row r="303" spans="1:12" x14ac:dyDescent="0.25">
      <c r="A303" t="s">
        <v>606</v>
      </c>
      <c r="B303" t="str">
        <f t="shared" si="11"/>
        <v>196-H</v>
      </c>
      <c r="C303" s="11" t="str">
        <f>IF($B303&lt;&gt;"",TEXT(1-manut_MP($B303,C$1,C$2)/VLOOKUP(VALUE(MID($A303,5,3)),BASE_Pot!$A$2:$B$321,2,FALSE),"0.000"),"")</f>
        <v>1.000</v>
      </c>
      <c r="D303" s="11" t="str">
        <f>IF($B303&lt;&gt;"",TEXT(1-manut_MP($B303,D$1,D$2)/VLOOKUP(VALUE(MID($A303,5,3)),BASE_Pot!$A$2:$B$321,2,FALSE),"0.000"),"")</f>
        <v>1.000</v>
      </c>
      <c r="E303" s="11" t="str">
        <f>IF($B303&lt;&gt;"",TEXT(1-manut_MP($B303,E$1,E$2)/VLOOKUP(VALUE(MID($A303,5,3)),BASE_Pot!$A$2:$B$321,2,FALSE),"0.000"),"")</f>
        <v>1.000</v>
      </c>
      <c r="F303" s="11" t="str">
        <f>IF($B303&lt;&gt;"",TEXT(1-manut_MP($B303,F$1,F$2)/VLOOKUP(VALUE(MID($A303,5,3)),BASE_Pot!$A$2:$B$321,2,FALSE),"0.000"),"")</f>
        <v>1.000</v>
      </c>
      <c r="G303" s="11" t="str">
        <f>IF($B303&lt;&gt;"",TEXT(1-manut_MP($B303,G$1,G$2)/VLOOKUP(VALUE(MID($A303,5,3)),BASE_Pot!$A$2:$B$321,2,FALSE),"0.000"),"")</f>
        <v>1.000</v>
      </c>
      <c r="H303" s="11" t="str">
        <f>IF($B303&lt;&gt;"",TEXT(1-manut_MP($B303,H$1,H$2)/VLOOKUP(VALUE(MID($A303,5,3)),BASE_Pot!$A$2:$B$321,2,FALSE),"0.000"),"")</f>
        <v>1.000</v>
      </c>
      <c r="I303" s="11" t="str">
        <f>IF($B303&lt;&gt;"",TEXT(1-manut_MP($B303,I$1,I$2)/VLOOKUP(VALUE(MID($A303,5,3)),BASE_Pot!$A$2:$B$321,2,FALSE),"0.000"),"")</f>
        <v>1.000</v>
      </c>
      <c r="J303" t="str">
        <f>""</f>
        <v/>
      </c>
      <c r="L303" t="str">
        <f t="shared" si="12"/>
        <v>MP  196  1.0001.0001.0001.0001.0001.0001.000</v>
      </c>
    </row>
    <row r="304" spans="1:12" x14ac:dyDescent="0.25">
      <c r="A304" t="s">
        <v>304</v>
      </c>
      <c r="B304" t="str">
        <f t="shared" si="11"/>
        <v/>
      </c>
      <c r="C304" s="11" t="str">
        <f>IF($B304&lt;&gt;"",TEXT(1-manut_MP($B304,C$1,C$2)/VLOOKUP(VALUE(MID($A304,5,3)),BASE_Pot!$A$2:$B$321,2,FALSE),"0.000"),"")</f>
        <v/>
      </c>
      <c r="D304" s="11" t="str">
        <f>IF($B304&lt;&gt;"",TEXT(1-manut_MP($B304,D$1,D$2)/VLOOKUP(VALUE(MID($A304,5,3)),BASE_Pot!$A$2:$B$321,2,FALSE),"0.000"),"")</f>
        <v/>
      </c>
      <c r="E304" s="11" t="str">
        <f>IF($B304&lt;&gt;"",TEXT(1-manut_MP($B304,E$1,E$2)/VLOOKUP(VALUE(MID($A304,5,3)),BASE_Pot!$A$2:$B$321,2,FALSE),"0.000"),"")</f>
        <v/>
      </c>
      <c r="F304" s="11" t="str">
        <f>IF($B304&lt;&gt;"",TEXT(1-manut_MP($B304,F$1,F$2)/VLOOKUP(VALUE(MID($A304,5,3)),BASE_Pot!$A$2:$B$321,2,FALSE),"0.000"),"")</f>
        <v/>
      </c>
      <c r="G304" s="11" t="str">
        <f>IF($B304&lt;&gt;"",TEXT(1-manut_MP($B304,G$1,G$2)/VLOOKUP(VALUE(MID($A304,5,3)),BASE_Pot!$A$2:$B$321,2,FALSE),"0.000"),"")</f>
        <v/>
      </c>
      <c r="H304" s="11" t="str">
        <f>IF($B304&lt;&gt;"",TEXT(1-manut_MP($B304,H$1,H$2)/VLOOKUP(VALUE(MID($A304,5,3)),BASE_Pot!$A$2:$B$321,2,FALSE),"0.000"),"")</f>
        <v/>
      </c>
      <c r="I304" s="11" t="str">
        <f>IF($B304&lt;&gt;"",TEXT(1-manut_MP($B304,I$1,I$2)/VLOOKUP(VALUE(MID($A304,5,3)),BASE_Pot!$A$2:$B$321,2,FALSE),"0.000"),"")</f>
        <v/>
      </c>
      <c r="J304" t="str">
        <f>""</f>
        <v/>
      </c>
      <c r="L304" t="str">
        <f t="shared" si="12"/>
        <v>&amp;.................................</v>
      </c>
    </row>
    <row r="305" spans="1:12" x14ac:dyDescent="0.25">
      <c r="A305" t="s">
        <v>438</v>
      </c>
      <c r="B305" t="str">
        <f t="shared" si="11"/>
        <v/>
      </c>
      <c r="C305" s="11" t="str">
        <f>IF($B305&lt;&gt;"",TEXT(1-manut_MP($B305,C$1,C$2)/VLOOKUP(VALUE(MID($A305,5,3)),BASE_Pot!$A$2:$B$321,2,FALSE),"0.000"),"")</f>
        <v/>
      </c>
      <c r="D305" s="11" t="str">
        <f>IF($B305&lt;&gt;"",TEXT(1-manut_MP($B305,D$1,D$2)/VLOOKUP(VALUE(MID($A305,5,3)),BASE_Pot!$A$2:$B$321,2,FALSE),"0.000"),"")</f>
        <v/>
      </c>
      <c r="E305" s="11" t="str">
        <f>IF($B305&lt;&gt;"",TEXT(1-manut_MP($B305,E$1,E$2)/VLOOKUP(VALUE(MID($A305,5,3)),BASE_Pot!$A$2:$B$321,2,FALSE),"0.000"),"")</f>
        <v/>
      </c>
      <c r="F305" s="11" t="str">
        <f>IF($B305&lt;&gt;"",TEXT(1-manut_MP($B305,F$1,F$2)/VLOOKUP(VALUE(MID($A305,5,3)),BASE_Pot!$A$2:$B$321,2,FALSE),"0.000"),"")</f>
        <v/>
      </c>
      <c r="G305" s="11" t="str">
        <f>IF($B305&lt;&gt;"",TEXT(1-manut_MP($B305,G$1,G$2)/VLOOKUP(VALUE(MID($A305,5,3)),BASE_Pot!$A$2:$B$321,2,FALSE),"0.000"),"")</f>
        <v/>
      </c>
      <c r="H305" s="11" t="str">
        <f>IF($B305&lt;&gt;"",TEXT(1-manut_MP($B305,H$1,H$2)/VLOOKUP(VALUE(MID($A305,5,3)),BASE_Pot!$A$2:$B$321,2,FALSE),"0.000"),"")</f>
        <v/>
      </c>
      <c r="I305" s="11" t="str">
        <f>IF($B305&lt;&gt;"",TEXT(1-manut_MP($B305,I$1,I$2)/VLOOKUP(VALUE(MID($A305,5,3)),BASE_Pot!$A$2:$B$321,2,FALSE),"0.000"),"")</f>
        <v/>
      </c>
      <c r="J305" t="str">
        <f>""</f>
        <v/>
      </c>
      <c r="L305" t="str">
        <f t="shared" si="12"/>
        <v>&amp;         GEASF</v>
      </c>
    </row>
    <row r="306" spans="1:12" x14ac:dyDescent="0.25">
      <c r="A306" t="s">
        <v>304</v>
      </c>
      <c r="B306" t="str">
        <f t="shared" si="11"/>
        <v/>
      </c>
      <c r="C306" s="11" t="str">
        <f>IF($B306&lt;&gt;"",TEXT(1-manut_MP($B306,C$1,C$2)/VLOOKUP(VALUE(MID($A306,5,3)),BASE_Pot!$A$2:$B$321,2,FALSE),"0.000"),"")</f>
        <v/>
      </c>
      <c r="D306" s="11" t="str">
        <f>IF($B306&lt;&gt;"",TEXT(1-manut_MP($B306,D$1,D$2)/VLOOKUP(VALUE(MID($A306,5,3)),BASE_Pot!$A$2:$B$321,2,FALSE),"0.000"),"")</f>
        <v/>
      </c>
      <c r="E306" s="11" t="str">
        <f>IF($B306&lt;&gt;"",TEXT(1-manut_MP($B306,E$1,E$2)/VLOOKUP(VALUE(MID($A306,5,3)),BASE_Pot!$A$2:$B$321,2,FALSE),"0.000"),"")</f>
        <v/>
      </c>
      <c r="F306" s="11" t="str">
        <f>IF($B306&lt;&gt;"",TEXT(1-manut_MP($B306,F$1,F$2)/VLOOKUP(VALUE(MID($A306,5,3)),BASE_Pot!$A$2:$B$321,2,FALSE),"0.000"),"")</f>
        <v/>
      </c>
      <c r="G306" s="11" t="str">
        <f>IF($B306&lt;&gt;"",TEXT(1-manut_MP($B306,G$1,G$2)/VLOOKUP(VALUE(MID($A306,5,3)),BASE_Pot!$A$2:$B$321,2,FALSE),"0.000"),"")</f>
        <v/>
      </c>
      <c r="H306" s="11" t="str">
        <f>IF($B306&lt;&gt;"",TEXT(1-manut_MP($B306,H$1,H$2)/VLOOKUP(VALUE(MID($A306,5,3)),BASE_Pot!$A$2:$B$321,2,FALSE),"0.000"),"")</f>
        <v/>
      </c>
      <c r="I306" s="11" t="str">
        <f>IF($B306&lt;&gt;"",TEXT(1-manut_MP($B306,I$1,I$2)/VLOOKUP(VALUE(MID($A306,5,3)),BASE_Pot!$A$2:$B$321,2,FALSE),"0.000"),"")</f>
        <v/>
      </c>
      <c r="J306" t="str">
        <f>""</f>
        <v/>
      </c>
      <c r="L306" t="str">
        <f t="shared" si="12"/>
        <v>&amp;.................................</v>
      </c>
    </row>
    <row r="307" spans="1:12" x14ac:dyDescent="0.25">
      <c r="A307" t="s">
        <v>439</v>
      </c>
      <c r="B307" t="str">
        <f t="shared" si="11"/>
        <v/>
      </c>
      <c r="C307" s="11" t="str">
        <f>IF($B307&lt;&gt;"",TEXT(1-manut_MP($B307,C$1,C$2)/VLOOKUP(VALUE(MID($A307,5,3)),BASE_Pot!$A$2:$B$321,2,FALSE),"0.000"),"")</f>
        <v/>
      </c>
      <c r="D307" s="11" t="str">
        <f>IF($B307&lt;&gt;"",TEXT(1-manut_MP($B307,D$1,D$2)/VLOOKUP(VALUE(MID($A307,5,3)),BASE_Pot!$A$2:$B$321,2,FALSE),"0.000"),"")</f>
        <v/>
      </c>
      <c r="E307" s="11" t="str">
        <f>IF($B307&lt;&gt;"",TEXT(1-manut_MP($B307,E$1,E$2)/VLOOKUP(VALUE(MID($A307,5,3)),BASE_Pot!$A$2:$B$321,2,FALSE),"0.000"),"")</f>
        <v/>
      </c>
      <c r="F307" s="11" t="str">
        <f>IF($B307&lt;&gt;"",TEXT(1-manut_MP($B307,F$1,F$2)/VLOOKUP(VALUE(MID($A307,5,3)),BASE_Pot!$A$2:$B$321,2,FALSE),"0.000"),"")</f>
        <v/>
      </c>
      <c r="G307" s="11" t="str">
        <f>IF($B307&lt;&gt;"",TEXT(1-manut_MP($B307,G$1,G$2)/VLOOKUP(VALUE(MID($A307,5,3)),BASE_Pot!$A$2:$B$321,2,FALSE),"0.000"),"")</f>
        <v/>
      </c>
      <c r="H307" s="11" t="str">
        <f>IF($B307&lt;&gt;"",TEXT(1-manut_MP($B307,H$1,H$2)/VLOOKUP(VALUE(MID($A307,5,3)),BASE_Pot!$A$2:$B$321,2,FALSE),"0.000"),"")</f>
        <v/>
      </c>
      <c r="I307" s="11" t="str">
        <f>IF($B307&lt;&gt;"",TEXT(1-manut_MP($B307,I$1,I$2)/VLOOKUP(VALUE(MID($A307,5,3)),BASE_Pot!$A$2:$B$321,2,FALSE),"0.000"),"")</f>
        <v/>
      </c>
      <c r="J307" t="str">
        <f>""</f>
        <v/>
      </c>
      <c r="L307" t="str">
        <f t="shared" si="12"/>
        <v>&amp;SERRA FACAO</v>
      </c>
    </row>
    <row r="308" spans="1:12" x14ac:dyDescent="0.25">
      <c r="A308" t="s">
        <v>607</v>
      </c>
      <c r="B308" t="str">
        <f t="shared" si="11"/>
        <v xml:space="preserve"> 21-H</v>
      </c>
      <c r="C308" s="11" t="str">
        <f>IF($B308&lt;&gt;"",TEXT(1-manut_MP($B308,C$1,C$2)/VLOOKUP(VALUE(MID($A308,5,3)),BASE_Pot!$A$2:$B$321,2,FALSE),"0.000"),"")</f>
        <v>1.000</v>
      </c>
      <c r="D308" s="11" t="str">
        <f>IF($B308&lt;&gt;"",TEXT(1-manut_MP($B308,D$1,D$2)/VLOOKUP(VALUE(MID($A308,5,3)),BASE_Pot!$A$2:$B$321,2,FALSE),"0.000"),"")</f>
        <v>1.000</v>
      </c>
      <c r="E308" s="11" t="str">
        <f>IF($B308&lt;&gt;"",TEXT(1-manut_MP($B308,E$1,E$2)/VLOOKUP(VALUE(MID($A308,5,3)),BASE_Pot!$A$2:$B$321,2,FALSE),"0.000"),"")</f>
        <v>1.000</v>
      </c>
      <c r="F308" s="11" t="str">
        <f>IF($B308&lt;&gt;"",TEXT(1-manut_MP($B308,F$1,F$2)/VLOOKUP(VALUE(MID($A308,5,3)),BASE_Pot!$A$2:$B$321,2,FALSE),"0.000"),"")</f>
        <v>1.000</v>
      </c>
      <c r="G308" s="11" t="str">
        <f>IF($B308&lt;&gt;"",TEXT(1-manut_MP($B308,G$1,G$2)/VLOOKUP(VALUE(MID($A308,5,3)),BASE_Pot!$A$2:$B$321,2,FALSE),"0.000"),"")</f>
        <v>1.000</v>
      </c>
      <c r="H308" s="11" t="str">
        <f>IF($B308&lt;&gt;"",TEXT(1-manut_MP($B308,H$1,H$2)/VLOOKUP(VALUE(MID($A308,5,3)),BASE_Pot!$A$2:$B$321,2,FALSE),"0.000"),"")</f>
        <v>1.000</v>
      </c>
      <c r="I308" s="11" t="str">
        <f>IF($B308&lt;&gt;"",TEXT(1-manut_MP($B308,I$1,I$2)/VLOOKUP(VALUE(MID($A308,5,3)),BASE_Pot!$A$2:$B$321,2,FALSE),"0.000"),"")</f>
        <v>1.000</v>
      </c>
      <c r="J308" t="str">
        <f>""</f>
        <v/>
      </c>
      <c r="L308" t="str">
        <f t="shared" si="12"/>
        <v>MP   21  1.0001.0001.0001.0001.0001.0001.000</v>
      </c>
    </row>
    <row r="309" spans="1:12" x14ac:dyDescent="0.25">
      <c r="A309" t="s">
        <v>304</v>
      </c>
      <c r="B309" t="str">
        <f t="shared" si="11"/>
        <v/>
      </c>
      <c r="C309" s="11" t="str">
        <f>IF($B309&lt;&gt;"",TEXT(1-manut_MP($B309,C$1,C$2)/VLOOKUP(VALUE(MID($A309,5,3)),BASE_Pot!$A$2:$B$321,2,FALSE),"0.000"),"")</f>
        <v/>
      </c>
      <c r="D309" s="11" t="str">
        <f>IF($B309&lt;&gt;"",TEXT(1-manut_MP($B309,D$1,D$2)/VLOOKUP(VALUE(MID($A309,5,3)),BASE_Pot!$A$2:$B$321,2,FALSE),"0.000"),"")</f>
        <v/>
      </c>
      <c r="E309" s="11" t="str">
        <f>IF($B309&lt;&gt;"",TEXT(1-manut_MP($B309,E$1,E$2)/VLOOKUP(VALUE(MID($A309,5,3)),BASE_Pot!$A$2:$B$321,2,FALSE),"0.000"),"")</f>
        <v/>
      </c>
      <c r="F309" s="11" t="str">
        <f>IF($B309&lt;&gt;"",TEXT(1-manut_MP($B309,F$1,F$2)/VLOOKUP(VALUE(MID($A309,5,3)),BASE_Pot!$A$2:$B$321,2,FALSE),"0.000"),"")</f>
        <v/>
      </c>
      <c r="G309" s="11" t="str">
        <f>IF($B309&lt;&gt;"",TEXT(1-manut_MP($B309,G$1,G$2)/VLOOKUP(VALUE(MID($A309,5,3)),BASE_Pot!$A$2:$B$321,2,FALSE),"0.000"),"")</f>
        <v/>
      </c>
      <c r="H309" s="11" t="str">
        <f>IF($B309&lt;&gt;"",TEXT(1-manut_MP($B309,H$1,H$2)/VLOOKUP(VALUE(MID($A309,5,3)),BASE_Pot!$A$2:$B$321,2,FALSE),"0.000"),"")</f>
        <v/>
      </c>
      <c r="I309" s="11" t="str">
        <f>IF($B309&lt;&gt;"",TEXT(1-manut_MP($B309,I$1,I$2)/VLOOKUP(VALUE(MID($A309,5,3)),BASE_Pot!$A$2:$B$321,2,FALSE),"0.000"),"")</f>
        <v/>
      </c>
      <c r="J309" t="str">
        <f>""</f>
        <v/>
      </c>
      <c r="L309" t="str">
        <f t="shared" si="12"/>
        <v>&amp;.................................</v>
      </c>
    </row>
    <row r="310" spans="1:12" x14ac:dyDescent="0.25">
      <c r="A310" t="s">
        <v>440</v>
      </c>
      <c r="B310" t="str">
        <f t="shared" si="11"/>
        <v/>
      </c>
      <c r="C310" s="11" t="str">
        <f>IF($B310&lt;&gt;"",TEXT(1-manut_MP($B310,C$1,C$2)/VLOOKUP(VALUE(MID($A310,5,3)),BASE_Pot!$A$2:$B$321,2,FALSE),"0.000"),"")</f>
        <v/>
      </c>
      <c r="D310" s="11" t="str">
        <f>IF($B310&lt;&gt;"",TEXT(1-manut_MP($B310,D$1,D$2)/VLOOKUP(VALUE(MID($A310,5,3)),BASE_Pot!$A$2:$B$321,2,FALSE),"0.000"),"")</f>
        <v/>
      </c>
      <c r="E310" s="11" t="str">
        <f>IF($B310&lt;&gt;"",TEXT(1-manut_MP($B310,E$1,E$2)/VLOOKUP(VALUE(MID($A310,5,3)),BASE_Pot!$A$2:$B$321,2,FALSE),"0.000"),"")</f>
        <v/>
      </c>
      <c r="F310" s="11" t="str">
        <f>IF($B310&lt;&gt;"",TEXT(1-manut_MP($B310,F$1,F$2)/VLOOKUP(VALUE(MID($A310,5,3)),BASE_Pot!$A$2:$B$321,2,FALSE),"0.000"),"")</f>
        <v/>
      </c>
      <c r="G310" s="11" t="str">
        <f>IF($B310&lt;&gt;"",TEXT(1-manut_MP($B310,G$1,G$2)/VLOOKUP(VALUE(MID($A310,5,3)),BASE_Pot!$A$2:$B$321,2,FALSE),"0.000"),"")</f>
        <v/>
      </c>
      <c r="H310" s="11" t="str">
        <f>IF($B310&lt;&gt;"",TEXT(1-manut_MP($B310,H$1,H$2)/VLOOKUP(VALUE(MID($A310,5,3)),BASE_Pot!$A$2:$B$321,2,FALSE),"0.000"),"")</f>
        <v/>
      </c>
      <c r="I310" s="11" t="str">
        <f>IF($B310&lt;&gt;"",TEXT(1-manut_MP($B310,I$1,I$2)/VLOOKUP(VALUE(MID($A310,5,3)),BASE_Pot!$A$2:$B$321,2,FALSE),"0.000"),"")</f>
        <v/>
      </c>
      <c r="J310" t="str">
        <f>""</f>
        <v/>
      </c>
      <c r="L310" t="str">
        <f t="shared" si="12"/>
        <v>&amp;         MONJOLINHO</v>
      </c>
    </row>
    <row r="311" spans="1:12" x14ac:dyDescent="0.25">
      <c r="A311" t="s">
        <v>304</v>
      </c>
      <c r="B311" t="str">
        <f t="shared" si="11"/>
        <v/>
      </c>
      <c r="C311" s="11" t="str">
        <f>IF($B311&lt;&gt;"",TEXT(1-manut_MP($B311,C$1,C$2)/VLOOKUP(VALUE(MID($A311,5,3)),BASE_Pot!$A$2:$B$321,2,FALSE),"0.000"),"")</f>
        <v/>
      </c>
      <c r="D311" s="11" t="str">
        <f>IF($B311&lt;&gt;"",TEXT(1-manut_MP($B311,D$1,D$2)/VLOOKUP(VALUE(MID($A311,5,3)),BASE_Pot!$A$2:$B$321,2,FALSE),"0.000"),"")</f>
        <v/>
      </c>
      <c r="E311" s="11" t="str">
        <f>IF($B311&lt;&gt;"",TEXT(1-manut_MP($B311,E$1,E$2)/VLOOKUP(VALUE(MID($A311,5,3)),BASE_Pot!$A$2:$B$321,2,FALSE),"0.000"),"")</f>
        <v/>
      </c>
      <c r="F311" s="11" t="str">
        <f>IF($B311&lt;&gt;"",TEXT(1-manut_MP($B311,F$1,F$2)/VLOOKUP(VALUE(MID($A311,5,3)),BASE_Pot!$A$2:$B$321,2,FALSE),"0.000"),"")</f>
        <v/>
      </c>
      <c r="G311" s="11" t="str">
        <f>IF($B311&lt;&gt;"",TEXT(1-manut_MP($B311,G$1,G$2)/VLOOKUP(VALUE(MID($A311,5,3)),BASE_Pot!$A$2:$B$321,2,FALSE),"0.000"),"")</f>
        <v/>
      </c>
      <c r="H311" s="11" t="str">
        <f>IF($B311&lt;&gt;"",TEXT(1-manut_MP($B311,H$1,H$2)/VLOOKUP(VALUE(MID($A311,5,3)),BASE_Pot!$A$2:$B$321,2,FALSE),"0.000"),"")</f>
        <v/>
      </c>
      <c r="I311" s="11" t="str">
        <f>IF($B311&lt;&gt;"",TEXT(1-manut_MP($B311,I$1,I$2)/VLOOKUP(VALUE(MID($A311,5,3)),BASE_Pot!$A$2:$B$321,2,FALSE),"0.000"),"")</f>
        <v/>
      </c>
      <c r="J311" t="str">
        <f>""</f>
        <v/>
      </c>
      <c r="L311" t="str">
        <f t="shared" si="12"/>
        <v>&amp;.................................</v>
      </c>
    </row>
    <row r="312" spans="1:12" x14ac:dyDescent="0.25">
      <c r="A312" t="s">
        <v>441</v>
      </c>
      <c r="B312" t="str">
        <f t="shared" si="11"/>
        <v/>
      </c>
      <c r="C312" s="11" t="str">
        <f>IF($B312&lt;&gt;"",TEXT(1-manut_MP($B312,C$1,C$2)/VLOOKUP(VALUE(MID($A312,5,3)),BASE_Pot!$A$2:$B$321,2,FALSE),"0.000"),"")</f>
        <v/>
      </c>
      <c r="D312" s="11" t="str">
        <f>IF($B312&lt;&gt;"",TEXT(1-manut_MP($B312,D$1,D$2)/VLOOKUP(VALUE(MID($A312,5,3)),BASE_Pot!$A$2:$B$321,2,FALSE),"0.000"),"")</f>
        <v/>
      </c>
      <c r="E312" s="11" t="str">
        <f>IF($B312&lt;&gt;"",TEXT(1-manut_MP($B312,E$1,E$2)/VLOOKUP(VALUE(MID($A312,5,3)),BASE_Pot!$A$2:$B$321,2,FALSE),"0.000"),"")</f>
        <v/>
      </c>
      <c r="F312" s="11" t="str">
        <f>IF($B312&lt;&gt;"",TEXT(1-manut_MP($B312,F$1,F$2)/VLOOKUP(VALUE(MID($A312,5,3)),BASE_Pot!$A$2:$B$321,2,FALSE),"0.000"),"")</f>
        <v/>
      </c>
      <c r="G312" s="11" t="str">
        <f>IF($B312&lt;&gt;"",TEXT(1-manut_MP($B312,G$1,G$2)/VLOOKUP(VALUE(MID($A312,5,3)),BASE_Pot!$A$2:$B$321,2,FALSE),"0.000"),"")</f>
        <v/>
      </c>
      <c r="H312" s="11" t="str">
        <f>IF($B312&lt;&gt;"",TEXT(1-manut_MP($B312,H$1,H$2)/VLOOKUP(VALUE(MID($A312,5,3)),BASE_Pot!$A$2:$B$321,2,FALSE),"0.000"),"")</f>
        <v/>
      </c>
      <c r="I312" s="11" t="str">
        <f>IF($B312&lt;&gt;"",TEXT(1-manut_MP($B312,I$1,I$2)/VLOOKUP(VALUE(MID($A312,5,3)),BASE_Pot!$A$2:$B$321,2,FALSE),"0.000"),"")</f>
        <v/>
      </c>
      <c r="J312" t="str">
        <f>""</f>
        <v/>
      </c>
      <c r="L312" t="str">
        <f t="shared" si="12"/>
        <v>&amp;MONJOLINHO</v>
      </c>
    </row>
    <row r="313" spans="1:12" x14ac:dyDescent="0.25">
      <c r="A313" t="s">
        <v>608</v>
      </c>
      <c r="B313" t="str">
        <f t="shared" si="11"/>
        <v xml:space="preserve"> 94-H</v>
      </c>
      <c r="C313" s="11" t="str">
        <f>IF($B313&lt;&gt;"",TEXT(1-manut_MP($B313,C$1,C$2)/VLOOKUP(VALUE(MID($A313,5,3)),BASE_Pot!$A$2:$B$321,2,FALSE),"0.000"),"")</f>
        <v>1.000</v>
      </c>
      <c r="D313" s="11" t="str">
        <f>IF($B313&lt;&gt;"",TEXT(1-manut_MP($B313,D$1,D$2)/VLOOKUP(VALUE(MID($A313,5,3)),BASE_Pot!$A$2:$B$321,2,FALSE),"0.000"),"")</f>
        <v>1.000</v>
      </c>
      <c r="E313" s="11" t="str">
        <f>IF($B313&lt;&gt;"",TEXT(1-manut_MP($B313,E$1,E$2)/VLOOKUP(VALUE(MID($A313,5,3)),BASE_Pot!$A$2:$B$321,2,FALSE),"0.000"),"")</f>
        <v>1.000</v>
      </c>
      <c r="F313" s="11" t="str">
        <f>IF($B313&lt;&gt;"",TEXT(1-manut_MP($B313,F$1,F$2)/VLOOKUP(VALUE(MID($A313,5,3)),BASE_Pot!$A$2:$B$321,2,FALSE),"0.000"),"")</f>
        <v>1.000</v>
      </c>
      <c r="G313" s="11" t="str">
        <f>IF($B313&lt;&gt;"",TEXT(1-manut_MP($B313,G$1,G$2)/VLOOKUP(VALUE(MID($A313,5,3)),BASE_Pot!$A$2:$B$321,2,FALSE),"0.000"),"")</f>
        <v>1.000</v>
      </c>
      <c r="H313" s="11" t="str">
        <f>IF($B313&lt;&gt;"",TEXT(1-manut_MP($B313,H$1,H$2)/VLOOKUP(VALUE(MID($A313,5,3)),BASE_Pot!$A$2:$B$321,2,FALSE),"0.000"),"")</f>
        <v>1.000</v>
      </c>
      <c r="I313" s="11" t="str">
        <f>IF($B313&lt;&gt;"",TEXT(1-manut_MP($B313,I$1,I$2)/VLOOKUP(VALUE(MID($A313,5,3)),BASE_Pot!$A$2:$B$321,2,FALSE),"0.000"),"")</f>
        <v>1.000</v>
      </c>
      <c r="J313" t="str">
        <f>""</f>
        <v/>
      </c>
      <c r="L313" t="str">
        <f t="shared" si="12"/>
        <v>MP   94  1.0001.0001.0001.0001.0001.0001.000</v>
      </c>
    </row>
    <row r="314" spans="1:12" x14ac:dyDescent="0.25">
      <c r="A314" t="s">
        <v>304</v>
      </c>
      <c r="B314" t="str">
        <f t="shared" si="11"/>
        <v/>
      </c>
      <c r="C314" s="11" t="str">
        <f>IF($B314&lt;&gt;"",TEXT(1-manut_MP($B314,C$1,C$2)/VLOOKUP(VALUE(MID($A314,5,3)),BASE_Pot!$A$2:$B$321,2,FALSE),"0.000"),"")</f>
        <v/>
      </c>
      <c r="D314" s="11" t="str">
        <f>IF($B314&lt;&gt;"",TEXT(1-manut_MP($B314,D$1,D$2)/VLOOKUP(VALUE(MID($A314,5,3)),BASE_Pot!$A$2:$B$321,2,FALSE),"0.000"),"")</f>
        <v/>
      </c>
      <c r="E314" s="11" t="str">
        <f>IF($B314&lt;&gt;"",TEXT(1-manut_MP($B314,E$1,E$2)/VLOOKUP(VALUE(MID($A314,5,3)),BASE_Pot!$A$2:$B$321,2,FALSE),"0.000"),"")</f>
        <v/>
      </c>
      <c r="F314" s="11" t="str">
        <f>IF($B314&lt;&gt;"",TEXT(1-manut_MP($B314,F$1,F$2)/VLOOKUP(VALUE(MID($A314,5,3)),BASE_Pot!$A$2:$B$321,2,FALSE),"0.000"),"")</f>
        <v/>
      </c>
      <c r="G314" s="11" t="str">
        <f>IF($B314&lt;&gt;"",TEXT(1-manut_MP($B314,G$1,G$2)/VLOOKUP(VALUE(MID($A314,5,3)),BASE_Pot!$A$2:$B$321,2,FALSE),"0.000"),"")</f>
        <v/>
      </c>
      <c r="H314" s="11" t="str">
        <f>IF($B314&lt;&gt;"",TEXT(1-manut_MP($B314,H$1,H$2)/VLOOKUP(VALUE(MID($A314,5,3)),BASE_Pot!$A$2:$B$321,2,FALSE),"0.000"),"")</f>
        <v/>
      </c>
      <c r="I314" s="11" t="str">
        <f>IF($B314&lt;&gt;"",TEXT(1-manut_MP($B314,I$1,I$2)/VLOOKUP(VALUE(MID($A314,5,3)),BASE_Pot!$A$2:$B$321,2,FALSE),"0.000"),"")</f>
        <v/>
      </c>
      <c r="J314" t="str">
        <f>""</f>
        <v/>
      </c>
      <c r="L314" t="str">
        <f t="shared" si="12"/>
        <v>&amp;.................................</v>
      </c>
    </row>
    <row r="315" spans="1:12" x14ac:dyDescent="0.25">
      <c r="A315" t="s">
        <v>442</v>
      </c>
      <c r="B315" t="str">
        <f t="shared" si="11"/>
        <v/>
      </c>
      <c r="C315" s="11" t="str">
        <f>IF($B315&lt;&gt;"",TEXT(1-manut_MP($B315,C$1,C$2)/VLOOKUP(VALUE(MID($A315,5,3)),BASE_Pot!$A$2:$B$321,2,FALSE),"0.000"),"")</f>
        <v/>
      </c>
      <c r="D315" s="11" t="str">
        <f>IF($B315&lt;&gt;"",TEXT(1-manut_MP($B315,D$1,D$2)/VLOOKUP(VALUE(MID($A315,5,3)),BASE_Pot!$A$2:$B$321,2,FALSE),"0.000"),"")</f>
        <v/>
      </c>
      <c r="E315" s="11" t="str">
        <f>IF($B315&lt;&gt;"",TEXT(1-manut_MP($B315,E$1,E$2)/VLOOKUP(VALUE(MID($A315,5,3)),BASE_Pot!$A$2:$B$321,2,FALSE),"0.000"),"")</f>
        <v/>
      </c>
      <c r="F315" s="11" t="str">
        <f>IF($B315&lt;&gt;"",TEXT(1-manut_MP($B315,F$1,F$2)/VLOOKUP(VALUE(MID($A315,5,3)),BASE_Pot!$A$2:$B$321,2,FALSE),"0.000"),"")</f>
        <v/>
      </c>
      <c r="G315" s="11" t="str">
        <f>IF($B315&lt;&gt;"",TEXT(1-manut_MP($B315,G$1,G$2)/VLOOKUP(VALUE(MID($A315,5,3)),BASE_Pot!$A$2:$B$321,2,FALSE),"0.000"),"")</f>
        <v/>
      </c>
      <c r="H315" s="11" t="str">
        <f>IF($B315&lt;&gt;"",TEXT(1-manut_MP($B315,H$1,H$2)/VLOOKUP(VALUE(MID($A315,5,3)),BASE_Pot!$A$2:$B$321,2,FALSE),"0.000"),"")</f>
        <v/>
      </c>
      <c r="I315" s="11" t="str">
        <f>IF($B315&lt;&gt;"",TEXT(1-manut_MP($B315,I$1,I$2)/VLOOKUP(VALUE(MID($A315,5,3)),BASE_Pot!$A$2:$B$321,2,FALSE),"0.000"),"")</f>
        <v/>
      </c>
      <c r="J315" t="str">
        <f>""</f>
        <v/>
      </c>
      <c r="L315" t="str">
        <f t="shared" si="12"/>
        <v>&amp;         CERAN</v>
      </c>
    </row>
    <row r="316" spans="1:12" x14ac:dyDescent="0.25">
      <c r="A316" t="s">
        <v>304</v>
      </c>
      <c r="B316" t="str">
        <f t="shared" si="11"/>
        <v/>
      </c>
      <c r="C316" s="11" t="str">
        <f>IF($B316&lt;&gt;"",TEXT(1-manut_MP($B316,C$1,C$2)/VLOOKUP(VALUE(MID($A316,5,3)),BASE_Pot!$A$2:$B$321,2,FALSE),"0.000"),"")</f>
        <v/>
      </c>
      <c r="D316" s="11" t="str">
        <f>IF($B316&lt;&gt;"",TEXT(1-manut_MP($B316,D$1,D$2)/VLOOKUP(VALUE(MID($A316,5,3)),BASE_Pot!$A$2:$B$321,2,FALSE),"0.000"),"")</f>
        <v/>
      </c>
      <c r="E316" s="11" t="str">
        <f>IF($B316&lt;&gt;"",TEXT(1-manut_MP($B316,E$1,E$2)/VLOOKUP(VALUE(MID($A316,5,3)),BASE_Pot!$A$2:$B$321,2,FALSE),"0.000"),"")</f>
        <v/>
      </c>
      <c r="F316" s="11" t="str">
        <f>IF($B316&lt;&gt;"",TEXT(1-manut_MP($B316,F$1,F$2)/VLOOKUP(VALUE(MID($A316,5,3)),BASE_Pot!$A$2:$B$321,2,FALSE),"0.000"),"")</f>
        <v/>
      </c>
      <c r="G316" s="11" t="str">
        <f>IF($B316&lt;&gt;"",TEXT(1-manut_MP($B316,G$1,G$2)/VLOOKUP(VALUE(MID($A316,5,3)),BASE_Pot!$A$2:$B$321,2,FALSE),"0.000"),"")</f>
        <v/>
      </c>
      <c r="H316" s="11" t="str">
        <f>IF($B316&lt;&gt;"",TEXT(1-manut_MP($B316,H$1,H$2)/VLOOKUP(VALUE(MID($A316,5,3)),BASE_Pot!$A$2:$B$321,2,FALSE),"0.000"),"")</f>
        <v/>
      </c>
      <c r="I316" s="11" t="str">
        <f>IF($B316&lt;&gt;"",TEXT(1-manut_MP($B316,I$1,I$2)/VLOOKUP(VALUE(MID($A316,5,3)),BASE_Pot!$A$2:$B$321,2,FALSE),"0.000"),"")</f>
        <v/>
      </c>
      <c r="J316" t="str">
        <f>""</f>
        <v/>
      </c>
      <c r="L316" t="str">
        <f t="shared" si="12"/>
        <v>&amp;.................................</v>
      </c>
    </row>
    <row r="317" spans="1:12" x14ac:dyDescent="0.25">
      <c r="A317" t="s">
        <v>443</v>
      </c>
      <c r="B317" t="str">
        <f t="shared" si="11"/>
        <v/>
      </c>
      <c r="C317" s="11" t="str">
        <f>IF($B317&lt;&gt;"",TEXT(1-manut_MP($B317,C$1,C$2)/VLOOKUP(VALUE(MID($A317,5,3)),BASE_Pot!$A$2:$B$321,2,FALSE),"0.000"),"")</f>
        <v/>
      </c>
      <c r="D317" s="11" t="str">
        <f>IF($B317&lt;&gt;"",TEXT(1-manut_MP($B317,D$1,D$2)/VLOOKUP(VALUE(MID($A317,5,3)),BASE_Pot!$A$2:$B$321,2,FALSE),"0.000"),"")</f>
        <v/>
      </c>
      <c r="E317" s="11" t="str">
        <f>IF($B317&lt;&gt;"",TEXT(1-manut_MP($B317,E$1,E$2)/VLOOKUP(VALUE(MID($A317,5,3)),BASE_Pot!$A$2:$B$321,2,FALSE),"0.000"),"")</f>
        <v/>
      </c>
      <c r="F317" s="11" t="str">
        <f>IF($B317&lt;&gt;"",TEXT(1-manut_MP($B317,F$1,F$2)/VLOOKUP(VALUE(MID($A317,5,3)),BASE_Pot!$A$2:$B$321,2,FALSE),"0.000"),"")</f>
        <v/>
      </c>
      <c r="G317" s="11" t="str">
        <f>IF($B317&lt;&gt;"",TEXT(1-manut_MP($B317,G$1,G$2)/VLOOKUP(VALUE(MID($A317,5,3)),BASE_Pot!$A$2:$B$321,2,FALSE),"0.000"),"")</f>
        <v/>
      </c>
      <c r="H317" s="11" t="str">
        <f>IF($B317&lt;&gt;"",TEXT(1-manut_MP($B317,H$1,H$2)/VLOOKUP(VALUE(MID($A317,5,3)),BASE_Pot!$A$2:$B$321,2,FALSE),"0.000"),"")</f>
        <v/>
      </c>
      <c r="I317" s="11" t="str">
        <f>IF($B317&lt;&gt;"",TEXT(1-manut_MP($B317,I$1,I$2)/VLOOKUP(VALUE(MID($A317,5,3)),BASE_Pot!$A$2:$B$321,2,FALSE),"0.000"),"")</f>
        <v/>
      </c>
      <c r="J317" t="str">
        <f>""</f>
        <v/>
      </c>
      <c r="L317" t="str">
        <f t="shared" si="12"/>
        <v>&amp;CASTRO ALVES</v>
      </c>
    </row>
    <row r="318" spans="1:12" x14ac:dyDescent="0.25">
      <c r="A318" t="s">
        <v>609</v>
      </c>
      <c r="B318" t="str">
        <f t="shared" si="11"/>
        <v xml:space="preserve"> 97-H</v>
      </c>
      <c r="C318" s="11" t="str">
        <f>IF($B318&lt;&gt;"",TEXT(1-manut_MP($B318,C$1,C$2)/VLOOKUP(VALUE(MID($A318,5,3)),BASE_Pot!$A$2:$B$321,2,FALSE),"0.000"),"")</f>
        <v>1.000</v>
      </c>
      <c r="D318" s="11" t="str">
        <f>IF($B318&lt;&gt;"",TEXT(1-manut_MP($B318,D$1,D$2)/VLOOKUP(VALUE(MID($A318,5,3)),BASE_Pot!$A$2:$B$321,2,FALSE),"0.000"),"")</f>
        <v>1.000</v>
      </c>
      <c r="E318" s="11" t="str">
        <f>IF($B318&lt;&gt;"",TEXT(1-manut_MP($B318,E$1,E$2)/VLOOKUP(VALUE(MID($A318,5,3)),BASE_Pot!$A$2:$B$321,2,FALSE),"0.000"),"")</f>
        <v>1.000</v>
      </c>
      <c r="F318" s="11" t="str">
        <f>IF($B318&lt;&gt;"",TEXT(1-manut_MP($B318,F$1,F$2)/VLOOKUP(VALUE(MID($A318,5,3)),BASE_Pot!$A$2:$B$321,2,FALSE),"0.000"),"")</f>
        <v>1.000</v>
      </c>
      <c r="G318" s="11" t="str">
        <f>IF($B318&lt;&gt;"",TEXT(1-manut_MP($B318,G$1,G$2)/VLOOKUP(VALUE(MID($A318,5,3)),BASE_Pot!$A$2:$B$321,2,FALSE),"0.000"),"")</f>
        <v>1.000</v>
      </c>
      <c r="H318" s="11" t="str">
        <f>IF($B318&lt;&gt;"",TEXT(1-manut_MP($B318,H$1,H$2)/VLOOKUP(VALUE(MID($A318,5,3)),BASE_Pot!$A$2:$B$321,2,FALSE),"0.000"),"")</f>
        <v>1.000</v>
      </c>
      <c r="I318" s="11" t="str">
        <f>IF($B318&lt;&gt;"",TEXT(1-manut_MP($B318,I$1,I$2)/VLOOKUP(VALUE(MID($A318,5,3)),BASE_Pot!$A$2:$B$321,2,FALSE),"0.000"),"")</f>
        <v>1.000</v>
      </c>
      <c r="J318" t="str">
        <f>""</f>
        <v/>
      </c>
      <c r="L318" t="str">
        <f t="shared" si="12"/>
        <v>MP   97  1.0001.0001.0001.0001.0001.0001.000</v>
      </c>
    </row>
    <row r="319" spans="1:12" x14ac:dyDescent="0.25">
      <c r="A319" t="s">
        <v>444</v>
      </c>
      <c r="B319" t="str">
        <f t="shared" si="11"/>
        <v/>
      </c>
      <c r="C319" s="11" t="str">
        <f>IF($B319&lt;&gt;"",TEXT(1-manut_MP($B319,C$1,C$2)/VLOOKUP(VALUE(MID($A319,5,3)),BASE_Pot!$A$2:$B$321,2,FALSE),"0.000"),"")</f>
        <v/>
      </c>
      <c r="D319" s="11" t="str">
        <f>IF($B319&lt;&gt;"",TEXT(1-manut_MP($B319,D$1,D$2)/VLOOKUP(VALUE(MID($A319,5,3)),BASE_Pot!$A$2:$B$321,2,FALSE),"0.000"),"")</f>
        <v/>
      </c>
      <c r="E319" s="11" t="str">
        <f>IF($B319&lt;&gt;"",TEXT(1-manut_MP($B319,E$1,E$2)/VLOOKUP(VALUE(MID($A319,5,3)),BASE_Pot!$A$2:$B$321,2,FALSE),"0.000"),"")</f>
        <v/>
      </c>
      <c r="F319" s="11" t="str">
        <f>IF($B319&lt;&gt;"",TEXT(1-manut_MP($B319,F$1,F$2)/VLOOKUP(VALUE(MID($A319,5,3)),BASE_Pot!$A$2:$B$321,2,FALSE),"0.000"),"")</f>
        <v/>
      </c>
      <c r="G319" s="11" t="str">
        <f>IF($B319&lt;&gt;"",TEXT(1-manut_MP($B319,G$1,G$2)/VLOOKUP(VALUE(MID($A319,5,3)),BASE_Pot!$A$2:$B$321,2,FALSE),"0.000"),"")</f>
        <v/>
      </c>
      <c r="H319" s="11" t="str">
        <f>IF($B319&lt;&gt;"",TEXT(1-manut_MP($B319,H$1,H$2)/VLOOKUP(VALUE(MID($A319,5,3)),BASE_Pot!$A$2:$B$321,2,FALSE),"0.000"),"")</f>
        <v/>
      </c>
      <c r="I319" s="11" t="str">
        <f>IF($B319&lt;&gt;"",TEXT(1-manut_MP($B319,I$1,I$2)/VLOOKUP(VALUE(MID($A319,5,3)),BASE_Pot!$A$2:$B$321,2,FALSE),"0.000"),"")</f>
        <v/>
      </c>
      <c r="J319" t="str">
        <f>""</f>
        <v/>
      </c>
      <c r="L319" t="str">
        <f t="shared" si="12"/>
        <v>&amp;MONTE CLARO</v>
      </c>
    </row>
    <row r="320" spans="1:12" x14ac:dyDescent="0.25">
      <c r="A320" t="s">
        <v>610</v>
      </c>
      <c r="B320" t="str">
        <f t="shared" si="11"/>
        <v xml:space="preserve"> 98-H</v>
      </c>
      <c r="C320" s="11" t="str">
        <f>IF($B320&lt;&gt;"",TEXT(1-manut_MP($B320,C$1,C$2)/VLOOKUP(VALUE(MID($A320,5,3)),BASE_Pot!$A$2:$B$321,2,FALSE),"0.000"),"")</f>
        <v>1.000</v>
      </c>
      <c r="D320" s="11" t="str">
        <f>IF($B320&lt;&gt;"",TEXT(1-manut_MP($B320,D$1,D$2)/VLOOKUP(VALUE(MID($A320,5,3)),BASE_Pot!$A$2:$B$321,2,FALSE),"0.000"),"")</f>
        <v>1.000</v>
      </c>
      <c r="E320" s="11" t="str">
        <f>IF($B320&lt;&gt;"",TEXT(1-manut_MP($B320,E$1,E$2)/VLOOKUP(VALUE(MID($A320,5,3)),BASE_Pot!$A$2:$B$321,2,FALSE),"0.000"),"")</f>
        <v>1.000</v>
      </c>
      <c r="F320" s="11" t="str">
        <f>IF($B320&lt;&gt;"",TEXT(1-manut_MP($B320,F$1,F$2)/VLOOKUP(VALUE(MID($A320,5,3)),BASE_Pot!$A$2:$B$321,2,FALSE),"0.000"),"")</f>
        <v>1.000</v>
      </c>
      <c r="G320" s="11" t="str">
        <f>IF($B320&lt;&gt;"",TEXT(1-manut_MP($B320,G$1,G$2)/VLOOKUP(VALUE(MID($A320,5,3)),BASE_Pot!$A$2:$B$321,2,FALSE),"0.000"),"")</f>
        <v>1.000</v>
      </c>
      <c r="H320" s="11" t="str">
        <f>IF($B320&lt;&gt;"",TEXT(1-manut_MP($B320,H$1,H$2)/VLOOKUP(VALUE(MID($A320,5,3)),BASE_Pot!$A$2:$B$321,2,FALSE),"0.000"),"")</f>
        <v>1.000</v>
      </c>
      <c r="I320" s="11" t="str">
        <f>IF($B320&lt;&gt;"",TEXT(1-manut_MP($B320,I$1,I$2)/VLOOKUP(VALUE(MID($A320,5,3)),BASE_Pot!$A$2:$B$321,2,FALSE),"0.000"),"")</f>
        <v>1.000</v>
      </c>
      <c r="J320" t="str">
        <f>""</f>
        <v/>
      </c>
      <c r="L320" t="str">
        <f t="shared" si="12"/>
        <v>MP   98  1.0001.0001.0001.0001.0001.0001.000</v>
      </c>
    </row>
    <row r="321" spans="1:12" x14ac:dyDescent="0.25">
      <c r="A321" t="s">
        <v>445</v>
      </c>
      <c r="B321" t="str">
        <f t="shared" si="11"/>
        <v/>
      </c>
      <c r="C321" s="11" t="str">
        <f>IF($B321&lt;&gt;"",TEXT(1-manut_MP($B321,C$1,C$2)/VLOOKUP(VALUE(MID($A321,5,3)),BASE_Pot!$A$2:$B$321,2,FALSE),"0.000"),"")</f>
        <v/>
      </c>
      <c r="D321" s="11" t="str">
        <f>IF($B321&lt;&gt;"",TEXT(1-manut_MP($B321,D$1,D$2)/VLOOKUP(VALUE(MID($A321,5,3)),BASE_Pot!$A$2:$B$321,2,FALSE),"0.000"),"")</f>
        <v/>
      </c>
      <c r="E321" s="11" t="str">
        <f>IF($B321&lt;&gt;"",TEXT(1-manut_MP($B321,E$1,E$2)/VLOOKUP(VALUE(MID($A321,5,3)),BASE_Pot!$A$2:$B$321,2,FALSE),"0.000"),"")</f>
        <v/>
      </c>
      <c r="F321" s="11" t="str">
        <f>IF($B321&lt;&gt;"",TEXT(1-manut_MP($B321,F$1,F$2)/VLOOKUP(VALUE(MID($A321,5,3)),BASE_Pot!$A$2:$B$321,2,FALSE),"0.000"),"")</f>
        <v/>
      </c>
      <c r="G321" s="11" t="str">
        <f>IF($B321&lt;&gt;"",TEXT(1-manut_MP($B321,G$1,G$2)/VLOOKUP(VALUE(MID($A321,5,3)),BASE_Pot!$A$2:$B$321,2,FALSE),"0.000"),"")</f>
        <v/>
      </c>
      <c r="H321" s="11" t="str">
        <f>IF($B321&lt;&gt;"",TEXT(1-manut_MP($B321,H$1,H$2)/VLOOKUP(VALUE(MID($A321,5,3)),BASE_Pot!$A$2:$B$321,2,FALSE),"0.000"),"")</f>
        <v/>
      </c>
      <c r="I321" s="11" t="str">
        <f>IF($B321&lt;&gt;"",TEXT(1-manut_MP($B321,I$1,I$2)/VLOOKUP(VALUE(MID($A321,5,3)),BASE_Pot!$A$2:$B$321,2,FALSE),"0.000"),"")</f>
        <v/>
      </c>
      <c r="J321" t="str">
        <f>""</f>
        <v/>
      </c>
      <c r="L321" t="str">
        <f t="shared" si="12"/>
        <v>&amp;14 DE JULHO</v>
      </c>
    </row>
    <row r="322" spans="1:12" x14ac:dyDescent="0.25">
      <c r="A322" t="s">
        <v>611</v>
      </c>
      <c r="B322" t="str">
        <f t="shared" si="11"/>
        <v xml:space="preserve"> 99-H</v>
      </c>
      <c r="C322" s="11" t="str">
        <f>IF($B322&lt;&gt;"",TEXT(1-manut_MP($B322,C$1,C$2)/VLOOKUP(VALUE(MID($A322,5,3)),BASE_Pot!$A$2:$B$321,2,FALSE),"0.000"),"")</f>
        <v>1.000</v>
      </c>
      <c r="D322" s="11" t="str">
        <f>IF($B322&lt;&gt;"",TEXT(1-manut_MP($B322,D$1,D$2)/VLOOKUP(VALUE(MID($A322,5,3)),BASE_Pot!$A$2:$B$321,2,FALSE),"0.000"),"")</f>
        <v>1.000</v>
      </c>
      <c r="E322" s="11" t="str">
        <f>IF($B322&lt;&gt;"",TEXT(1-manut_MP($B322,E$1,E$2)/VLOOKUP(VALUE(MID($A322,5,3)),BASE_Pot!$A$2:$B$321,2,FALSE),"0.000"),"")</f>
        <v>1.000</v>
      </c>
      <c r="F322" s="11" t="str">
        <f>IF($B322&lt;&gt;"",TEXT(1-manut_MP($B322,F$1,F$2)/VLOOKUP(VALUE(MID($A322,5,3)),BASE_Pot!$A$2:$B$321,2,FALSE),"0.000"),"")</f>
        <v>1.000</v>
      </c>
      <c r="G322" s="11" t="str">
        <f>IF($B322&lt;&gt;"",TEXT(1-manut_MP($B322,G$1,G$2)/VLOOKUP(VALUE(MID($A322,5,3)),BASE_Pot!$A$2:$B$321,2,FALSE),"0.000"),"")</f>
        <v>1.000</v>
      </c>
      <c r="H322" s="11" t="str">
        <f>IF($B322&lt;&gt;"",TEXT(1-manut_MP($B322,H$1,H$2)/VLOOKUP(VALUE(MID($A322,5,3)),BASE_Pot!$A$2:$B$321,2,FALSE),"0.000"),"")</f>
        <v>1.000</v>
      </c>
      <c r="I322" s="11" t="str">
        <f>IF($B322&lt;&gt;"",TEXT(1-manut_MP($B322,I$1,I$2)/VLOOKUP(VALUE(MID($A322,5,3)),BASE_Pot!$A$2:$B$321,2,FALSE),"0.000"),"")</f>
        <v>1.000</v>
      </c>
      <c r="J322" t="str">
        <f>""</f>
        <v/>
      </c>
      <c r="L322" t="str">
        <f t="shared" si="12"/>
        <v>MP   99  1.0001.0001.0001.0001.0001.0001.000</v>
      </c>
    </row>
    <row r="323" spans="1:12" x14ac:dyDescent="0.25">
      <c r="A323" t="s">
        <v>304</v>
      </c>
      <c r="B323" t="str">
        <f t="shared" si="11"/>
        <v/>
      </c>
      <c r="C323" s="11" t="str">
        <f>IF($B323&lt;&gt;"",TEXT(1-manut_MP($B323,C$1,C$2)/VLOOKUP(VALUE(MID($A323,5,3)),BASE_Pot!$A$2:$B$321,2,FALSE),"0.000"),"")</f>
        <v/>
      </c>
      <c r="D323" s="11" t="str">
        <f>IF($B323&lt;&gt;"",TEXT(1-manut_MP($B323,D$1,D$2)/VLOOKUP(VALUE(MID($A323,5,3)),BASE_Pot!$A$2:$B$321,2,FALSE),"0.000"),"")</f>
        <v/>
      </c>
      <c r="E323" s="11" t="str">
        <f>IF($B323&lt;&gt;"",TEXT(1-manut_MP($B323,E$1,E$2)/VLOOKUP(VALUE(MID($A323,5,3)),BASE_Pot!$A$2:$B$321,2,FALSE),"0.000"),"")</f>
        <v/>
      </c>
      <c r="F323" s="11" t="str">
        <f>IF($B323&lt;&gt;"",TEXT(1-manut_MP($B323,F$1,F$2)/VLOOKUP(VALUE(MID($A323,5,3)),BASE_Pot!$A$2:$B$321,2,FALSE),"0.000"),"")</f>
        <v/>
      </c>
      <c r="G323" s="11" t="str">
        <f>IF($B323&lt;&gt;"",TEXT(1-manut_MP($B323,G$1,G$2)/VLOOKUP(VALUE(MID($A323,5,3)),BASE_Pot!$A$2:$B$321,2,FALSE),"0.000"),"")</f>
        <v/>
      </c>
      <c r="H323" s="11" t="str">
        <f>IF($B323&lt;&gt;"",TEXT(1-manut_MP($B323,H$1,H$2)/VLOOKUP(VALUE(MID($A323,5,3)),BASE_Pot!$A$2:$B$321,2,FALSE),"0.000"),"")</f>
        <v/>
      </c>
      <c r="I323" s="11" t="str">
        <f>IF($B323&lt;&gt;"",TEXT(1-manut_MP($B323,I$1,I$2)/VLOOKUP(VALUE(MID($A323,5,3)),BASE_Pot!$A$2:$B$321,2,FALSE),"0.000"),"")</f>
        <v/>
      </c>
      <c r="J323" t="str">
        <f>""</f>
        <v/>
      </c>
      <c r="L323" t="str">
        <f t="shared" si="12"/>
        <v>&amp;.................................</v>
      </c>
    </row>
    <row r="324" spans="1:12" x14ac:dyDescent="0.25">
      <c r="A324" t="s">
        <v>446</v>
      </c>
      <c r="B324" t="str">
        <f t="shared" ref="B324:B387" si="13">IF(LEFT(A324,1)="&amp;","",MID(A324,5,3)&amp;"-H")</f>
        <v/>
      </c>
      <c r="C324" s="11" t="str">
        <f>IF($B324&lt;&gt;"",TEXT(1-manut_MP($B324,C$1,C$2)/VLOOKUP(VALUE(MID($A324,5,3)),BASE_Pot!$A$2:$B$321,2,FALSE),"0.000"),"")</f>
        <v/>
      </c>
      <c r="D324" s="11" t="str">
        <f>IF($B324&lt;&gt;"",TEXT(1-manut_MP($B324,D$1,D$2)/VLOOKUP(VALUE(MID($A324,5,3)),BASE_Pot!$A$2:$B$321,2,FALSE),"0.000"),"")</f>
        <v/>
      </c>
      <c r="E324" s="11" t="str">
        <f>IF($B324&lt;&gt;"",TEXT(1-manut_MP($B324,E$1,E$2)/VLOOKUP(VALUE(MID($A324,5,3)),BASE_Pot!$A$2:$B$321,2,FALSE),"0.000"),"")</f>
        <v/>
      </c>
      <c r="F324" s="11" t="str">
        <f>IF($B324&lt;&gt;"",TEXT(1-manut_MP($B324,F$1,F$2)/VLOOKUP(VALUE(MID($A324,5,3)),BASE_Pot!$A$2:$B$321,2,FALSE),"0.000"),"")</f>
        <v/>
      </c>
      <c r="G324" s="11" t="str">
        <f>IF($B324&lt;&gt;"",TEXT(1-manut_MP($B324,G$1,G$2)/VLOOKUP(VALUE(MID($A324,5,3)),BASE_Pot!$A$2:$B$321,2,FALSE),"0.000"),"")</f>
        <v/>
      </c>
      <c r="H324" s="11" t="str">
        <f>IF($B324&lt;&gt;"",TEXT(1-manut_MP($B324,H$1,H$2)/VLOOKUP(VALUE(MID($A324,5,3)),BASE_Pot!$A$2:$B$321,2,FALSE),"0.000"),"")</f>
        <v/>
      </c>
      <c r="I324" s="11" t="str">
        <f>IF($B324&lt;&gt;"",TEXT(1-manut_MP($B324,I$1,I$2)/VLOOKUP(VALUE(MID($A324,5,3)),BASE_Pot!$A$2:$B$321,2,FALSE),"0.000"),"")</f>
        <v/>
      </c>
      <c r="J324" t="str">
        <f>""</f>
        <v/>
      </c>
      <c r="L324" t="str">
        <f t="shared" si="12"/>
        <v>&amp;         CORUMBA III</v>
      </c>
    </row>
    <row r="325" spans="1:12" x14ac:dyDescent="0.25">
      <c r="A325" t="s">
        <v>304</v>
      </c>
      <c r="B325" t="str">
        <f t="shared" si="13"/>
        <v/>
      </c>
      <c r="C325" s="11" t="str">
        <f>IF($B325&lt;&gt;"",TEXT(1-manut_MP($B325,C$1,C$2)/VLOOKUP(VALUE(MID($A325,5,3)),BASE_Pot!$A$2:$B$321,2,FALSE),"0.000"),"")</f>
        <v/>
      </c>
      <c r="D325" s="11" t="str">
        <f>IF($B325&lt;&gt;"",TEXT(1-manut_MP($B325,D$1,D$2)/VLOOKUP(VALUE(MID($A325,5,3)),BASE_Pot!$A$2:$B$321,2,FALSE),"0.000"),"")</f>
        <v/>
      </c>
      <c r="E325" s="11" t="str">
        <f>IF($B325&lt;&gt;"",TEXT(1-manut_MP($B325,E$1,E$2)/VLOOKUP(VALUE(MID($A325,5,3)),BASE_Pot!$A$2:$B$321,2,FALSE),"0.000"),"")</f>
        <v/>
      </c>
      <c r="F325" s="11" t="str">
        <f>IF($B325&lt;&gt;"",TEXT(1-manut_MP($B325,F$1,F$2)/VLOOKUP(VALUE(MID($A325,5,3)),BASE_Pot!$A$2:$B$321,2,FALSE),"0.000"),"")</f>
        <v/>
      </c>
      <c r="G325" s="11" t="str">
        <f>IF($B325&lt;&gt;"",TEXT(1-manut_MP($B325,G$1,G$2)/VLOOKUP(VALUE(MID($A325,5,3)),BASE_Pot!$A$2:$B$321,2,FALSE),"0.000"),"")</f>
        <v/>
      </c>
      <c r="H325" s="11" t="str">
        <f>IF($B325&lt;&gt;"",TEXT(1-manut_MP($B325,H$1,H$2)/VLOOKUP(VALUE(MID($A325,5,3)),BASE_Pot!$A$2:$B$321,2,FALSE),"0.000"),"")</f>
        <v/>
      </c>
      <c r="I325" s="11" t="str">
        <f>IF($B325&lt;&gt;"",TEXT(1-manut_MP($B325,I$1,I$2)/VLOOKUP(VALUE(MID($A325,5,3)),BASE_Pot!$A$2:$B$321,2,FALSE),"0.000"),"")</f>
        <v/>
      </c>
      <c r="J325" t="str">
        <f>""</f>
        <v/>
      </c>
      <c r="L325" t="str">
        <f t="shared" si="12"/>
        <v>&amp;.................................</v>
      </c>
    </row>
    <row r="326" spans="1:12" x14ac:dyDescent="0.25">
      <c r="A326" t="s">
        <v>447</v>
      </c>
      <c r="B326" t="str">
        <f t="shared" si="13"/>
        <v/>
      </c>
      <c r="C326" s="11" t="str">
        <f>IF($B326&lt;&gt;"",TEXT(1-manut_MP($B326,C$1,C$2)/VLOOKUP(VALUE(MID($A326,5,3)),BASE_Pot!$A$2:$B$321,2,FALSE),"0.000"),"")</f>
        <v/>
      </c>
      <c r="D326" s="11" t="str">
        <f>IF($B326&lt;&gt;"",TEXT(1-manut_MP($B326,D$1,D$2)/VLOOKUP(VALUE(MID($A326,5,3)),BASE_Pot!$A$2:$B$321,2,FALSE),"0.000"),"")</f>
        <v/>
      </c>
      <c r="E326" s="11" t="str">
        <f>IF($B326&lt;&gt;"",TEXT(1-manut_MP($B326,E$1,E$2)/VLOOKUP(VALUE(MID($A326,5,3)),BASE_Pot!$A$2:$B$321,2,FALSE),"0.000"),"")</f>
        <v/>
      </c>
      <c r="F326" s="11" t="str">
        <f>IF($B326&lt;&gt;"",TEXT(1-manut_MP($B326,F$1,F$2)/VLOOKUP(VALUE(MID($A326,5,3)),BASE_Pot!$A$2:$B$321,2,FALSE),"0.000"),"")</f>
        <v/>
      </c>
      <c r="G326" s="11" t="str">
        <f>IF($B326&lt;&gt;"",TEXT(1-manut_MP($B326,G$1,G$2)/VLOOKUP(VALUE(MID($A326,5,3)),BASE_Pot!$A$2:$B$321,2,FALSE),"0.000"),"")</f>
        <v/>
      </c>
      <c r="H326" s="11" t="str">
        <f>IF($B326&lt;&gt;"",TEXT(1-manut_MP($B326,H$1,H$2)/VLOOKUP(VALUE(MID($A326,5,3)),BASE_Pot!$A$2:$B$321,2,FALSE),"0.000"),"")</f>
        <v/>
      </c>
      <c r="I326" s="11" t="str">
        <f>IF($B326&lt;&gt;"",TEXT(1-manut_MP($B326,I$1,I$2)/VLOOKUP(VALUE(MID($A326,5,3)),BASE_Pot!$A$2:$B$321,2,FALSE),"0.000"),"")</f>
        <v/>
      </c>
      <c r="J326" t="str">
        <f>""</f>
        <v/>
      </c>
      <c r="L326" t="str">
        <f t="shared" si="12"/>
        <v>&amp;CORUMBA III</v>
      </c>
    </row>
    <row r="327" spans="1:12" x14ac:dyDescent="0.25">
      <c r="A327" t="s">
        <v>612</v>
      </c>
      <c r="B327" t="str">
        <f t="shared" si="13"/>
        <v>203-H</v>
      </c>
      <c r="C327" s="11" t="str">
        <f>IF($B327&lt;&gt;"",TEXT(1-manut_MP($B327,C$1,C$2)/VLOOKUP(VALUE(MID($A327,5,3)),BASE_Pot!$A$2:$B$321,2,FALSE),"0.000"),"")</f>
        <v>1.000</v>
      </c>
      <c r="D327" s="11" t="str">
        <f>IF($B327&lt;&gt;"",TEXT(1-manut_MP($B327,D$1,D$2)/VLOOKUP(VALUE(MID($A327,5,3)),BASE_Pot!$A$2:$B$321,2,FALSE),"0.000"),"")</f>
        <v>1.000</v>
      </c>
      <c r="E327" s="11" t="str">
        <f>IF($B327&lt;&gt;"",TEXT(1-manut_MP($B327,E$1,E$2)/VLOOKUP(VALUE(MID($A327,5,3)),BASE_Pot!$A$2:$B$321,2,FALSE),"0.000"),"")</f>
        <v>1.000</v>
      </c>
      <c r="F327" s="11" t="str">
        <f>IF($B327&lt;&gt;"",TEXT(1-manut_MP($B327,F$1,F$2)/VLOOKUP(VALUE(MID($A327,5,3)),BASE_Pot!$A$2:$B$321,2,FALSE),"0.000"),"")</f>
        <v>1.000</v>
      </c>
      <c r="G327" s="11" t="str">
        <f>IF($B327&lt;&gt;"",TEXT(1-manut_MP($B327,G$1,G$2)/VLOOKUP(VALUE(MID($A327,5,3)),BASE_Pot!$A$2:$B$321,2,FALSE),"0.000"),"")</f>
        <v>1.000</v>
      </c>
      <c r="H327" s="11" t="str">
        <f>IF($B327&lt;&gt;"",TEXT(1-manut_MP($B327,H$1,H$2)/VLOOKUP(VALUE(MID($A327,5,3)),BASE_Pot!$A$2:$B$321,2,FALSE),"0.000"),"")</f>
        <v>1.000</v>
      </c>
      <c r="I327" s="11" t="str">
        <f>IF($B327&lt;&gt;"",TEXT(1-manut_MP($B327,I$1,I$2)/VLOOKUP(VALUE(MID($A327,5,3)),BASE_Pot!$A$2:$B$321,2,FALSE),"0.000"),"")</f>
        <v>1.000</v>
      </c>
      <c r="J327" t="str">
        <f>""</f>
        <v/>
      </c>
      <c r="L327" t="str">
        <f t="shared" si="12"/>
        <v>MP  203  1.0001.0001.0001.0001.0001.0001.000</v>
      </c>
    </row>
    <row r="328" spans="1:12" x14ac:dyDescent="0.25">
      <c r="A328" t="s">
        <v>304</v>
      </c>
      <c r="B328" t="str">
        <f t="shared" si="13"/>
        <v/>
      </c>
      <c r="C328" s="11" t="str">
        <f>IF($B328&lt;&gt;"",TEXT(1-manut_MP($B328,C$1,C$2)/VLOOKUP(VALUE(MID($A328,5,3)),BASE_Pot!$A$2:$B$321,2,FALSE),"0.000"),"")</f>
        <v/>
      </c>
      <c r="D328" s="11" t="str">
        <f>IF($B328&lt;&gt;"",TEXT(1-manut_MP($B328,D$1,D$2)/VLOOKUP(VALUE(MID($A328,5,3)),BASE_Pot!$A$2:$B$321,2,FALSE),"0.000"),"")</f>
        <v/>
      </c>
      <c r="E328" s="11" t="str">
        <f>IF($B328&lt;&gt;"",TEXT(1-manut_MP($B328,E$1,E$2)/VLOOKUP(VALUE(MID($A328,5,3)),BASE_Pot!$A$2:$B$321,2,FALSE),"0.000"),"")</f>
        <v/>
      </c>
      <c r="F328" s="11" t="str">
        <f>IF($B328&lt;&gt;"",TEXT(1-manut_MP($B328,F$1,F$2)/VLOOKUP(VALUE(MID($A328,5,3)),BASE_Pot!$A$2:$B$321,2,FALSE),"0.000"),"")</f>
        <v/>
      </c>
      <c r="G328" s="11" t="str">
        <f>IF($B328&lt;&gt;"",TEXT(1-manut_MP($B328,G$1,G$2)/VLOOKUP(VALUE(MID($A328,5,3)),BASE_Pot!$A$2:$B$321,2,FALSE),"0.000"),"")</f>
        <v/>
      </c>
      <c r="H328" s="11" t="str">
        <f>IF($B328&lt;&gt;"",TEXT(1-manut_MP($B328,H$1,H$2)/VLOOKUP(VALUE(MID($A328,5,3)),BASE_Pot!$A$2:$B$321,2,FALSE),"0.000"),"")</f>
        <v/>
      </c>
      <c r="I328" s="11" t="str">
        <f>IF($B328&lt;&gt;"",TEXT(1-manut_MP($B328,I$1,I$2)/VLOOKUP(VALUE(MID($A328,5,3)),BASE_Pot!$A$2:$B$321,2,FALSE),"0.000"),"")</f>
        <v/>
      </c>
      <c r="J328" t="str">
        <f>""</f>
        <v/>
      </c>
      <c r="L328" t="str">
        <f t="shared" si="12"/>
        <v>&amp;.................................</v>
      </c>
    </row>
    <row r="329" spans="1:12" x14ac:dyDescent="0.25">
      <c r="A329" t="s">
        <v>448</v>
      </c>
      <c r="B329" t="str">
        <f t="shared" si="13"/>
        <v/>
      </c>
      <c r="C329" s="11" t="str">
        <f>IF($B329&lt;&gt;"",TEXT(1-manut_MP($B329,C$1,C$2)/VLOOKUP(VALUE(MID($A329,5,3)),BASE_Pot!$A$2:$B$321,2,FALSE),"0.000"),"")</f>
        <v/>
      </c>
      <c r="D329" s="11" t="str">
        <f>IF($B329&lt;&gt;"",TEXT(1-manut_MP($B329,D$1,D$2)/VLOOKUP(VALUE(MID($A329,5,3)),BASE_Pot!$A$2:$B$321,2,FALSE),"0.000"),"")</f>
        <v/>
      </c>
      <c r="E329" s="11" t="str">
        <f>IF($B329&lt;&gt;"",TEXT(1-manut_MP($B329,E$1,E$2)/VLOOKUP(VALUE(MID($A329,5,3)),BASE_Pot!$A$2:$B$321,2,FALSE),"0.000"),"")</f>
        <v/>
      </c>
      <c r="F329" s="11" t="str">
        <f>IF($B329&lt;&gt;"",TEXT(1-manut_MP($B329,F$1,F$2)/VLOOKUP(VALUE(MID($A329,5,3)),BASE_Pot!$A$2:$B$321,2,FALSE),"0.000"),"")</f>
        <v/>
      </c>
      <c r="G329" s="11" t="str">
        <f>IF($B329&lt;&gt;"",TEXT(1-manut_MP($B329,G$1,G$2)/VLOOKUP(VALUE(MID($A329,5,3)),BASE_Pot!$A$2:$B$321,2,FALSE),"0.000"),"")</f>
        <v/>
      </c>
      <c r="H329" s="11" t="str">
        <f>IF($B329&lt;&gt;"",TEXT(1-manut_MP($B329,H$1,H$2)/VLOOKUP(VALUE(MID($A329,5,3)),BASE_Pot!$A$2:$B$321,2,FALSE),"0.000"),"")</f>
        <v/>
      </c>
      <c r="I329" s="11" t="str">
        <f>IF($B329&lt;&gt;"",TEXT(1-manut_MP($B329,I$1,I$2)/VLOOKUP(VALUE(MID($A329,5,3)),BASE_Pot!$A$2:$B$321,2,FALSE),"0.000"),"")</f>
        <v/>
      </c>
      <c r="J329" t="str">
        <f>""</f>
        <v/>
      </c>
      <c r="L329" t="str">
        <f t="shared" si="12"/>
        <v>&amp;         RIO VERDE</v>
      </c>
    </row>
    <row r="330" spans="1:12" x14ac:dyDescent="0.25">
      <c r="A330" t="s">
        <v>304</v>
      </c>
      <c r="B330" t="str">
        <f t="shared" si="13"/>
        <v/>
      </c>
      <c r="C330" s="11" t="str">
        <f>IF($B330&lt;&gt;"",TEXT(1-manut_MP($B330,C$1,C$2)/VLOOKUP(VALUE(MID($A330,5,3)),BASE_Pot!$A$2:$B$321,2,FALSE),"0.000"),"")</f>
        <v/>
      </c>
      <c r="D330" s="11" t="str">
        <f>IF($B330&lt;&gt;"",TEXT(1-manut_MP($B330,D$1,D$2)/VLOOKUP(VALUE(MID($A330,5,3)),BASE_Pot!$A$2:$B$321,2,FALSE),"0.000"),"")</f>
        <v/>
      </c>
      <c r="E330" s="11" t="str">
        <f>IF($B330&lt;&gt;"",TEXT(1-manut_MP($B330,E$1,E$2)/VLOOKUP(VALUE(MID($A330,5,3)),BASE_Pot!$A$2:$B$321,2,FALSE),"0.000"),"")</f>
        <v/>
      </c>
      <c r="F330" s="11" t="str">
        <f>IF($B330&lt;&gt;"",TEXT(1-manut_MP($B330,F$1,F$2)/VLOOKUP(VALUE(MID($A330,5,3)),BASE_Pot!$A$2:$B$321,2,FALSE),"0.000"),"")</f>
        <v/>
      </c>
      <c r="G330" s="11" t="str">
        <f>IF($B330&lt;&gt;"",TEXT(1-manut_MP($B330,G$1,G$2)/VLOOKUP(VALUE(MID($A330,5,3)),BASE_Pot!$A$2:$B$321,2,FALSE),"0.000"),"")</f>
        <v/>
      </c>
      <c r="H330" s="11" t="str">
        <f>IF($B330&lt;&gt;"",TEXT(1-manut_MP($B330,H$1,H$2)/VLOOKUP(VALUE(MID($A330,5,3)),BASE_Pot!$A$2:$B$321,2,FALSE),"0.000"),"")</f>
        <v/>
      </c>
      <c r="I330" s="11" t="str">
        <f>IF($B330&lt;&gt;"",TEXT(1-manut_MP($B330,I$1,I$2)/VLOOKUP(VALUE(MID($A330,5,3)),BASE_Pot!$A$2:$B$321,2,FALSE),"0.000"),"")</f>
        <v/>
      </c>
      <c r="J330" t="str">
        <f>""</f>
        <v/>
      </c>
      <c r="L330" t="str">
        <f t="shared" si="12"/>
        <v>&amp;.................................</v>
      </c>
    </row>
    <row r="331" spans="1:12" x14ac:dyDescent="0.25">
      <c r="A331" t="s">
        <v>449</v>
      </c>
      <c r="B331" t="str">
        <f t="shared" si="13"/>
        <v/>
      </c>
      <c r="C331" s="11" t="str">
        <f>IF($B331&lt;&gt;"",TEXT(1-manut_MP($B331,C$1,C$2)/VLOOKUP(VALUE(MID($A331,5,3)),BASE_Pot!$A$2:$B$321,2,FALSE),"0.000"),"")</f>
        <v/>
      </c>
      <c r="D331" s="11" t="str">
        <f>IF($B331&lt;&gt;"",TEXT(1-manut_MP($B331,D$1,D$2)/VLOOKUP(VALUE(MID($A331,5,3)),BASE_Pot!$A$2:$B$321,2,FALSE),"0.000"),"")</f>
        <v/>
      </c>
      <c r="E331" s="11" t="str">
        <f>IF($B331&lt;&gt;"",TEXT(1-manut_MP($B331,E$1,E$2)/VLOOKUP(VALUE(MID($A331,5,3)),BASE_Pot!$A$2:$B$321,2,FALSE),"0.000"),"")</f>
        <v/>
      </c>
      <c r="F331" s="11" t="str">
        <f>IF($B331&lt;&gt;"",TEXT(1-manut_MP($B331,F$1,F$2)/VLOOKUP(VALUE(MID($A331,5,3)),BASE_Pot!$A$2:$B$321,2,FALSE),"0.000"),"")</f>
        <v/>
      </c>
      <c r="G331" s="11" t="str">
        <f>IF($B331&lt;&gt;"",TEXT(1-manut_MP($B331,G$1,G$2)/VLOOKUP(VALUE(MID($A331,5,3)),BASE_Pot!$A$2:$B$321,2,FALSE),"0.000"),"")</f>
        <v/>
      </c>
      <c r="H331" s="11" t="str">
        <f>IF($B331&lt;&gt;"",TEXT(1-manut_MP($B331,H$1,H$2)/VLOOKUP(VALUE(MID($A331,5,3)),BASE_Pot!$A$2:$B$321,2,FALSE),"0.000"),"")</f>
        <v/>
      </c>
      <c r="I331" s="11" t="str">
        <f>IF($B331&lt;&gt;"",TEXT(1-manut_MP($B331,I$1,I$2)/VLOOKUP(VALUE(MID($A331,5,3)),BASE_Pot!$A$2:$B$321,2,FALSE),"0.000"),"")</f>
        <v/>
      </c>
      <c r="J331" t="str">
        <f>""</f>
        <v/>
      </c>
      <c r="L331" t="str">
        <f t="shared" si="12"/>
        <v>&amp;SALTO</v>
      </c>
    </row>
    <row r="332" spans="1:12" x14ac:dyDescent="0.25">
      <c r="A332" t="s">
        <v>613</v>
      </c>
      <c r="B332" t="str">
        <f t="shared" si="13"/>
        <v>262-H</v>
      </c>
      <c r="C332" s="11" t="str">
        <f>IF($B332&lt;&gt;"",TEXT(1-manut_MP($B332,C$1,C$2)/VLOOKUP(VALUE(MID($A332,5,3)),BASE_Pot!$A$2:$B$321,2,FALSE),"0.000"),"")</f>
        <v>1.000</v>
      </c>
      <c r="D332" s="11" t="str">
        <f>IF($B332&lt;&gt;"",TEXT(1-manut_MP($B332,D$1,D$2)/VLOOKUP(VALUE(MID($A332,5,3)),BASE_Pot!$A$2:$B$321,2,FALSE),"0.000"),"")</f>
        <v>1.000</v>
      </c>
      <c r="E332" s="11" t="str">
        <f>IF($B332&lt;&gt;"",TEXT(1-manut_MP($B332,E$1,E$2)/VLOOKUP(VALUE(MID($A332,5,3)),BASE_Pot!$A$2:$B$321,2,FALSE),"0.000"),"")</f>
        <v>1.000</v>
      </c>
      <c r="F332" s="11" t="str">
        <f>IF($B332&lt;&gt;"",TEXT(1-manut_MP($B332,F$1,F$2)/VLOOKUP(VALUE(MID($A332,5,3)),BASE_Pot!$A$2:$B$321,2,FALSE),"0.000"),"")</f>
        <v>1.000</v>
      </c>
      <c r="G332" s="11" t="str">
        <f>IF($B332&lt;&gt;"",TEXT(1-manut_MP($B332,G$1,G$2)/VLOOKUP(VALUE(MID($A332,5,3)),BASE_Pot!$A$2:$B$321,2,FALSE),"0.000"),"")</f>
        <v>1.000</v>
      </c>
      <c r="H332" s="11" t="str">
        <f>IF($B332&lt;&gt;"",TEXT(1-manut_MP($B332,H$1,H$2)/VLOOKUP(VALUE(MID($A332,5,3)),BASE_Pot!$A$2:$B$321,2,FALSE),"0.000"),"")</f>
        <v>1.000</v>
      </c>
      <c r="I332" s="11" t="str">
        <f>IF($B332&lt;&gt;"",TEXT(1-manut_MP($B332,I$1,I$2)/VLOOKUP(VALUE(MID($A332,5,3)),BASE_Pot!$A$2:$B$321,2,FALSE),"0.000"),"")</f>
        <v>1.000</v>
      </c>
      <c r="J332" t="str">
        <f>""</f>
        <v/>
      </c>
      <c r="L332" t="str">
        <f t="shared" si="12"/>
        <v>MP  262  1.0001.0001.0001.0001.0001.0001.000</v>
      </c>
    </row>
    <row r="333" spans="1:12" x14ac:dyDescent="0.25">
      <c r="A333" t="s">
        <v>304</v>
      </c>
      <c r="B333" t="str">
        <f t="shared" si="13"/>
        <v/>
      </c>
      <c r="C333" s="11" t="str">
        <f>IF($B333&lt;&gt;"",TEXT(1-manut_MP($B333,C$1,C$2)/VLOOKUP(VALUE(MID($A333,5,3)),BASE_Pot!$A$2:$B$321,2,FALSE),"0.000"),"")</f>
        <v/>
      </c>
      <c r="D333" s="11" t="str">
        <f>IF($B333&lt;&gt;"",TEXT(1-manut_MP($B333,D$1,D$2)/VLOOKUP(VALUE(MID($A333,5,3)),BASE_Pot!$A$2:$B$321,2,FALSE),"0.000"),"")</f>
        <v/>
      </c>
      <c r="E333" s="11" t="str">
        <f>IF($B333&lt;&gt;"",TEXT(1-manut_MP($B333,E$1,E$2)/VLOOKUP(VALUE(MID($A333,5,3)),BASE_Pot!$A$2:$B$321,2,FALSE),"0.000"),"")</f>
        <v/>
      </c>
      <c r="F333" s="11" t="str">
        <f>IF($B333&lt;&gt;"",TEXT(1-manut_MP($B333,F$1,F$2)/VLOOKUP(VALUE(MID($A333,5,3)),BASE_Pot!$A$2:$B$321,2,FALSE),"0.000"),"")</f>
        <v/>
      </c>
      <c r="G333" s="11" t="str">
        <f>IF($B333&lt;&gt;"",TEXT(1-manut_MP($B333,G$1,G$2)/VLOOKUP(VALUE(MID($A333,5,3)),BASE_Pot!$A$2:$B$321,2,FALSE),"0.000"),"")</f>
        <v/>
      </c>
      <c r="H333" s="11" t="str">
        <f>IF($B333&lt;&gt;"",TEXT(1-manut_MP($B333,H$1,H$2)/VLOOKUP(VALUE(MID($A333,5,3)),BASE_Pot!$A$2:$B$321,2,FALSE),"0.000"),"")</f>
        <v/>
      </c>
      <c r="I333" s="11" t="str">
        <f>IF($B333&lt;&gt;"",TEXT(1-manut_MP($B333,I$1,I$2)/VLOOKUP(VALUE(MID($A333,5,3)),BASE_Pot!$A$2:$B$321,2,FALSE),"0.000"),"")</f>
        <v/>
      </c>
      <c r="J333" t="str">
        <f>""</f>
        <v/>
      </c>
      <c r="L333" t="str">
        <f t="shared" si="12"/>
        <v>&amp;.................................</v>
      </c>
    </row>
    <row r="334" spans="1:12" x14ac:dyDescent="0.25">
      <c r="A334" t="s">
        <v>450</v>
      </c>
      <c r="B334" t="str">
        <f t="shared" si="13"/>
        <v/>
      </c>
      <c r="C334" s="11" t="str">
        <f>IF($B334&lt;&gt;"",TEXT(1-manut_MP($B334,C$1,C$2)/VLOOKUP(VALUE(MID($A334,5,3)),BASE_Pot!$A$2:$B$321,2,FALSE),"0.000"),"")</f>
        <v/>
      </c>
      <c r="D334" s="11" t="str">
        <f>IF($B334&lt;&gt;"",TEXT(1-manut_MP($B334,D$1,D$2)/VLOOKUP(VALUE(MID($A334,5,3)),BASE_Pot!$A$2:$B$321,2,FALSE),"0.000"),"")</f>
        <v/>
      </c>
      <c r="E334" s="11" t="str">
        <f>IF($B334&lt;&gt;"",TEXT(1-manut_MP($B334,E$1,E$2)/VLOOKUP(VALUE(MID($A334,5,3)),BASE_Pot!$A$2:$B$321,2,FALSE),"0.000"),"")</f>
        <v/>
      </c>
      <c r="F334" s="11" t="str">
        <f>IF($B334&lt;&gt;"",TEXT(1-manut_MP($B334,F$1,F$2)/VLOOKUP(VALUE(MID($A334,5,3)),BASE_Pot!$A$2:$B$321,2,FALSE),"0.000"),"")</f>
        <v/>
      </c>
      <c r="G334" s="11" t="str">
        <f>IF($B334&lt;&gt;"",TEXT(1-manut_MP($B334,G$1,G$2)/VLOOKUP(VALUE(MID($A334,5,3)),BASE_Pot!$A$2:$B$321,2,FALSE),"0.000"),"")</f>
        <v/>
      </c>
      <c r="H334" s="11" t="str">
        <f>IF($B334&lt;&gt;"",TEXT(1-manut_MP($B334,H$1,H$2)/VLOOKUP(VALUE(MID($A334,5,3)),BASE_Pot!$A$2:$B$321,2,FALSE),"0.000"),"")</f>
        <v/>
      </c>
      <c r="I334" s="11" t="str">
        <f>IF($B334&lt;&gt;"",TEXT(1-manut_MP($B334,I$1,I$2)/VLOOKUP(VALUE(MID($A334,5,3)),BASE_Pot!$A$2:$B$321,2,FALSE),"0.000"),"")</f>
        <v/>
      </c>
      <c r="J334" t="str">
        <f>""</f>
        <v/>
      </c>
      <c r="L334" t="str">
        <f t="shared" si="12"/>
        <v>&amp;         CESC</v>
      </c>
    </row>
    <row r="335" spans="1:12" x14ac:dyDescent="0.25">
      <c r="A335" t="s">
        <v>304</v>
      </c>
      <c r="B335" t="str">
        <f t="shared" si="13"/>
        <v/>
      </c>
      <c r="C335" s="11" t="str">
        <f>IF($B335&lt;&gt;"",TEXT(1-manut_MP($B335,C$1,C$2)/VLOOKUP(VALUE(MID($A335,5,3)),BASE_Pot!$A$2:$B$321,2,FALSE),"0.000"),"")</f>
        <v/>
      </c>
      <c r="D335" s="11" t="str">
        <f>IF($B335&lt;&gt;"",TEXT(1-manut_MP($B335,D$1,D$2)/VLOOKUP(VALUE(MID($A335,5,3)),BASE_Pot!$A$2:$B$321,2,FALSE),"0.000"),"")</f>
        <v/>
      </c>
      <c r="E335" s="11" t="str">
        <f>IF($B335&lt;&gt;"",TEXT(1-manut_MP($B335,E$1,E$2)/VLOOKUP(VALUE(MID($A335,5,3)),BASE_Pot!$A$2:$B$321,2,FALSE),"0.000"),"")</f>
        <v/>
      </c>
      <c r="F335" s="11" t="str">
        <f>IF($B335&lt;&gt;"",TEXT(1-manut_MP($B335,F$1,F$2)/VLOOKUP(VALUE(MID($A335,5,3)),BASE_Pot!$A$2:$B$321,2,FALSE),"0.000"),"")</f>
        <v/>
      </c>
      <c r="G335" s="11" t="str">
        <f>IF($B335&lt;&gt;"",TEXT(1-manut_MP($B335,G$1,G$2)/VLOOKUP(VALUE(MID($A335,5,3)),BASE_Pot!$A$2:$B$321,2,FALSE),"0.000"),"")</f>
        <v/>
      </c>
      <c r="H335" s="11" t="str">
        <f>IF($B335&lt;&gt;"",TEXT(1-manut_MP($B335,H$1,H$2)/VLOOKUP(VALUE(MID($A335,5,3)),BASE_Pot!$A$2:$B$321,2,FALSE),"0.000"),"")</f>
        <v/>
      </c>
      <c r="I335" s="11" t="str">
        <f>IF($B335&lt;&gt;"",TEXT(1-manut_MP($B335,I$1,I$2)/VLOOKUP(VALUE(MID($A335,5,3)),BASE_Pot!$A$2:$B$321,2,FALSE),"0.000"),"")</f>
        <v/>
      </c>
      <c r="J335" t="str">
        <f>""</f>
        <v/>
      </c>
      <c r="L335" t="str">
        <f t="shared" si="12"/>
        <v>&amp;.................................</v>
      </c>
    </row>
    <row r="336" spans="1:12" x14ac:dyDescent="0.25">
      <c r="A336" t="s">
        <v>451</v>
      </c>
      <c r="B336" t="str">
        <f t="shared" si="13"/>
        <v/>
      </c>
      <c r="C336" s="11" t="str">
        <f>IF($B336&lt;&gt;"",TEXT(1-manut_MP($B336,C$1,C$2)/VLOOKUP(VALUE(MID($A336,5,3)),BASE_Pot!$A$2:$B$321,2,FALSE),"0.000"),"")</f>
        <v/>
      </c>
      <c r="D336" s="11" t="str">
        <f>IF($B336&lt;&gt;"",TEXT(1-manut_MP($B336,D$1,D$2)/VLOOKUP(VALUE(MID($A336,5,3)),BASE_Pot!$A$2:$B$321,2,FALSE),"0.000"),"")</f>
        <v/>
      </c>
      <c r="E336" s="11" t="str">
        <f>IF($B336&lt;&gt;"",TEXT(1-manut_MP($B336,E$1,E$2)/VLOOKUP(VALUE(MID($A336,5,3)),BASE_Pot!$A$2:$B$321,2,FALSE),"0.000"),"")</f>
        <v/>
      </c>
      <c r="F336" s="11" t="str">
        <f>IF($B336&lt;&gt;"",TEXT(1-manut_MP($B336,F$1,F$2)/VLOOKUP(VALUE(MID($A336,5,3)),BASE_Pot!$A$2:$B$321,2,FALSE),"0.000"),"")</f>
        <v/>
      </c>
      <c r="G336" s="11" t="str">
        <f>IF($B336&lt;&gt;"",TEXT(1-manut_MP($B336,G$1,G$2)/VLOOKUP(VALUE(MID($A336,5,3)),BASE_Pot!$A$2:$B$321,2,FALSE),"0.000"),"")</f>
        <v/>
      </c>
      <c r="H336" s="11" t="str">
        <f>IF($B336&lt;&gt;"",TEXT(1-manut_MP($B336,H$1,H$2)/VLOOKUP(VALUE(MID($A336,5,3)),BASE_Pot!$A$2:$B$321,2,FALSE),"0.000"),"")</f>
        <v/>
      </c>
      <c r="I336" s="11" t="str">
        <f>IF($B336&lt;&gt;"",TEXT(1-manut_MP($B336,I$1,I$2)/VLOOKUP(VALUE(MID($A336,5,3)),BASE_Pot!$A$2:$B$321,2,FALSE),"0.000"),"")</f>
        <v/>
      </c>
      <c r="J336" t="str">
        <f>""</f>
        <v/>
      </c>
      <c r="L336" t="str">
        <f t="shared" si="12"/>
        <v>&amp;STA CLARA MG</v>
      </c>
    </row>
    <row r="337" spans="1:12" x14ac:dyDescent="0.25">
      <c r="A337" t="s">
        <v>614</v>
      </c>
      <c r="B337" t="str">
        <f t="shared" si="13"/>
        <v>283-H</v>
      </c>
      <c r="C337" s="11" t="str">
        <f>IF($B337&lt;&gt;"",TEXT(1-manut_MP($B337,C$1,C$2)/VLOOKUP(VALUE(MID($A337,5,3)),BASE_Pot!$A$2:$B$321,2,FALSE),"0.000"),"")</f>
        <v>1.000</v>
      </c>
      <c r="D337" s="11" t="str">
        <f>IF($B337&lt;&gt;"",TEXT(1-manut_MP($B337,D$1,D$2)/VLOOKUP(VALUE(MID($A337,5,3)),BASE_Pot!$A$2:$B$321,2,FALSE),"0.000"),"")</f>
        <v>1.000</v>
      </c>
      <c r="E337" s="11" t="str">
        <f>IF($B337&lt;&gt;"",TEXT(1-manut_MP($B337,E$1,E$2)/VLOOKUP(VALUE(MID($A337,5,3)),BASE_Pot!$A$2:$B$321,2,FALSE),"0.000"),"")</f>
        <v>1.000</v>
      </c>
      <c r="F337" s="11" t="str">
        <f>IF($B337&lt;&gt;"",TEXT(1-manut_MP($B337,F$1,F$2)/VLOOKUP(VALUE(MID($A337,5,3)),BASE_Pot!$A$2:$B$321,2,FALSE),"0.000"),"")</f>
        <v>1.000</v>
      </c>
      <c r="G337" s="11" t="str">
        <f>IF($B337&lt;&gt;"",TEXT(1-manut_MP($B337,G$1,G$2)/VLOOKUP(VALUE(MID($A337,5,3)),BASE_Pot!$A$2:$B$321,2,FALSE),"0.000"),"")</f>
        <v>1.000</v>
      </c>
      <c r="H337" s="11" t="str">
        <f>IF($B337&lt;&gt;"",TEXT(1-manut_MP($B337,H$1,H$2)/VLOOKUP(VALUE(MID($A337,5,3)),BASE_Pot!$A$2:$B$321,2,FALSE),"0.000"),"")</f>
        <v>1.000</v>
      </c>
      <c r="I337" s="11" t="str">
        <f>IF($B337&lt;&gt;"",TEXT(1-manut_MP($B337,I$1,I$2)/VLOOKUP(VALUE(MID($A337,5,3)),BASE_Pot!$A$2:$B$321,2,FALSE),"0.000"),"")</f>
        <v>1.000</v>
      </c>
      <c r="J337" t="str">
        <f>""</f>
        <v/>
      </c>
      <c r="L337" t="str">
        <f t="shared" si="12"/>
        <v>MP  283  1.0001.0001.0001.0001.0001.0001.000</v>
      </c>
    </row>
    <row r="338" spans="1:12" x14ac:dyDescent="0.25">
      <c r="A338" t="s">
        <v>304</v>
      </c>
      <c r="B338" t="str">
        <f t="shared" si="13"/>
        <v/>
      </c>
      <c r="C338" s="11" t="str">
        <f>IF($B338&lt;&gt;"",TEXT(1-manut_MP($B338,C$1,C$2)/VLOOKUP(VALUE(MID($A338,5,3)),BASE_Pot!$A$2:$B$321,2,FALSE),"0.000"),"")</f>
        <v/>
      </c>
      <c r="D338" s="11" t="str">
        <f>IF($B338&lt;&gt;"",TEXT(1-manut_MP($B338,D$1,D$2)/VLOOKUP(VALUE(MID($A338,5,3)),BASE_Pot!$A$2:$B$321,2,FALSE),"0.000"),"")</f>
        <v/>
      </c>
      <c r="E338" s="11" t="str">
        <f>IF($B338&lt;&gt;"",TEXT(1-manut_MP($B338,E$1,E$2)/VLOOKUP(VALUE(MID($A338,5,3)),BASE_Pot!$A$2:$B$321,2,FALSE),"0.000"),"")</f>
        <v/>
      </c>
      <c r="F338" s="11" t="str">
        <f>IF($B338&lt;&gt;"",TEXT(1-manut_MP($B338,F$1,F$2)/VLOOKUP(VALUE(MID($A338,5,3)),BASE_Pot!$A$2:$B$321,2,FALSE),"0.000"),"")</f>
        <v/>
      </c>
      <c r="G338" s="11" t="str">
        <f>IF($B338&lt;&gt;"",TEXT(1-manut_MP($B338,G$1,G$2)/VLOOKUP(VALUE(MID($A338,5,3)),BASE_Pot!$A$2:$B$321,2,FALSE),"0.000"),"")</f>
        <v/>
      </c>
      <c r="H338" s="11" t="str">
        <f>IF($B338&lt;&gt;"",TEXT(1-manut_MP($B338,H$1,H$2)/VLOOKUP(VALUE(MID($A338,5,3)),BASE_Pot!$A$2:$B$321,2,FALSE),"0.000"),"")</f>
        <v/>
      </c>
      <c r="I338" s="11" t="str">
        <f>IF($B338&lt;&gt;"",TEXT(1-manut_MP($B338,I$1,I$2)/VLOOKUP(VALUE(MID($A338,5,3)),BASE_Pot!$A$2:$B$321,2,FALSE),"0.000"),"")</f>
        <v/>
      </c>
      <c r="J338" t="str">
        <f>""</f>
        <v/>
      </c>
      <c r="L338" t="str">
        <f t="shared" si="12"/>
        <v>&amp;.................................</v>
      </c>
    </row>
    <row r="339" spans="1:12" x14ac:dyDescent="0.25">
      <c r="A339" t="s">
        <v>452</v>
      </c>
      <c r="B339" t="str">
        <f t="shared" si="13"/>
        <v/>
      </c>
      <c r="C339" s="11" t="str">
        <f>IF($B339&lt;&gt;"",TEXT(1-manut_MP($B339,C$1,C$2)/VLOOKUP(VALUE(MID($A339,5,3)),BASE_Pot!$A$2:$B$321,2,FALSE),"0.000"),"")</f>
        <v/>
      </c>
      <c r="D339" s="11" t="str">
        <f>IF($B339&lt;&gt;"",TEXT(1-manut_MP($B339,D$1,D$2)/VLOOKUP(VALUE(MID($A339,5,3)),BASE_Pot!$A$2:$B$321,2,FALSE),"0.000"),"")</f>
        <v/>
      </c>
      <c r="E339" s="11" t="str">
        <f>IF($B339&lt;&gt;"",TEXT(1-manut_MP($B339,E$1,E$2)/VLOOKUP(VALUE(MID($A339,5,3)),BASE_Pot!$A$2:$B$321,2,FALSE),"0.000"),"")</f>
        <v/>
      </c>
      <c r="F339" s="11" t="str">
        <f>IF($B339&lt;&gt;"",TEXT(1-manut_MP($B339,F$1,F$2)/VLOOKUP(VALUE(MID($A339,5,3)),BASE_Pot!$A$2:$B$321,2,FALSE),"0.000"),"")</f>
        <v/>
      </c>
      <c r="G339" s="11" t="str">
        <f>IF($B339&lt;&gt;"",TEXT(1-manut_MP($B339,G$1,G$2)/VLOOKUP(VALUE(MID($A339,5,3)),BASE_Pot!$A$2:$B$321,2,FALSE),"0.000"),"")</f>
        <v/>
      </c>
      <c r="H339" s="11" t="str">
        <f>IF($B339&lt;&gt;"",TEXT(1-manut_MP($B339,H$1,H$2)/VLOOKUP(VALUE(MID($A339,5,3)),BASE_Pot!$A$2:$B$321,2,FALSE),"0.000"),"")</f>
        <v/>
      </c>
      <c r="I339" s="11" t="str">
        <f>IF($B339&lt;&gt;"",TEXT(1-manut_MP($B339,I$1,I$2)/VLOOKUP(VALUE(MID($A339,5,3)),BASE_Pot!$A$2:$B$321,2,FALSE),"0.000"),"")</f>
        <v/>
      </c>
      <c r="J339" t="str">
        <f>""</f>
        <v/>
      </c>
      <c r="L339" t="str">
        <f t="shared" ref="L339:L402" si="14">IF(LEFT(A339,1)="&amp;",A339,A339&amp;"  "&amp;LEFT(INDEX($C339:$J339,1,MIN($M$1,8))&amp;INDEX($C339:$J339,1,MIN($M$1+1,8))&amp;INDEX($C339:$J339,1,MIN($M$1+2,8))&amp;INDEX($C339:$J339,1,MIN($M$1+3,8))&amp;INDEX($C339:$J339,1,MIN($M$1+4,8))&amp;INDEX($C339:$J339,1,MIN($M$1+5,8))&amp;INDEX($C339:$J339,1,MIN($M$1+6,8))&amp;INDEX($C339:$J339,1,MIN($M$1+7,8)),5*($P$1-1))&amp;"1.000")</f>
        <v>&amp;         GERDAU</v>
      </c>
    </row>
    <row r="340" spans="1:12" x14ac:dyDescent="0.25">
      <c r="A340" t="s">
        <v>304</v>
      </c>
      <c r="B340" t="str">
        <f t="shared" si="13"/>
        <v/>
      </c>
      <c r="C340" s="11" t="str">
        <f>IF($B340&lt;&gt;"",TEXT(1-manut_MP($B340,C$1,C$2)/VLOOKUP(VALUE(MID($A340,5,3)),BASE_Pot!$A$2:$B$321,2,FALSE),"0.000"),"")</f>
        <v/>
      </c>
      <c r="D340" s="11" t="str">
        <f>IF($B340&lt;&gt;"",TEXT(1-manut_MP($B340,D$1,D$2)/VLOOKUP(VALUE(MID($A340,5,3)),BASE_Pot!$A$2:$B$321,2,FALSE),"0.000"),"")</f>
        <v/>
      </c>
      <c r="E340" s="11" t="str">
        <f>IF($B340&lt;&gt;"",TEXT(1-manut_MP($B340,E$1,E$2)/VLOOKUP(VALUE(MID($A340,5,3)),BASE_Pot!$A$2:$B$321,2,FALSE),"0.000"),"")</f>
        <v/>
      </c>
      <c r="F340" s="11" t="str">
        <f>IF($B340&lt;&gt;"",TEXT(1-manut_MP($B340,F$1,F$2)/VLOOKUP(VALUE(MID($A340,5,3)),BASE_Pot!$A$2:$B$321,2,FALSE),"0.000"),"")</f>
        <v/>
      </c>
      <c r="G340" s="11" t="str">
        <f>IF($B340&lt;&gt;"",TEXT(1-manut_MP($B340,G$1,G$2)/VLOOKUP(VALUE(MID($A340,5,3)),BASE_Pot!$A$2:$B$321,2,FALSE),"0.000"),"")</f>
        <v/>
      </c>
      <c r="H340" s="11" t="str">
        <f>IF($B340&lt;&gt;"",TEXT(1-manut_MP($B340,H$1,H$2)/VLOOKUP(VALUE(MID($A340,5,3)),BASE_Pot!$A$2:$B$321,2,FALSE),"0.000"),"")</f>
        <v/>
      </c>
      <c r="I340" s="11" t="str">
        <f>IF($B340&lt;&gt;"",TEXT(1-manut_MP($B340,I$1,I$2)/VLOOKUP(VALUE(MID($A340,5,3)),BASE_Pot!$A$2:$B$321,2,FALSE),"0.000"),"")</f>
        <v/>
      </c>
      <c r="J340" t="str">
        <f>""</f>
        <v/>
      </c>
      <c r="L340" t="str">
        <f t="shared" si="14"/>
        <v>&amp;.................................</v>
      </c>
    </row>
    <row r="341" spans="1:12" x14ac:dyDescent="0.25">
      <c r="A341" t="s">
        <v>453</v>
      </c>
      <c r="B341" t="str">
        <f t="shared" si="13"/>
        <v/>
      </c>
      <c r="C341" s="11" t="str">
        <f>IF($B341&lt;&gt;"",TEXT(1-manut_MP($B341,C$1,C$2)/VLOOKUP(VALUE(MID($A341,5,3)),BASE_Pot!$A$2:$B$321,2,FALSE),"0.000"),"")</f>
        <v/>
      </c>
      <c r="D341" s="11" t="str">
        <f>IF($B341&lt;&gt;"",TEXT(1-manut_MP($B341,D$1,D$2)/VLOOKUP(VALUE(MID($A341,5,3)),BASE_Pot!$A$2:$B$321,2,FALSE),"0.000"),"")</f>
        <v/>
      </c>
      <c r="E341" s="11" t="str">
        <f>IF($B341&lt;&gt;"",TEXT(1-manut_MP($B341,E$1,E$2)/VLOOKUP(VALUE(MID($A341,5,3)),BASE_Pot!$A$2:$B$321,2,FALSE),"0.000"),"")</f>
        <v/>
      </c>
      <c r="F341" s="11" t="str">
        <f>IF($B341&lt;&gt;"",TEXT(1-manut_MP($B341,F$1,F$2)/VLOOKUP(VALUE(MID($A341,5,3)),BASE_Pot!$A$2:$B$321,2,FALSE),"0.000"),"")</f>
        <v/>
      </c>
      <c r="G341" s="11" t="str">
        <f>IF($B341&lt;&gt;"",TEXT(1-manut_MP($B341,G$1,G$2)/VLOOKUP(VALUE(MID($A341,5,3)),BASE_Pot!$A$2:$B$321,2,FALSE),"0.000"),"")</f>
        <v/>
      </c>
      <c r="H341" s="11" t="str">
        <f>IF($B341&lt;&gt;"",TEXT(1-manut_MP($B341,H$1,H$2)/VLOOKUP(VALUE(MID($A341,5,3)),BASE_Pot!$A$2:$B$321,2,FALSE),"0.000"),"")</f>
        <v/>
      </c>
      <c r="I341" s="11" t="str">
        <f>IF($B341&lt;&gt;"",TEXT(1-manut_MP($B341,I$1,I$2)/VLOOKUP(VALUE(MID($A341,5,3)),BASE_Pot!$A$2:$B$321,2,FALSE),"0.000"),"")</f>
        <v/>
      </c>
      <c r="J341" t="str">
        <f>""</f>
        <v/>
      </c>
      <c r="L341" t="str">
        <f t="shared" si="14"/>
        <v>&amp;CACU</v>
      </c>
    </row>
    <row r="342" spans="1:12" x14ac:dyDescent="0.25">
      <c r="A342" t="s">
        <v>615</v>
      </c>
      <c r="B342" t="str">
        <f t="shared" si="13"/>
        <v>311-H</v>
      </c>
      <c r="C342" s="11" t="str">
        <f>IF($B342&lt;&gt;"",TEXT(1-manut_MP($B342,C$1,C$2)/VLOOKUP(VALUE(MID($A342,5,3)),BASE_Pot!$A$2:$B$321,2,FALSE),"0.000"),"")</f>
        <v>1.000</v>
      </c>
      <c r="D342" s="11" t="str">
        <f>IF($B342&lt;&gt;"",TEXT(1-manut_MP($B342,D$1,D$2)/VLOOKUP(VALUE(MID($A342,5,3)),BASE_Pot!$A$2:$B$321,2,FALSE),"0.000"),"")</f>
        <v>1.000</v>
      </c>
      <c r="E342" s="11" t="str">
        <f>IF($B342&lt;&gt;"",TEXT(1-manut_MP($B342,E$1,E$2)/VLOOKUP(VALUE(MID($A342,5,3)),BASE_Pot!$A$2:$B$321,2,FALSE),"0.000"),"")</f>
        <v>1.000</v>
      </c>
      <c r="F342" s="11" t="str">
        <f>IF($B342&lt;&gt;"",TEXT(1-manut_MP($B342,F$1,F$2)/VLOOKUP(VALUE(MID($A342,5,3)),BASE_Pot!$A$2:$B$321,2,FALSE),"0.000"),"")</f>
        <v>1.000</v>
      </c>
      <c r="G342" s="11" t="str">
        <f>IF($B342&lt;&gt;"",TEXT(1-manut_MP($B342,G$1,G$2)/VLOOKUP(VALUE(MID($A342,5,3)),BASE_Pot!$A$2:$B$321,2,FALSE),"0.000"),"")</f>
        <v>1.000</v>
      </c>
      <c r="H342" s="11" t="str">
        <f>IF($B342&lt;&gt;"",TEXT(1-manut_MP($B342,H$1,H$2)/VLOOKUP(VALUE(MID($A342,5,3)),BASE_Pot!$A$2:$B$321,2,FALSE),"0.000"),"")</f>
        <v>1.000</v>
      </c>
      <c r="I342" s="11" t="str">
        <f>IF($B342&lt;&gt;"",TEXT(1-manut_MP($B342,I$1,I$2)/VLOOKUP(VALUE(MID($A342,5,3)),BASE_Pot!$A$2:$B$321,2,FALSE),"0.000"),"")</f>
        <v>1.000</v>
      </c>
      <c r="J342" t="str">
        <f>""</f>
        <v/>
      </c>
      <c r="L342" t="str">
        <f t="shared" si="14"/>
        <v>MP  311  1.0001.0001.0001.0001.0001.0001.000</v>
      </c>
    </row>
    <row r="343" spans="1:12" x14ac:dyDescent="0.25">
      <c r="A343" t="s">
        <v>454</v>
      </c>
      <c r="B343" t="str">
        <f t="shared" si="13"/>
        <v/>
      </c>
      <c r="C343" s="11" t="str">
        <f>IF($B343&lt;&gt;"",TEXT(1-manut_MP($B343,C$1,C$2)/VLOOKUP(VALUE(MID($A343,5,3)),BASE_Pot!$A$2:$B$321,2,FALSE),"0.000"),"")</f>
        <v/>
      </c>
      <c r="D343" s="11" t="str">
        <f>IF($B343&lt;&gt;"",TEXT(1-manut_MP($B343,D$1,D$2)/VLOOKUP(VALUE(MID($A343,5,3)),BASE_Pot!$A$2:$B$321,2,FALSE),"0.000"),"")</f>
        <v/>
      </c>
      <c r="E343" s="11" t="str">
        <f>IF($B343&lt;&gt;"",TEXT(1-manut_MP($B343,E$1,E$2)/VLOOKUP(VALUE(MID($A343,5,3)),BASE_Pot!$A$2:$B$321,2,FALSE),"0.000"),"")</f>
        <v/>
      </c>
      <c r="F343" s="11" t="str">
        <f>IF($B343&lt;&gt;"",TEXT(1-manut_MP($B343,F$1,F$2)/VLOOKUP(VALUE(MID($A343,5,3)),BASE_Pot!$A$2:$B$321,2,FALSE),"0.000"),"")</f>
        <v/>
      </c>
      <c r="G343" s="11" t="str">
        <f>IF($B343&lt;&gt;"",TEXT(1-manut_MP($B343,G$1,G$2)/VLOOKUP(VALUE(MID($A343,5,3)),BASE_Pot!$A$2:$B$321,2,FALSE),"0.000"),"")</f>
        <v/>
      </c>
      <c r="H343" s="11" t="str">
        <f>IF($B343&lt;&gt;"",TEXT(1-manut_MP($B343,H$1,H$2)/VLOOKUP(VALUE(MID($A343,5,3)),BASE_Pot!$A$2:$B$321,2,FALSE),"0.000"),"")</f>
        <v/>
      </c>
      <c r="I343" s="11" t="str">
        <f>IF($B343&lt;&gt;"",TEXT(1-manut_MP($B343,I$1,I$2)/VLOOKUP(VALUE(MID($A343,5,3)),BASE_Pot!$A$2:$B$321,2,FALSE),"0.000"),"")</f>
        <v/>
      </c>
      <c r="J343" t="str">
        <f>""</f>
        <v/>
      </c>
      <c r="L343" t="str">
        <f t="shared" si="14"/>
        <v>&amp;B. COQUEIROS</v>
      </c>
    </row>
    <row r="344" spans="1:12" x14ac:dyDescent="0.25">
      <c r="A344" t="s">
        <v>616</v>
      </c>
      <c r="B344" t="str">
        <f t="shared" si="13"/>
        <v>312-H</v>
      </c>
      <c r="C344" s="11" t="str">
        <f>IF($B344&lt;&gt;"",TEXT(1-manut_MP($B344,C$1,C$2)/VLOOKUP(VALUE(MID($A344,5,3)),BASE_Pot!$A$2:$B$321,2,FALSE),"0.000"),"")</f>
        <v>1.000</v>
      </c>
      <c r="D344" s="11" t="str">
        <f>IF($B344&lt;&gt;"",TEXT(1-manut_MP($B344,D$1,D$2)/VLOOKUP(VALUE(MID($A344,5,3)),BASE_Pot!$A$2:$B$321,2,FALSE),"0.000"),"")</f>
        <v>1.000</v>
      </c>
      <c r="E344" s="11" t="str">
        <f>IF($B344&lt;&gt;"",TEXT(1-manut_MP($B344,E$1,E$2)/VLOOKUP(VALUE(MID($A344,5,3)),BASE_Pot!$A$2:$B$321,2,FALSE),"0.000"),"")</f>
        <v>1.000</v>
      </c>
      <c r="F344" s="11" t="str">
        <f>IF($B344&lt;&gt;"",TEXT(1-manut_MP($B344,F$1,F$2)/VLOOKUP(VALUE(MID($A344,5,3)),BASE_Pot!$A$2:$B$321,2,FALSE),"0.000"),"")</f>
        <v>1.000</v>
      </c>
      <c r="G344" s="11" t="str">
        <f>IF($B344&lt;&gt;"",TEXT(1-manut_MP($B344,G$1,G$2)/VLOOKUP(VALUE(MID($A344,5,3)),BASE_Pot!$A$2:$B$321,2,FALSE),"0.000"),"")</f>
        <v>1.000</v>
      </c>
      <c r="H344" s="11" t="str">
        <f>IF($B344&lt;&gt;"",TEXT(1-manut_MP($B344,H$1,H$2)/VLOOKUP(VALUE(MID($A344,5,3)),BASE_Pot!$A$2:$B$321,2,FALSE),"0.000"),"")</f>
        <v>1.000</v>
      </c>
      <c r="I344" s="11" t="str">
        <f>IF($B344&lt;&gt;"",TEXT(1-manut_MP($B344,I$1,I$2)/VLOOKUP(VALUE(MID($A344,5,3)),BASE_Pot!$A$2:$B$321,2,FALSE),"0.000"),"")</f>
        <v>1.000</v>
      </c>
      <c r="J344" t="str">
        <f>""</f>
        <v/>
      </c>
      <c r="L344" t="str">
        <f t="shared" si="14"/>
        <v>MP  312  1.0001.0001.0001.0001.0001.0001.000</v>
      </c>
    </row>
    <row r="345" spans="1:12" x14ac:dyDescent="0.25">
      <c r="A345" t="s">
        <v>304</v>
      </c>
      <c r="B345" t="str">
        <f t="shared" si="13"/>
        <v/>
      </c>
      <c r="C345" s="11" t="str">
        <f>IF($B345&lt;&gt;"",TEXT(1-manut_MP($B345,C$1,C$2)/VLOOKUP(VALUE(MID($A345,5,3)),BASE_Pot!$A$2:$B$321,2,FALSE),"0.000"),"")</f>
        <v/>
      </c>
      <c r="D345" s="11" t="str">
        <f>IF($B345&lt;&gt;"",TEXT(1-manut_MP($B345,D$1,D$2)/VLOOKUP(VALUE(MID($A345,5,3)),BASE_Pot!$A$2:$B$321,2,FALSE),"0.000"),"")</f>
        <v/>
      </c>
      <c r="E345" s="11" t="str">
        <f>IF($B345&lt;&gt;"",TEXT(1-manut_MP($B345,E$1,E$2)/VLOOKUP(VALUE(MID($A345,5,3)),BASE_Pot!$A$2:$B$321,2,FALSE),"0.000"),"")</f>
        <v/>
      </c>
      <c r="F345" s="11" t="str">
        <f>IF($B345&lt;&gt;"",TEXT(1-manut_MP($B345,F$1,F$2)/VLOOKUP(VALUE(MID($A345,5,3)),BASE_Pot!$A$2:$B$321,2,FALSE),"0.000"),"")</f>
        <v/>
      </c>
      <c r="G345" s="11" t="str">
        <f>IF($B345&lt;&gt;"",TEXT(1-manut_MP($B345,G$1,G$2)/VLOOKUP(VALUE(MID($A345,5,3)),BASE_Pot!$A$2:$B$321,2,FALSE),"0.000"),"")</f>
        <v/>
      </c>
      <c r="H345" s="11" t="str">
        <f>IF($B345&lt;&gt;"",TEXT(1-manut_MP($B345,H$1,H$2)/VLOOKUP(VALUE(MID($A345,5,3)),BASE_Pot!$A$2:$B$321,2,FALSE),"0.000"),"")</f>
        <v/>
      </c>
      <c r="I345" s="11" t="str">
        <f>IF($B345&lt;&gt;"",TEXT(1-manut_MP($B345,I$1,I$2)/VLOOKUP(VALUE(MID($A345,5,3)),BASE_Pot!$A$2:$B$321,2,FALSE),"0.000"),"")</f>
        <v/>
      </c>
      <c r="J345" t="str">
        <f>""</f>
        <v/>
      </c>
      <c r="L345" t="str">
        <f t="shared" si="14"/>
        <v>&amp;.................................</v>
      </c>
    </row>
    <row r="346" spans="1:12" x14ac:dyDescent="0.25">
      <c r="A346" t="s">
        <v>455</v>
      </c>
      <c r="B346" t="str">
        <f t="shared" si="13"/>
        <v/>
      </c>
      <c r="C346" s="11" t="str">
        <f>IF($B346&lt;&gt;"",TEXT(1-manut_MP($B346,C$1,C$2)/VLOOKUP(VALUE(MID($A346,5,3)),BASE_Pot!$A$2:$B$321,2,FALSE),"0.000"),"")</f>
        <v/>
      </c>
      <c r="D346" s="11" t="str">
        <f>IF($B346&lt;&gt;"",TEXT(1-manut_MP($B346,D$1,D$2)/VLOOKUP(VALUE(MID($A346,5,3)),BASE_Pot!$A$2:$B$321,2,FALSE),"0.000"),"")</f>
        <v/>
      </c>
      <c r="E346" s="11" t="str">
        <f>IF($B346&lt;&gt;"",TEXT(1-manut_MP($B346,E$1,E$2)/VLOOKUP(VALUE(MID($A346,5,3)),BASE_Pot!$A$2:$B$321,2,FALSE),"0.000"),"")</f>
        <v/>
      </c>
      <c r="F346" s="11" t="str">
        <f>IF($B346&lt;&gt;"",TEXT(1-manut_MP($B346,F$1,F$2)/VLOOKUP(VALUE(MID($A346,5,3)),BASE_Pot!$A$2:$B$321,2,FALSE),"0.000"),"")</f>
        <v/>
      </c>
      <c r="G346" s="11" t="str">
        <f>IF($B346&lt;&gt;"",TEXT(1-manut_MP($B346,G$1,G$2)/VLOOKUP(VALUE(MID($A346,5,3)),BASE_Pot!$A$2:$B$321,2,FALSE),"0.000"),"")</f>
        <v/>
      </c>
      <c r="H346" s="11" t="str">
        <f>IF($B346&lt;&gt;"",TEXT(1-manut_MP($B346,H$1,H$2)/VLOOKUP(VALUE(MID($A346,5,3)),BASE_Pot!$A$2:$B$321,2,FALSE),"0.000"),"")</f>
        <v/>
      </c>
      <c r="I346" s="11" t="str">
        <f>IF($B346&lt;&gt;"",TEXT(1-manut_MP($B346,I$1,I$2)/VLOOKUP(VALUE(MID($A346,5,3)),BASE_Pot!$A$2:$B$321,2,FALSE),"0.000"),"")</f>
        <v/>
      </c>
      <c r="J346" t="str">
        <f>""</f>
        <v/>
      </c>
      <c r="L346" t="str">
        <f t="shared" si="14"/>
        <v>&amp;         ENERGEST</v>
      </c>
    </row>
    <row r="347" spans="1:12" x14ac:dyDescent="0.25">
      <c r="A347" t="s">
        <v>304</v>
      </c>
      <c r="B347" t="str">
        <f t="shared" si="13"/>
        <v/>
      </c>
      <c r="C347" s="11" t="str">
        <f>IF($B347&lt;&gt;"",TEXT(1-manut_MP($B347,C$1,C$2)/VLOOKUP(VALUE(MID($A347,5,3)),BASE_Pot!$A$2:$B$321,2,FALSE),"0.000"),"")</f>
        <v/>
      </c>
      <c r="D347" s="11" t="str">
        <f>IF($B347&lt;&gt;"",TEXT(1-manut_MP($B347,D$1,D$2)/VLOOKUP(VALUE(MID($A347,5,3)),BASE_Pot!$A$2:$B$321,2,FALSE),"0.000"),"")</f>
        <v/>
      </c>
      <c r="E347" s="11" t="str">
        <f>IF($B347&lt;&gt;"",TEXT(1-manut_MP($B347,E$1,E$2)/VLOOKUP(VALUE(MID($A347,5,3)),BASE_Pot!$A$2:$B$321,2,FALSE),"0.000"),"")</f>
        <v/>
      </c>
      <c r="F347" s="11" t="str">
        <f>IF($B347&lt;&gt;"",TEXT(1-manut_MP($B347,F$1,F$2)/VLOOKUP(VALUE(MID($A347,5,3)),BASE_Pot!$A$2:$B$321,2,FALSE),"0.000"),"")</f>
        <v/>
      </c>
      <c r="G347" s="11" t="str">
        <f>IF($B347&lt;&gt;"",TEXT(1-manut_MP($B347,G$1,G$2)/VLOOKUP(VALUE(MID($A347,5,3)),BASE_Pot!$A$2:$B$321,2,FALSE),"0.000"),"")</f>
        <v/>
      </c>
      <c r="H347" s="11" t="str">
        <f>IF($B347&lt;&gt;"",TEXT(1-manut_MP($B347,H$1,H$2)/VLOOKUP(VALUE(MID($A347,5,3)),BASE_Pot!$A$2:$B$321,2,FALSE),"0.000"),"")</f>
        <v/>
      </c>
      <c r="I347" s="11" t="str">
        <f>IF($B347&lt;&gt;"",TEXT(1-manut_MP($B347,I$1,I$2)/VLOOKUP(VALUE(MID($A347,5,3)),BASE_Pot!$A$2:$B$321,2,FALSE),"0.000"),"")</f>
        <v/>
      </c>
      <c r="J347" t="str">
        <f>""</f>
        <v/>
      </c>
      <c r="L347" t="str">
        <f t="shared" si="14"/>
        <v>&amp;.................................</v>
      </c>
    </row>
    <row r="348" spans="1:12" x14ac:dyDescent="0.25">
      <c r="A348" t="s">
        <v>456</v>
      </c>
      <c r="B348" t="str">
        <f t="shared" si="13"/>
        <v/>
      </c>
      <c r="C348" s="11" t="str">
        <f>IF($B348&lt;&gt;"",TEXT(1-manut_MP($B348,C$1,C$2)/VLOOKUP(VALUE(MID($A348,5,3)),BASE_Pot!$A$2:$B$321,2,FALSE),"0.000"),"")</f>
        <v/>
      </c>
      <c r="D348" s="11" t="str">
        <f>IF($B348&lt;&gt;"",TEXT(1-manut_MP($B348,D$1,D$2)/VLOOKUP(VALUE(MID($A348,5,3)),BASE_Pot!$A$2:$B$321,2,FALSE),"0.000"),"")</f>
        <v/>
      </c>
      <c r="E348" s="11" t="str">
        <f>IF($B348&lt;&gt;"",TEXT(1-manut_MP($B348,E$1,E$2)/VLOOKUP(VALUE(MID($A348,5,3)),BASE_Pot!$A$2:$B$321,2,FALSE),"0.000"),"")</f>
        <v/>
      </c>
      <c r="F348" s="11" t="str">
        <f>IF($B348&lt;&gt;"",TEXT(1-manut_MP($B348,F$1,F$2)/VLOOKUP(VALUE(MID($A348,5,3)),BASE_Pot!$A$2:$B$321,2,FALSE),"0.000"),"")</f>
        <v/>
      </c>
      <c r="G348" s="11" t="str">
        <f>IF($B348&lt;&gt;"",TEXT(1-manut_MP($B348,G$1,G$2)/VLOOKUP(VALUE(MID($A348,5,3)),BASE_Pot!$A$2:$B$321,2,FALSE),"0.000"),"")</f>
        <v/>
      </c>
      <c r="H348" s="11" t="str">
        <f>IF($B348&lt;&gt;"",TEXT(1-manut_MP($B348,H$1,H$2)/VLOOKUP(VALUE(MID($A348,5,3)),BASE_Pot!$A$2:$B$321,2,FALSE),"0.000"),"")</f>
        <v/>
      </c>
      <c r="I348" s="11" t="str">
        <f>IF($B348&lt;&gt;"",TEXT(1-manut_MP($B348,I$1,I$2)/VLOOKUP(VALUE(MID($A348,5,3)),BASE_Pot!$A$2:$B$321,2,FALSE),"0.000"),"")</f>
        <v/>
      </c>
      <c r="J348" t="str">
        <f>""</f>
        <v/>
      </c>
      <c r="L348" t="str">
        <f t="shared" si="14"/>
        <v>&amp;MASCARENHAS</v>
      </c>
    </row>
    <row r="349" spans="1:12" x14ac:dyDescent="0.25">
      <c r="A349" t="s">
        <v>617</v>
      </c>
      <c r="B349" t="str">
        <f t="shared" si="13"/>
        <v>144-H</v>
      </c>
      <c r="C349" s="11" t="str">
        <f>IF($B349&lt;&gt;"",TEXT(1-manut_MP($B349,C$1,C$2)/VLOOKUP(VALUE(MID($A349,5,3)),BASE_Pot!$A$2:$B$321,2,FALSE),"0.000"),"")</f>
        <v>1.000</v>
      </c>
      <c r="D349" s="11" t="str">
        <f>IF($B349&lt;&gt;"",TEXT(1-manut_MP($B349,D$1,D$2)/VLOOKUP(VALUE(MID($A349,5,3)),BASE_Pot!$A$2:$B$321,2,FALSE),"0.000"),"")</f>
        <v>1.000</v>
      </c>
      <c r="E349" s="11" t="str">
        <f>IF($B349&lt;&gt;"",TEXT(1-manut_MP($B349,E$1,E$2)/VLOOKUP(VALUE(MID($A349,5,3)),BASE_Pot!$A$2:$B$321,2,FALSE),"0.000"),"")</f>
        <v>1.000</v>
      </c>
      <c r="F349" s="11" t="str">
        <f>IF($B349&lt;&gt;"",TEXT(1-manut_MP($B349,F$1,F$2)/VLOOKUP(VALUE(MID($A349,5,3)),BASE_Pot!$A$2:$B$321,2,FALSE),"0.000"),"")</f>
        <v>1.000</v>
      </c>
      <c r="G349" s="11" t="str">
        <f>IF($B349&lt;&gt;"",TEXT(1-manut_MP($B349,G$1,G$2)/VLOOKUP(VALUE(MID($A349,5,3)),BASE_Pot!$A$2:$B$321,2,FALSE),"0.000"),"")</f>
        <v>1.000</v>
      </c>
      <c r="H349" s="11" t="str">
        <f>IF($B349&lt;&gt;"",TEXT(1-manut_MP($B349,H$1,H$2)/VLOOKUP(VALUE(MID($A349,5,3)),BASE_Pot!$A$2:$B$321,2,FALSE),"0.000"),"")</f>
        <v>1.000</v>
      </c>
      <c r="I349" s="11" t="str">
        <f>IF($B349&lt;&gt;"",TEXT(1-manut_MP($B349,I$1,I$2)/VLOOKUP(VALUE(MID($A349,5,3)),BASE_Pot!$A$2:$B$321,2,FALSE),"0.000"),"")</f>
        <v>1.000</v>
      </c>
      <c r="J349" t="str">
        <f>""</f>
        <v/>
      </c>
      <c r="L349" t="str">
        <f t="shared" si="14"/>
        <v>MP  144  1.0001.0001.0001.0001.0001.0001.000</v>
      </c>
    </row>
    <row r="350" spans="1:12" x14ac:dyDescent="0.25">
      <c r="A350" t="s">
        <v>304</v>
      </c>
      <c r="B350" t="str">
        <f t="shared" si="13"/>
        <v/>
      </c>
      <c r="C350" s="11" t="str">
        <f>IF($B350&lt;&gt;"",TEXT(1-manut_MP($B350,C$1,C$2)/VLOOKUP(VALUE(MID($A350,5,3)),BASE_Pot!$A$2:$B$321,2,FALSE),"0.000"),"")</f>
        <v/>
      </c>
      <c r="D350" s="11" t="str">
        <f>IF($B350&lt;&gt;"",TEXT(1-manut_MP($B350,D$1,D$2)/VLOOKUP(VALUE(MID($A350,5,3)),BASE_Pot!$A$2:$B$321,2,FALSE),"0.000"),"")</f>
        <v/>
      </c>
      <c r="E350" s="11" t="str">
        <f>IF($B350&lt;&gt;"",TEXT(1-manut_MP($B350,E$1,E$2)/VLOOKUP(VALUE(MID($A350,5,3)),BASE_Pot!$A$2:$B$321,2,FALSE),"0.000"),"")</f>
        <v/>
      </c>
      <c r="F350" s="11" t="str">
        <f>IF($B350&lt;&gt;"",TEXT(1-manut_MP($B350,F$1,F$2)/VLOOKUP(VALUE(MID($A350,5,3)),BASE_Pot!$A$2:$B$321,2,FALSE),"0.000"),"")</f>
        <v/>
      </c>
      <c r="G350" s="11" t="str">
        <f>IF($B350&lt;&gt;"",TEXT(1-manut_MP($B350,G$1,G$2)/VLOOKUP(VALUE(MID($A350,5,3)),BASE_Pot!$A$2:$B$321,2,FALSE),"0.000"),"")</f>
        <v/>
      </c>
      <c r="H350" s="11" t="str">
        <f>IF($B350&lt;&gt;"",TEXT(1-manut_MP($B350,H$1,H$2)/VLOOKUP(VALUE(MID($A350,5,3)),BASE_Pot!$A$2:$B$321,2,FALSE),"0.000"),"")</f>
        <v/>
      </c>
      <c r="I350" s="11" t="str">
        <f>IF($B350&lt;&gt;"",TEXT(1-manut_MP($B350,I$1,I$2)/VLOOKUP(VALUE(MID($A350,5,3)),BASE_Pot!$A$2:$B$321,2,FALSE),"0.000"),"")</f>
        <v/>
      </c>
      <c r="J350" t="str">
        <f>""</f>
        <v/>
      </c>
      <c r="L350" t="str">
        <f t="shared" si="14"/>
        <v>&amp;.................................</v>
      </c>
    </row>
    <row r="351" spans="1:12" x14ac:dyDescent="0.25">
      <c r="A351" t="s">
        <v>457</v>
      </c>
      <c r="B351" t="str">
        <f t="shared" si="13"/>
        <v/>
      </c>
      <c r="C351" s="11" t="str">
        <f>IF($B351&lt;&gt;"",TEXT(1-manut_MP($B351,C$1,C$2)/VLOOKUP(VALUE(MID($A351,5,3)),BASE_Pot!$A$2:$B$321,2,FALSE),"0.000"),"")</f>
        <v/>
      </c>
      <c r="D351" s="11" t="str">
        <f>IF($B351&lt;&gt;"",TEXT(1-manut_MP($B351,D$1,D$2)/VLOOKUP(VALUE(MID($A351,5,3)),BASE_Pot!$A$2:$B$321,2,FALSE),"0.000"),"")</f>
        <v/>
      </c>
      <c r="E351" s="11" t="str">
        <f>IF($B351&lt;&gt;"",TEXT(1-manut_MP($B351,E$1,E$2)/VLOOKUP(VALUE(MID($A351,5,3)),BASE_Pot!$A$2:$B$321,2,FALSE),"0.000"),"")</f>
        <v/>
      </c>
      <c r="F351" s="11" t="str">
        <f>IF($B351&lt;&gt;"",TEXT(1-manut_MP($B351,F$1,F$2)/VLOOKUP(VALUE(MID($A351,5,3)),BASE_Pot!$A$2:$B$321,2,FALSE),"0.000"),"")</f>
        <v/>
      </c>
      <c r="G351" s="11" t="str">
        <f>IF($B351&lt;&gt;"",TEXT(1-manut_MP($B351,G$1,G$2)/VLOOKUP(VALUE(MID($A351,5,3)),BASE_Pot!$A$2:$B$321,2,FALSE),"0.000"),"")</f>
        <v/>
      </c>
      <c r="H351" s="11" t="str">
        <f>IF($B351&lt;&gt;"",TEXT(1-manut_MP($B351,H$1,H$2)/VLOOKUP(VALUE(MID($A351,5,3)),BASE_Pot!$A$2:$B$321,2,FALSE),"0.000"),"")</f>
        <v/>
      </c>
      <c r="I351" s="11" t="str">
        <f>IF($B351&lt;&gt;"",TEXT(1-manut_MP($B351,I$1,I$2)/VLOOKUP(VALUE(MID($A351,5,3)),BASE_Pot!$A$2:$B$321,2,FALSE),"0.000"),"")</f>
        <v/>
      </c>
      <c r="J351" t="str">
        <f>""</f>
        <v/>
      </c>
      <c r="L351" t="str">
        <f t="shared" si="14"/>
        <v>&amp;         CVRD</v>
      </c>
    </row>
    <row r="352" spans="1:12" x14ac:dyDescent="0.25">
      <c r="A352" t="s">
        <v>304</v>
      </c>
      <c r="B352" t="str">
        <f t="shared" si="13"/>
        <v/>
      </c>
      <c r="C352" s="11" t="str">
        <f>IF($B352&lt;&gt;"",TEXT(1-manut_MP($B352,C$1,C$2)/VLOOKUP(VALUE(MID($A352,5,3)),BASE_Pot!$A$2:$B$321,2,FALSE),"0.000"),"")</f>
        <v/>
      </c>
      <c r="D352" s="11" t="str">
        <f>IF($B352&lt;&gt;"",TEXT(1-manut_MP($B352,D$1,D$2)/VLOOKUP(VALUE(MID($A352,5,3)),BASE_Pot!$A$2:$B$321,2,FALSE),"0.000"),"")</f>
        <v/>
      </c>
      <c r="E352" s="11" t="str">
        <f>IF($B352&lt;&gt;"",TEXT(1-manut_MP($B352,E$1,E$2)/VLOOKUP(VALUE(MID($A352,5,3)),BASE_Pot!$A$2:$B$321,2,FALSE),"0.000"),"")</f>
        <v/>
      </c>
      <c r="F352" s="11" t="str">
        <f>IF($B352&lt;&gt;"",TEXT(1-manut_MP($B352,F$1,F$2)/VLOOKUP(VALUE(MID($A352,5,3)),BASE_Pot!$A$2:$B$321,2,FALSE),"0.000"),"")</f>
        <v/>
      </c>
      <c r="G352" s="11" t="str">
        <f>IF($B352&lt;&gt;"",TEXT(1-manut_MP($B352,G$1,G$2)/VLOOKUP(VALUE(MID($A352,5,3)),BASE_Pot!$A$2:$B$321,2,FALSE),"0.000"),"")</f>
        <v/>
      </c>
      <c r="H352" s="11" t="str">
        <f>IF($B352&lt;&gt;"",TEXT(1-manut_MP($B352,H$1,H$2)/VLOOKUP(VALUE(MID($A352,5,3)),BASE_Pot!$A$2:$B$321,2,FALSE),"0.000"),"")</f>
        <v/>
      </c>
      <c r="I352" s="11" t="str">
        <f>IF($B352&lt;&gt;"",TEXT(1-manut_MP($B352,I$1,I$2)/VLOOKUP(VALUE(MID($A352,5,3)),BASE_Pot!$A$2:$B$321,2,FALSE),"0.000"),"")</f>
        <v/>
      </c>
      <c r="J352" t="str">
        <f>""</f>
        <v/>
      </c>
      <c r="L352" t="str">
        <f t="shared" si="14"/>
        <v>&amp;.................................</v>
      </c>
    </row>
    <row r="353" spans="1:12" x14ac:dyDescent="0.25">
      <c r="A353" t="s">
        <v>458</v>
      </c>
      <c r="B353" t="str">
        <f t="shared" si="13"/>
        <v/>
      </c>
      <c r="C353" s="11" t="str">
        <f>IF($B353&lt;&gt;"",TEXT(1-manut_MP($B353,C$1,C$2)/VLOOKUP(VALUE(MID($A353,5,3)),BASE_Pot!$A$2:$B$321,2,FALSE),"0.000"),"")</f>
        <v/>
      </c>
      <c r="D353" s="11" t="str">
        <f>IF($B353&lt;&gt;"",TEXT(1-manut_MP($B353,D$1,D$2)/VLOOKUP(VALUE(MID($A353,5,3)),BASE_Pot!$A$2:$B$321,2,FALSE),"0.000"),"")</f>
        <v/>
      </c>
      <c r="E353" s="11" t="str">
        <f>IF($B353&lt;&gt;"",TEXT(1-manut_MP($B353,E$1,E$2)/VLOOKUP(VALUE(MID($A353,5,3)),BASE_Pot!$A$2:$B$321,2,FALSE),"0.000"),"")</f>
        <v/>
      </c>
      <c r="F353" s="11" t="str">
        <f>IF($B353&lt;&gt;"",TEXT(1-manut_MP($B353,F$1,F$2)/VLOOKUP(VALUE(MID($A353,5,3)),BASE_Pot!$A$2:$B$321,2,FALSE),"0.000"),"")</f>
        <v/>
      </c>
      <c r="G353" s="11" t="str">
        <f>IF($B353&lt;&gt;"",TEXT(1-manut_MP($B353,G$1,G$2)/VLOOKUP(VALUE(MID($A353,5,3)),BASE_Pot!$A$2:$B$321,2,FALSE),"0.000"),"")</f>
        <v/>
      </c>
      <c r="H353" s="11" t="str">
        <f>IF($B353&lt;&gt;"",TEXT(1-manut_MP($B353,H$1,H$2)/VLOOKUP(VALUE(MID($A353,5,3)),BASE_Pot!$A$2:$B$321,2,FALSE),"0.000"),"")</f>
        <v/>
      </c>
      <c r="I353" s="11" t="str">
        <f>IF($B353&lt;&gt;"",TEXT(1-manut_MP($B353,I$1,I$2)/VLOOKUP(VALUE(MID($A353,5,3)),BASE_Pot!$A$2:$B$321,2,FALSE),"0.000"),"")</f>
        <v/>
      </c>
      <c r="J353" t="str">
        <f>""</f>
        <v/>
      </c>
      <c r="L353" t="str">
        <f t="shared" si="14"/>
        <v>&amp;CANDONGA</v>
      </c>
    </row>
    <row r="354" spans="1:12" x14ac:dyDescent="0.25">
      <c r="A354" t="s">
        <v>618</v>
      </c>
      <c r="B354" t="str">
        <f t="shared" si="13"/>
        <v>139-H</v>
      </c>
      <c r="C354" s="11" t="str">
        <f>IF($B354&lt;&gt;"",TEXT(1-manut_MP($B354,C$1,C$2)/VLOOKUP(VALUE(MID($A354,5,3)),BASE_Pot!$A$2:$B$321,2,FALSE),"0.000"),"")</f>
        <v>1.000</v>
      </c>
      <c r="D354" s="11" t="str">
        <f>IF($B354&lt;&gt;"",TEXT(1-manut_MP($B354,D$1,D$2)/VLOOKUP(VALUE(MID($A354,5,3)),BASE_Pot!$A$2:$B$321,2,FALSE),"0.000"),"")</f>
        <v>1.000</v>
      </c>
      <c r="E354" s="11" t="str">
        <f>IF($B354&lt;&gt;"",TEXT(1-manut_MP($B354,E$1,E$2)/VLOOKUP(VALUE(MID($A354,5,3)),BASE_Pot!$A$2:$B$321,2,FALSE),"0.000"),"")</f>
        <v>1.000</v>
      </c>
      <c r="F354" s="11" t="str">
        <f>IF($B354&lt;&gt;"",TEXT(1-manut_MP($B354,F$1,F$2)/VLOOKUP(VALUE(MID($A354,5,3)),BASE_Pot!$A$2:$B$321,2,FALSE),"0.000"),"")</f>
        <v>1.000</v>
      </c>
      <c r="G354" s="11" t="str">
        <f>IF($B354&lt;&gt;"",TEXT(1-manut_MP($B354,G$1,G$2)/VLOOKUP(VALUE(MID($A354,5,3)),BASE_Pot!$A$2:$B$321,2,FALSE),"0.000"),"")</f>
        <v>1.000</v>
      </c>
      <c r="H354" s="11" t="str">
        <f>IF($B354&lt;&gt;"",TEXT(1-manut_MP($B354,H$1,H$2)/VLOOKUP(VALUE(MID($A354,5,3)),BASE_Pot!$A$2:$B$321,2,FALSE),"0.000"),"")</f>
        <v>1.000</v>
      </c>
      <c r="I354" s="11" t="str">
        <f>IF($B354&lt;&gt;"",TEXT(1-manut_MP($B354,I$1,I$2)/VLOOKUP(VALUE(MID($A354,5,3)),BASE_Pot!$A$2:$B$321,2,FALSE),"0.000"),"")</f>
        <v>1.000</v>
      </c>
      <c r="J354" t="str">
        <f>""</f>
        <v/>
      </c>
      <c r="L354" t="str">
        <f t="shared" si="14"/>
        <v>MP  139  1.0001.0001.0001.0001.0001.0001.000</v>
      </c>
    </row>
    <row r="355" spans="1:12" x14ac:dyDescent="0.25">
      <c r="A355" t="s">
        <v>304</v>
      </c>
      <c r="B355" t="str">
        <f t="shared" si="13"/>
        <v/>
      </c>
      <c r="C355" s="11" t="str">
        <f>IF($B355&lt;&gt;"",TEXT(1-manut_MP($B355,C$1,C$2)/VLOOKUP(VALUE(MID($A355,5,3)),BASE_Pot!$A$2:$B$321,2,FALSE),"0.000"),"")</f>
        <v/>
      </c>
      <c r="D355" s="11" t="str">
        <f>IF($B355&lt;&gt;"",TEXT(1-manut_MP($B355,D$1,D$2)/VLOOKUP(VALUE(MID($A355,5,3)),BASE_Pot!$A$2:$B$321,2,FALSE),"0.000"),"")</f>
        <v/>
      </c>
      <c r="E355" s="11" t="str">
        <f>IF($B355&lt;&gt;"",TEXT(1-manut_MP($B355,E$1,E$2)/VLOOKUP(VALUE(MID($A355,5,3)),BASE_Pot!$A$2:$B$321,2,FALSE),"0.000"),"")</f>
        <v/>
      </c>
      <c r="F355" s="11" t="str">
        <f>IF($B355&lt;&gt;"",TEXT(1-manut_MP($B355,F$1,F$2)/VLOOKUP(VALUE(MID($A355,5,3)),BASE_Pot!$A$2:$B$321,2,FALSE),"0.000"),"")</f>
        <v/>
      </c>
      <c r="G355" s="11" t="str">
        <f>IF($B355&lt;&gt;"",TEXT(1-manut_MP($B355,G$1,G$2)/VLOOKUP(VALUE(MID($A355,5,3)),BASE_Pot!$A$2:$B$321,2,FALSE),"0.000"),"")</f>
        <v/>
      </c>
      <c r="H355" s="11" t="str">
        <f>IF($B355&lt;&gt;"",TEXT(1-manut_MP($B355,H$1,H$2)/VLOOKUP(VALUE(MID($A355,5,3)),BASE_Pot!$A$2:$B$321,2,FALSE),"0.000"),"")</f>
        <v/>
      </c>
      <c r="I355" s="11" t="str">
        <f>IF($B355&lt;&gt;"",TEXT(1-manut_MP($B355,I$1,I$2)/VLOOKUP(VALUE(MID($A355,5,3)),BASE_Pot!$A$2:$B$321,2,FALSE),"0.000"),"")</f>
        <v/>
      </c>
      <c r="J355" t="str">
        <f>""</f>
        <v/>
      </c>
      <c r="L355" t="str">
        <f t="shared" si="14"/>
        <v>&amp;.................................</v>
      </c>
    </row>
    <row r="356" spans="1:12" x14ac:dyDescent="0.25">
      <c r="A356" t="s">
        <v>459</v>
      </c>
      <c r="B356" t="str">
        <f t="shared" si="13"/>
        <v/>
      </c>
      <c r="C356" s="11" t="str">
        <f>IF($B356&lt;&gt;"",TEXT(1-manut_MP($B356,C$1,C$2)/VLOOKUP(VALUE(MID($A356,5,3)),BASE_Pot!$A$2:$B$321,2,FALSE),"0.000"),"")</f>
        <v/>
      </c>
      <c r="D356" s="11" t="str">
        <f>IF($B356&lt;&gt;"",TEXT(1-manut_MP($B356,D$1,D$2)/VLOOKUP(VALUE(MID($A356,5,3)),BASE_Pot!$A$2:$B$321,2,FALSE),"0.000"),"")</f>
        <v/>
      </c>
      <c r="E356" s="11" t="str">
        <f>IF($B356&lt;&gt;"",TEXT(1-manut_MP($B356,E$1,E$2)/VLOOKUP(VALUE(MID($A356,5,3)),BASE_Pot!$A$2:$B$321,2,FALSE),"0.000"),"")</f>
        <v/>
      </c>
      <c r="F356" s="11" t="str">
        <f>IF($B356&lt;&gt;"",TEXT(1-manut_MP($B356,F$1,F$2)/VLOOKUP(VALUE(MID($A356,5,3)),BASE_Pot!$A$2:$B$321,2,FALSE),"0.000"),"")</f>
        <v/>
      </c>
      <c r="G356" s="11" t="str">
        <f>IF($B356&lt;&gt;"",TEXT(1-manut_MP($B356,G$1,G$2)/VLOOKUP(VALUE(MID($A356,5,3)),BASE_Pot!$A$2:$B$321,2,FALSE),"0.000"),"")</f>
        <v/>
      </c>
      <c r="H356" s="11" t="str">
        <f>IF($B356&lt;&gt;"",TEXT(1-manut_MP($B356,H$1,H$2)/VLOOKUP(VALUE(MID($A356,5,3)),BASE_Pot!$A$2:$B$321,2,FALSE),"0.000"),"")</f>
        <v/>
      </c>
      <c r="I356" s="11" t="str">
        <f>IF($B356&lt;&gt;"",TEXT(1-manut_MP($B356,I$1,I$2)/VLOOKUP(VALUE(MID($A356,5,3)),BASE_Pot!$A$2:$B$321,2,FALSE),"0.000"),"")</f>
        <v/>
      </c>
      <c r="J356" t="str">
        <f>""</f>
        <v/>
      </c>
      <c r="L356" t="str">
        <f t="shared" si="14"/>
        <v>&amp;         SALTO PILAO</v>
      </c>
    </row>
    <row r="357" spans="1:12" x14ac:dyDescent="0.25">
      <c r="A357" t="s">
        <v>304</v>
      </c>
      <c r="B357" t="str">
        <f t="shared" si="13"/>
        <v/>
      </c>
      <c r="C357" s="11" t="str">
        <f>IF($B357&lt;&gt;"",TEXT(1-manut_MP($B357,C$1,C$2)/VLOOKUP(VALUE(MID($A357,5,3)),BASE_Pot!$A$2:$B$321,2,FALSE),"0.000"),"")</f>
        <v/>
      </c>
      <c r="D357" s="11" t="str">
        <f>IF($B357&lt;&gt;"",TEXT(1-manut_MP($B357,D$1,D$2)/VLOOKUP(VALUE(MID($A357,5,3)),BASE_Pot!$A$2:$B$321,2,FALSE),"0.000"),"")</f>
        <v/>
      </c>
      <c r="E357" s="11" t="str">
        <f>IF($B357&lt;&gt;"",TEXT(1-manut_MP($B357,E$1,E$2)/VLOOKUP(VALUE(MID($A357,5,3)),BASE_Pot!$A$2:$B$321,2,FALSE),"0.000"),"")</f>
        <v/>
      </c>
      <c r="F357" s="11" t="str">
        <f>IF($B357&lt;&gt;"",TEXT(1-manut_MP($B357,F$1,F$2)/VLOOKUP(VALUE(MID($A357,5,3)),BASE_Pot!$A$2:$B$321,2,FALSE),"0.000"),"")</f>
        <v/>
      </c>
      <c r="G357" s="11" t="str">
        <f>IF($B357&lt;&gt;"",TEXT(1-manut_MP($B357,G$1,G$2)/VLOOKUP(VALUE(MID($A357,5,3)),BASE_Pot!$A$2:$B$321,2,FALSE),"0.000"),"")</f>
        <v/>
      </c>
      <c r="H357" s="11" t="str">
        <f>IF($B357&lt;&gt;"",TEXT(1-manut_MP($B357,H$1,H$2)/VLOOKUP(VALUE(MID($A357,5,3)),BASE_Pot!$A$2:$B$321,2,FALSE),"0.000"),"")</f>
        <v/>
      </c>
      <c r="I357" s="11" t="str">
        <f>IF($B357&lt;&gt;"",TEXT(1-manut_MP($B357,I$1,I$2)/VLOOKUP(VALUE(MID($A357,5,3)),BASE_Pot!$A$2:$B$321,2,FALSE),"0.000"),"")</f>
        <v/>
      </c>
      <c r="J357" t="str">
        <f>""</f>
        <v/>
      </c>
      <c r="L357" t="str">
        <f t="shared" si="14"/>
        <v>&amp;.................................</v>
      </c>
    </row>
    <row r="358" spans="1:12" x14ac:dyDescent="0.25">
      <c r="A358" t="s">
        <v>460</v>
      </c>
      <c r="B358" t="str">
        <f t="shared" si="13"/>
        <v/>
      </c>
      <c r="C358" s="11" t="str">
        <f>IF($B358&lt;&gt;"",TEXT(1-manut_MP($B358,C$1,C$2)/VLOOKUP(VALUE(MID($A358,5,3)),BASE_Pot!$A$2:$B$321,2,FALSE),"0.000"),"")</f>
        <v/>
      </c>
      <c r="D358" s="11" t="str">
        <f>IF($B358&lt;&gt;"",TEXT(1-manut_MP($B358,D$1,D$2)/VLOOKUP(VALUE(MID($A358,5,3)),BASE_Pot!$A$2:$B$321,2,FALSE),"0.000"),"")</f>
        <v/>
      </c>
      <c r="E358" s="11" t="str">
        <f>IF($B358&lt;&gt;"",TEXT(1-manut_MP($B358,E$1,E$2)/VLOOKUP(VALUE(MID($A358,5,3)),BASE_Pot!$A$2:$B$321,2,FALSE),"0.000"),"")</f>
        <v/>
      </c>
      <c r="F358" s="11" t="str">
        <f>IF($B358&lt;&gt;"",TEXT(1-manut_MP($B358,F$1,F$2)/VLOOKUP(VALUE(MID($A358,5,3)),BASE_Pot!$A$2:$B$321,2,FALSE),"0.000"),"")</f>
        <v/>
      </c>
      <c r="G358" s="11" t="str">
        <f>IF($B358&lt;&gt;"",TEXT(1-manut_MP($B358,G$1,G$2)/VLOOKUP(VALUE(MID($A358,5,3)),BASE_Pot!$A$2:$B$321,2,FALSE),"0.000"),"")</f>
        <v/>
      </c>
      <c r="H358" s="11" t="str">
        <f>IF($B358&lt;&gt;"",TEXT(1-manut_MP($B358,H$1,H$2)/VLOOKUP(VALUE(MID($A358,5,3)),BASE_Pot!$A$2:$B$321,2,FALSE),"0.000"),"")</f>
        <v/>
      </c>
      <c r="I358" s="11" t="str">
        <f>IF($B358&lt;&gt;"",TEXT(1-manut_MP($B358,I$1,I$2)/VLOOKUP(VALUE(MID($A358,5,3)),BASE_Pot!$A$2:$B$321,2,FALSE),"0.000"),"")</f>
        <v/>
      </c>
      <c r="J358" t="str">
        <f>""</f>
        <v/>
      </c>
      <c r="L358" t="str">
        <f t="shared" si="14"/>
        <v>&amp;SALTO PILAO</v>
      </c>
    </row>
    <row r="359" spans="1:12" x14ac:dyDescent="0.25">
      <c r="A359" t="s">
        <v>619</v>
      </c>
      <c r="B359" t="str">
        <f t="shared" si="13"/>
        <v>215-H</v>
      </c>
      <c r="C359" s="11" t="str">
        <f>IF($B359&lt;&gt;"",TEXT(1-manut_MP($B359,C$1,C$2)/VLOOKUP(VALUE(MID($A359,5,3)),BASE_Pot!$A$2:$B$321,2,FALSE),"0.000"),"")</f>
        <v>1.000</v>
      </c>
      <c r="D359" s="11" t="str">
        <f>IF($B359&lt;&gt;"",TEXT(1-manut_MP($B359,D$1,D$2)/VLOOKUP(VALUE(MID($A359,5,3)),BASE_Pot!$A$2:$B$321,2,FALSE),"0.000"),"")</f>
        <v>0.714</v>
      </c>
      <c r="E359" s="11" t="str">
        <f>IF($B359&lt;&gt;"",TEXT(1-manut_MP($B359,E$1,E$2)/VLOOKUP(VALUE(MID($A359,5,3)),BASE_Pot!$A$2:$B$321,2,FALSE),"0.000"),"")</f>
        <v>0.428</v>
      </c>
      <c r="F359" s="11" t="str">
        <f>IF($B359&lt;&gt;"",TEXT(1-manut_MP($B359,F$1,F$2)/VLOOKUP(VALUE(MID($A359,5,3)),BASE_Pot!$A$2:$B$321,2,FALSE),"0.000"),"")</f>
        <v>1.000</v>
      </c>
      <c r="G359" s="11" t="str">
        <f>IF($B359&lt;&gt;"",TEXT(1-manut_MP($B359,G$1,G$2)/VLOOKUP(VALUE(MID($A359,5,3)),BASE_Pot!$A$2:$B$321,2,FALSE),"0.000"),"")</f>
        <v>1.000</v>
      </c>
      <c r="H359" s="11" t="str">
        <f>IF($B359&lt;&gt;"",TEXT(1-manut_MP($B359,H$1,H$2)/VLOOKUP(VALUE(MID($A359,5,3)),BASE_Pot!$A$2:$B$321,2,FALSE),"0.000"),"")</f>
        <v>1.000</v>
      </c>
      <c r="I359" s="11" t="str">
        <f>IF($B359&lt;&gt;"",TEXT(1-manut_MP($B359,I$1,I$2)/VLOOKUP(VALUE(MID($A359,5,3)),BASE_Pot!$A$2:$B$321,2,FALSE),"0.000"),"")</f>
        <v>1.000</v>
      </c>
      <c r="J359" t="str">
        <f>""</f>
        <v/>
      </c>
      <c r="L359" t="str">
        <f t="shared" si="14"/>
        <v>MP  215  1.0000.7140.4281.0001.0001.0001.000</v>
      </c>
    </row>
    <row r="360" spans="1:12" x14ac:dyDescent="0.25">
      <c r="A360" t="s">
        <v>304</v>
      </c>
      <c r="B360" t="str">
        <f t="shared" si="13"/>
        <v/>
      </c>
      <c r="C360" s="11" t="str">
        <f>IF($B360&lt;&gt;"",TEXT(1-manut_MP($B360,C$1,C$2)/VLOOKUP(VALUE(MID($A360,5,3)),BASE_Pot!$A$2:$B$321,2,FALSE),"0.000"),"")</f>
        <v/>
      </c>
      <c r="D360" s="11" t="str">
        <f>IF($B360&lt;&gt;"",TEXT(1-manut_MP($B360,D$1,D$2)/VLOOKUP(VALUE(MID($A360,5,3)),BASE_Pot!$A$2:$B$321,2,FALSE),"0.000"),"")</f>
        <v/>
      </c>
      <c r="E360" s="11" t="str">
        <f>IF($B360&lt;&gt;"",TEXT(1-manut_MP($B360,E$1,E$2)/VLOOKUP(VALUE(MID($A360,5,3)),BASE_Pot!$A$2:$B$321,2,FALSE),"0.000"),"")</f>
        <v/>
      </c>
      <c r="F360" s="11" t="str">
        <f>IF($B360&lt;&gt;"",TEXT(1-manut_MP($B360,F$1,F$2)/VLOOKUP(VALUE(MID($A360,5,3)),BASE_Pot!$A$2:$B$321,2,FALSE),"0.000"),"")</f>
        <v/>
      </c>
      <c r="G360" s="11" t="str">
        <f>IF($B360&lt;&gt;"",TEXT(1-manut_MP($B360,G$1,G$2)/VLOOKUP(VALUE(MID($A360,5,3)),BASE_Pot!$A$2:$B$321,2,FALSE),"0.000"),"")</f>
        <v/>
      </c>
      <c r="H360" s="11" t="str">
        <f>IF($B360&lt;&gt;"",TEXT(1-manut_MP($B360,H$1,H$2)/VLOOKUP(VALUE(MID($A360,5,3)),BASE_Pot!$A$2:$B$321,2,FALSE),"0.000"),"")</f>
        <v/>
      </c>
      <c r="I360" s="11" t="str">
        <f>IF($B360&lt;&gt;"",TEXT(1-manut_MP($B360,I$1,I$2)/VLOOKUP(VALUE(MID($A360,5,3)),BASE_Pot!$A$2:$B$321,2,FALSE),"0.000"),"")</f>
        <v/>
      </c>
      <c r="J360" t="str">
        <f>""</f>
        <v/>
      </c>
      <c r="L360" t="str">
        <f t="shared" si="14"/>
        <v>&amp;.................................</v>
      </c>
    </row>
    <row r="361" spans="1:12" x14ac:dyDescent="0.25">
      <c r="A361" t="s">
        <v>461</v>
      </c>
      <c r="B361" t="str">
        <f t="shared" si="13"/>
        <v/>
      </c>
      <c r="C361" s="11" t="str">
        <f>IF($B361&lt;&gt;"",TEXT(1-manut_MP($B361,C$1,C$2)/VLOOKUP(VALUE(MID($A361,5,3)),BASE_Pot!$A$2:$B$321,2,FALSE),"0.000"),"")</f>
        <v/>
      </c>
      <c r="D361" s="11" t="str">
        <f>IF($B361&lt;&gt;"",TEXT(1-manut_MP($B361,D$1,D$2)/VLOOKUP(VALUE(MID($A361,5,3)),BASE_Pot!$A$2:$B$321,2,FALSE),"0.000"),"")</f>
        <v/>
      </c>
      <c r="E361" s="11" t="str">
        <f>IF($B361&lt;&gt;"",TEXT(1-manut_MP($B361,E$1,E$2)/VLOOKUP(VALUE(MID($A361,5,3)),BASE_Pot!$A$2:$B$321,2,FALSE),"0.000"),"")</f>
        <v/>
      </c>
      <c r="F361" s="11" t="str">
        <f>IF($B361&lt;&gt;"",TEXT(1-manut_MP($B361,F$1,F$2)/VLOOKUP(VALUE(MID($A361,5,3)),BASE_Pot!$A$2:$B$321,2,FALSE),"0.000"),"")</f>
        <v/>
      </c>
      <c r="G361" s="11" t="str">
        <f>IF($B361&lt;&gt;"",TEXT(1-manut_MP($B361,G$1,G$2)/VLOOKUP(VALUE(MID($A361,5,3)),BASE_Pot!$A$2:$B$321,2,FALSE),"0.000"),"")</f>
        <v/>
      </c>
      <c r="H361" s="11" t="str">
        <f>IF($B361&lt;&gt;"",TEXT(1-manut_MP($B361,H$1,H$2)/VLOOKUP(VALUE(MID($A361,5,3)),BASE_Pot!$A$2:$B$321,2,FALSE),"0.000"),"")</f>
        <v/>
      </c>
      <c r="I361" s="11" t="str">
        <f>IF($B361&lt;&gt;"",TEXT(1-manut_MP($B361,I$1,I$2)/VLOOKUP(VALUE(MID($A361,5,3)),BASE_Pot!$A$2:$B$321,2,FALSE),"0.000"),"")</f>
        <v/>
      </c>
      <c r="J361" t="str">
        <f>""</f>
        <v/>
      </c>
      <c r="L361" t="str">
        <f t="shared" si="14"/>
        <v>&amp;         BAGUARI</v>
      </c>
    </row>
    <row r="362" spans="1:12" x14ac:dyDescent="0.25">
      <c r="A362" t="s">
        <v>304</v>
      </c>
      <c r="B362" t="str">
        <f t="shared" si="13"/>
        <v/>
      </c>
      <c r="C362" s="11" t="str">
        <f>IF($B362&lt;&gt;"",TEXT(1-manut_MP($B362,C$1,C$2)/VLOOKUP(VALUE(MID($A362,5,3)),BASE_Pot!$A$2:$B$321,2,FALSE),"0.000"),"")</f>
        <v/>
      </c>
      <c r="D362" s="11" t="str">
        <f>IF($B362&lt;&gt;"",TEXT(1-manut_MP($B362,D$1,D$2)/VLOOKUP(VALUE(MID($A362,5,3)),BASE_Pot!$A$2:$B$321,2,FALSE),"0.000"),"")</f>
        <v/>
      </c>
      <c r="E362" s="11" t="str">
        <f>IF($B362&lt;&gt;"",TEXT(1-manut_MP($B362,E$1,E$2)/VLOOKUP(VALUE(MID($A362,5,3)),BASE_Pot!$A$2:$B$321,2,FALSE),"0.000"),"")</f>
        <v/>
      </c>
      <c r="F362" s="11" t="str">
        <f>IF($B362&lt;&gt;"",TEXT(1-manut_MP($B362,F$1,F$2)/VLOOKUP(VALUE(MID($A362,5,3)),BASE_Pot!$A$2:$B$321,2,FALSE),"0.000"),"")</f>
        <v/>
      </c>
      <c r="G362" s="11" t="str">
        <f>IF($B362&lt;&gt;"",TEXT(1-manut_MP($B362,G$1,G$2)/VLOOKUP(VALUE(MID($A362,5,3)),BASE_Pot!$A$2:$B$321,2,FALSE),"0.000"),"")</f>
        <v/>
      </c>
      <c r="H362" s="11" t="str">
        <f>IF($B362&lt;&gt;"",TEXT(1-manut_MP($B362,H$1,H$2)/VLOOKUP(VALUE(MID($A362,5,3)),BASE_Pot!$A$2:$B$321,2,FALSE),"0.000"),"")</f>
        <v/>
      </c>
      <c r="I362" s="11" t="str">
        <f>IF($B362&lt;&gt;"",TEXT(1-manut_MP($B362,I$1,I$2)/VLOOKUP(VALUE(MID($A362,5,3)),BASE_Pot!$A$2:$B$321,2,FALSE),"0.000"),"")</f>
        <v/>
      </c>
      <c r="J362" t="str">
        <f>""</f>
        <v/>
      </c>
      <c r="L362" t="str">
        <f t="shared" si="14"/>
        <v>&amp;.................................</v>
      </c>
    </row>
    <row r="363" spans="1:12" x14ac:dyDescent="0.25">
      <c r="A363" t="s">
        <v>462</v>
      </c>
      <c r="B363" t="str">
        <f t="shared" si="13"/>
        <v/>
      </c>
      <c r="C363" s="11" t="str">
        <f>IF($B363&lt;&gt;"",TEXT(1-manut_MP($B363,C$1,C$2)/VLOOKUP(VALUE(MID($A363,5,3)),BASE_Pot!$A$2:$B$321,2,FALSE),"0.000"),"")</f>
        <v/>
      </c>
      <c r="D363" s="11" t="str">
        <f>IF($B363&lt;&gt;"",TEXT(1-manut_MP($B363,D$1,D$2)/VLOOKUP(VALUE(MID($A363,5,3)),BASE_Pot!$A$2:$B$321,2,FALSE),"0.000"),"")</f>
        <v/>
      </c>
      <c r="E363" s="11" t="str">
        <f>IF($B363&lt;&gt;"",TEXT(1-manut_MP($B363,E$1,E$2)/VLOOKUP(VALUE(MID($A363,5,3)),BASE_Pot!$A$2:$B$321,2,FALSE),"0.000"),"")</f>
        <v/>
      </c>
      <c r="F363" s="11" t="str">
        <f>IF($B363&lt;&gt;"",TEXT(1-manut_MP($B363,F$1,F$2)/VLOOKUP(VALUE(MID($A363,5,3)),BASE_Pot!$A$2:$B$321,2,FALSE),"0.000"),"")</f>
        <v/>
      </c>
      <c r="G363" s="11" t="str">
        <f>IF($B363&lt;&gt;"",TEXT(1-manut_MP($B363,G$1,G$2)/VLOOKUP(VALUE(MID($A363,5,3)),BASE_Pot!$A$2:$B$321,2,FALSE),"0.000"),"")</f>
        <v/>
      </c>
      <c r="H363" s="11" t="str">
        <f>IF($B363&lt;&gt;"",TEXT(1-manut_MP($B363,H$1,H$2)/VLOOKUP(VALUE(MID($A363,5,3)),BASE_Pot!$A$2:$B$321,2,FALSE),"0.000"),"")</f>
        <v/>
      </c>
      <c r="I363" s="11" t="str">
        <f>IF($B363&lt;&gt;"",TEXT(1-manut_MP($B363,I$1,I$2)/VLOOKUP(VALUE(MID($A363,5,3)),BASE_Pot!$A$2:$B$321,2,FALSE),"0.000"),"")</f>
        <v/>
      </c>
      <c r="J363" t="str">
        <f>""</f>
        <v/>
      </c>
      <c r="L363" t="str">
        <f t="shared" si="14"/>
        <v>&amp;BAGUARI</v>
      </c>
    </row>
    <row r="364" spans="1:12" x14ac:dyDescent="0.25">
      <c r="A364" t="s">
        <v>620</v>
      </c>
      <c r="B364" t="str">
        <f t="shared" si="13"/>
        <v>141-H</v>
      </c>
      <c r="C364" s="11" t="str">
        <f>IF($B364&lt;&gt;"",TEXT(1-manut_MP($B364,C$1,C$2)/VLOOKUP(VALUE(MID($A364,5,3)),BASE_Pot!$A$2:$B$321,2,FALSE),"0.000"),"")</f>
        <v>1.000</v>
      </c>
      <c r="D364" s="11" t="str">
        <f>IF($B364&lt;&gt;"",TEXT(1-manut_MP($B364,D$1,D$2)/VLOOKUP(VALUE(MID($A364,5,3)),BASE_Pot!$A$2:$B$321,2,FALSE),"0.000"),"")</f>
        <v>1.000</v>
      </c>
      <c r="E364" s="11" t="str">
        <f>IF($B364&lt;&gt;"",TEXT(1-manut_MP($B364,E$1,E$2)/VLOOKUP(VALUE(MID($A364,5,3)),BASE_Pot!$A$2:$B$321,2,FALSE),"0.000"),"")</f>
        <v>1.000</v>
      </c>
      <c r="F364" s="11" t="str">
        <f>IF($B364&lt;&gt;"",TEXT(1-manut_MP($B364,F$1,F$2)/VLOOKUP(VALUE(MID($A364,5,3)),BASE_Pot!$A$2:$B$321,2,FALSE),"0.000"),"")</f>
        <v>1.000</v>
      </c>
      <c r="G364" s="11" t="str">
        <f>IF($B364&lt;&gt;"",TEXT(1-manut_MP($B364,G$1,G$2)/VLOOKUP(VALUE(MID($A364,5,3)),BASE_Pot!$A$2:$B$321,2,FALSE),"0.000"),"")</f>
        <v>1.000</v>
      </c>
      <c r="H364" s="11" t="str">
        <f>IF($B364&lt;&gt;"",TEXT(1-manut_MP($B364,H$1,H$2)/VLOOKUP(VALUE(MID($A364,5,3)),BASE_Pot!$A$2:$B$321,2,FALSE),"0.000"),"")</f>
        <v>1.000</v>
      </c>
      <c r="I364" s="11" t="str">
        <f>IF($B364&lt;&gt;"",TEXT(1-manut_MP($B364,I$1,I$2)/VLOOKUP(VALUE(MID($A364,5,3)),BASE_Pot!$A$2:$B$321,2,FALSE),"0.000"),"")</f>
        <v>1.000</v>
      </c>
      <c r="J364" t="str">
        <f>""</f>
        <v/>
      </c>
      <c r="L364" t="str">
        <f t="shared" si="14"/>
        <v>MP  141  1.0001.0001.0001.0001.0001.0001.000</v>
      </c>
    </row>
    <row r="365" spans="1:12" x14ac:dyDescent="0.25">
      <c r="A365" t="s">
        <v>304</v>
      </c>
      <c r="B365" t="str">
        <f t="shared" si="13"/>
        <v/>
      </c>
      <c r="C365" s="11" t="str">
        <f>IF($B365&lt;&gt;"",TEXT(1-manut_MP($B365,C$1,C$2)/VLOOKUP(VALUE(MID($A365,5,3)),BASE_Pot!$A$2:$B$321,2,FALSE),"0.000"),"")</f>
        <v/>
      </c>
      <c r="D365" s="11" t="str">
        <f>IF($B365&lt;&gt;"",TEXT(1-manut_MP($B365,D$1,D$2)/VLOOKUP(VALUE(MID($A365,5,3)),BASE_Pot!$A$2:$B$321,2,FALSE),"0.000"),"")</f>
        <v/>
      </c>
      <c r="E365" s="11" t="str">
        <f>IF($B365&lt;&gt;"",TEXT(1-manut_MP($B365,E$1,E$2)/VLOOKUP(VALUE(MID($A365,5,3)),BASE_Pot!$A$2:$B$321,2,FALSE),"0.000"),"")</f>
        <v/>
      </c>
      <c r="F365" s="11" t="str">
        <f>IF($B365&lt;&gt;"",TEXT(1-manut_MP($B365,F$1,F$2)/VLOOKUP(VALUE(MID($A365,5,3)),BASE_Pot!$A$2:$B$321,2,FALSE),"0.000"),"")</f>
        <v/>
      </c>
      <c r="G365" s="11" t="str">
        <f>IF($B365&lt;&gt;"",TEXT(1-manut_MP($B365,G$1,G$2)/VLOOKUP(VALUE(MID($A365,5,3)),BASE_Pot!$A$2:$B$321,2,FALSE),"0.000"),"")</f>
        <v/>
      </c>
      <c r="H365" s="11" t="str">
        <f>IF($B365&lt;&gt;"",TEXT(1-manut_MP($B365,H$1,H$2)/VLOOKUP(VALUE(MID($A365,5,3)),BASE_Pot!$A$2:$B$321,2,FALSE),"0.000"),"")</f>
        <v/>
      </c>
      <c r="I365" s="11" t="str">
        <f>IF($B365&lt;&gt;"",TEXT(1-manut_MP($B365,I$1,I$2)/VLOOKUP(VALUE(MID($A365,5,3)),BASE_Pot!$A$2:$B$321,2,FALSE),"0.000"),"")</f>
        <v/>
      </c>
      <c r="J365" t="str">
        <f>""</f>
        <v/>
      </c>
      <c r="L365" t="str">
        <f t="shared" si="14"/>
        <v>&amp;.................................</v>
      </c>
    </row>
    <row r="366" spans="1:12" x14ac:dyDescent="0.25">
      <c r="A366" t="s">
        <v>463</v>
      </c>
      <c r="B366" t="str">
        <f t="shared" si="13"/>
        <v/>
      </c>
      <c r="C366" s="11" t="str">
        <f>IF($B366&lt;&gt;"",TEXT(1-manut_MP($B366,C$1,C$2)/VLOOKUP(VALUE(MID($A366,5,3)),BASE_Pot!$A$2:$B$321,2,FALSE),"0.000"),"")</f>
        <v/>
      </c>
      <c r="D366" s="11" t="str">
        <f>IF($B366&lt;&gt;"",TEXT(1-manut_MP($B366,D$1,D$2)/VLOOKUP(VALUE(MID($A366,5,3)),BASE_Pot!$A$2:$B$321,2,FALSE),"0.000"),"")</f>
        <v/>
      </c>
      <c r="E366" s="11" t="str">
        <f>IF($B366&lt;&gt;"",TEXT(1-manut_MP($B366,E$1,E$2)/VLOOKUP(VALUE(MID($A366,5,3)),BASE_Pot!$A$2:$B$321,2,FALSE),"0.000"),"")</f>
        <v/>
      </c>
      <c r="F366" s="11" t="str">
        <f>IF($B366&lt;&gt;"",TEXT(1-manut_MP($B366,F$1,F$2)/VLOOKUP(VALUE(MID($A366,5,3)),BASE_Pot!$A$2:$B$321,2,FALSE),"0.000"),"")</f>
        <v/>
      </c>
      <c r="G366" s="11" t="str">
        <f>IF($B366&lt;&gt;"",TEXT(1-manut_MP($B366,G$1,G$2)/VLOOKUP(VALUE(MID($A366,5,3)),BASE_Pot!$A$2:$B$321,2,FALSE),"0.000"),"")</f>
        <v/>
      </c>
      <c r="H366" s="11" t="str">
        <f>IF($B366&lt;&gt;"",TEXT(1-manut_MP($B366,H$1,H$2)/VLOOKUP(VALUE(MID($A366,5,3)),BASE_Pot!$A$2:$B$321,2,FALSE),"0.000"),"")</f>
        <v/>
      </c>
      <c r="I366" s="11" t="str">
        <f>IF($B366&lt;&gt;"",TEXT(1-manut_MP($B366,I$1,I$2)/VLOOKUP(VALUE(MID($A366,5,3)),BASE_Pot!$A$2:$B$321,2,FALSE),"0.000"),"")</f>
        <v/>
      </c>
      <c r="J366" t="str">
        <f>""</f>
        <v/>
      </c>
      <c r="L366" t="str">
        <f t="shared" si="14"/>
        <v>&amp;         ELETROSUL</v>
      </c>
    </row>
    <row r="367" spans="1:12" x14ac:dyDescent="0.25">
      <c r="A367" t="s">
        <v>304</v>
      </c>
      <c r="B367" t="str">
        <f t="shared" si="13"/>
        <v/>
      </c>
      <c r="C367" s="11" t="str">
        <f>IF($B367&lt;&gt;"",TEXT(1-manut_MP($B367,C$1,C$2)/VLOOKUP(VALUE(MID($A367,5,3)),BASE_Pot!$A$2:$B$321,2,FALSE),"0.000"),"")</f>
        <v/>
      </c>
      <c r="D367" s="11" t="str">
        <f>IF($B367&lt;&gt;"",TEXT(1-manut_MP($B367,D$1,D$2)/VLOOKUP(VALUE(MID($A367,5,3)),BASE_Pot!$A$2:$B$321,2,FALSE),"0.000"),"")</f>
        <v/>
      </c>
      <c r="E367" s="11" t="str">
        <f>IF($B367&lt;&gt;"",TEXT(1-manut_MP($B367,E$1,E$2)/VLOOKUP(VALUE(MID($A367,5,3)),BASE_Pot!$A$2:$B$321,2,FALSE),"0.000"),"")</f>
        <v/>
      </c>
      <c r="F367" s="11" t="str">
        <f>IF($B367&lt;&gt;"",TEXT(1-manut_MP($B367,F$1,F$2)/VLOOKUP(VALUE(MID($A367,5,3)),BASE_Pot!$A$2:$B$321,2,FALSE),"0.000"),"")</f>
        <v/>
      </c>
      <c r="G367" s="11" t="str">
        <f>IF($B367&lt;&gt;"",TEXT(1-manut_MP($B367,G$1,G$2)/VLOOKUP(VALUE(MID($A367,5,3)),BASE_Pot!$A$2:$B$321,2,FALSE),"0.000"),"")</f>
        <v/>
      </c>
      <c r="H367" s="11" t="str">
        <f>IF($B367&lt;&gt;"",TEXT(1-manut_MP($B367,H$1,H$2)/VLOOKUP(VALUE(MID($A367,5,3)),BASE_Pot!$A$2:$B$321,2,FALSE),"0.000"),"")</f>
        <v/>
      </c>
      <c r="I367" s="11" t="str">
        <f>IF($B367&lt;&gt;"",TEXT(1-manut_MP($B367,I$1,I$2)/VLOOKUP(VALUE(MID($A367,5,3)),BASE_Pot!$A$2:$B$321,2,FALSE),"0.000"),"")</f>
        <v/>
      </c>
      <c r="J367" t="str">
        <f>""</f>
        <v/>
      </c>
      <c r="L367" t="str">
        <f t="shared" si="14"/>
        <v>&amp;.................................</v>
      </c>
    </row>
    <row r="368" spans="1:12" x14ac:dyDescent="0.25">
      <c r="A368" t="s">
        <v>464</v>
      </c>
      <c r="B368" t="str">
        <f t="shared" si="13"/>
        <v/>
      </c>
      <c r="C368" s="11" t="str">
        <f>IF($B368&lt;&gt;"",TEXT(1-manut_MP($B368,C$1,C$2)/VLOOKUP(VALUE(MID($A368,5,3)),BASE_Pot!$A$2:$B$321,2,FALSE),"0.000"),"")</f>
        <v/>
      </c>
      <c r="D368" s="11" t="str">
        <f>IF($B368&lt;&gt;"",TEXT(1-manut_MP($B368,D$1,D$2)/VLOOKUP(VALUE(MID($A368,5,3)),BASE_Pot!$A$2:$B$321,2,FALSE),"0.000"),"")</f>
        <v/>
      </c>
      <c r="E368" s="11" t="str">
        <f>IF($B368&lt;&gt;"",TEXT(1-manut_MP($B368,E$1,E$2)/VLOOKUP(VALUE(MID($A368,5,3)),BASE_Pot!$A$2:$B$321,2,FALSE),"0.000"),"")</f>
        <v/>
      </c>
      <c r="F368" s="11" t="str">
        <f>IF($B368&lt;&gt;"",TEXT(1-manut_MP($B368,F$1,F$2)/VLOOKUP(VALUE(MID($A368,5,3)),BASE_Pot!$A$2:$B$321,2,FALSE),"0.000"),"")</f>
        <v/>
      </c>
      <c r="G368" s="11" t="str">
        <f>IF($B368&lt;&gt;"",TEXT(1-manut_MP($B368,G$1,G$2)/VLOOKUP(VALUE(MID($A368,5,3)),BASE_Pot!$A$2:$B$321,2,FALSE),"0.000"),"")</f>
        <v/>
      </c>
      <c r="H368" s="11" t="str">
        <f>IF($B368&lt;&gt;"",TEXT(1-manut_MP($B368,H$1,H$2)/VLOOKUP(VALUE(MID($A368,5,3)),BASE_Pot!$A$2:$B$321,2,FALSE),"0.000"),"")</f>
        <v/>
      </c>
      <c r="I368" s="11" t="str">
        <f>IF($B368&lt;&gt;"",TEXT(1-manut_MP($B368,I$1,I$2)/VLOOKUP(VALUE(MID($A368,5,3)),BASE_Pot!$A$2:$B$321,2,FALSE),"0.000"),"")</f>
        <v/>
      </c>
      <c r="J368" t="str">
        <f>""</f>
        <v/>
      </c>
      <c r="L368" t="str">
        <f t="shared" si="14"/>
        <v>&amp;PASSO S JOAO</v>
      </c>
    </row>
    <row r="369" spans="1:12" x14ac:dyDescent="0.25">
      <c r="A369" t="s">
        <v>621</v>
      </c>
      <c r="B369" t="str">
        <f t="shared" si="13"/>
        <v>102-H</v>
      </c>
      <c r="C369" s="11" t="str">
        <f>IF($B369&lt;&gt;"",TEXT(1-manut_MP($B369,C$1,C$2)/VLOOKUP(VALUE(MID($A369,5,3)),BASE_Pot!$A$2:$B$321,2,FALSE),"0.000"),"")</f>
        <v>1.000</v>
      </c>
      <c r="D369" s="11" t="str">
        <f>IF($B369&lt;&gt;"",TEXT(1-manut_MP($B369,D$1,D$2)/VLOOKUP(VALUE(MID($A369,5,3)),BASE_Pot!$A$2:$B$321,2,FALSE),"0.000"),"")</f>
        <v>1.000</v>
      </c>
      <c r="E369" s="11" t="str">
        <f>IF($B369&lt;&gt;"",TEXT(1-manut_MP($B369,E$1,E$2)/VLOOKUP(VALUE(MID($A369,5,3)),BASE_Pot!$A$2:$B$321,2,FALSE),"0.000"),"")</f>
        <v>1.000</v>
      </c>
      <c r="F369" s="11" t="str">
        <f>IF($B369&lt;&gt;"",TEXT(1-manut_MP($B369,F$1,F$2)/VLOOKUP(VALUE(MID($A369,5,3)),BASE_Pot!$A$2:$B$321,2,FALSE),"0.000"),"")</f>
        <v>1.000</v>
      </c>
      <c r="G369" s="11" t="str">
        <f>IF($B369&lt;&gt;"",TEXT(1-manut_MP($B369,G$1,G$2)/VLOOKUP(VALUE(MID($A369,5,3)),BASE_Pot!$A$2:$B$321,2,FALSE),"0.000"),"")</f>
        <v>1.000</v>
      </c>
      <c r="H369" s="11" t="str">
        <f>IF($B369&lt;&gt;"",TEXT(1-manut_MP($B369,H$1,H$2)/VLOOKUP(VALUE(MID($A369,5,3)),BASE_Pot!$A$2:$B$321,2,FALSE),"0.000"),"")</f>
        <v>1.000</v>
      </c>
      <c r="I369" s="11" t="str">
        <f>IF($B369&lt;&gt;"",TEXT(1-manut_MP($B369,I$1,I$2)/VLOOKUP(VALUE(MID($A369,5,3)),BASE_Pot!$A$2:$B$321,2,FALSE),"0.000"),"")</f>
        <v>1.000</v>
      </c>
      <c r="J369" t="str">
        <f>""</f>
        <v/>
      </c>
      <c r="L369" t="str">
        <f t="shared" si="14"/>
        <v>MP  102  1.0001.0001.0001.0001.0001.0001.000</v>
      </c>
    </row>
    <row r="370" spans="1:12" x14ac:dyDescent="0.25">
      <c r="A370" t="s">
        <v>304</v>
      </c>
      <c r="B370" t="str">
        <f t="shared" si="13"/>
        <v/>
      </c>
      <c r="C370" s="11" t="str">
        <f>IF($B370&lt;&gt;"",TEXT(1-manut_MP($B370,C$1,C$2)/VLOOKUP(VALUE(MID($A370,5,3)),BASE_Pot!$A$2:$B$321,2,FALSE),"0.000"),"")</f>
        <v/>
      </c>
      <c r="D370" s="11" t="str">
        <f>IF($B370&lt;&gt;"",TEXT(1-manut_MP($B370,D$1,D$2)/VLOOKUP(VALUE(MID($A370,5,3)),BASE_Pot!$A$2:$B$321,2,FALSE),"0.000"),"")</f>
        <v/>
      </c>
      <c r="E370" s="11" t="str">
        <f>IF($B370&lt;&gt;"",TEXT(1-manut_MP($B370,E$1,E$2)/VLOOKUP(VALUE(MID($A370,5,3)),BASE_Pot!$A$2:$B$321,2,FALSE),"0.000"),"")</f>
        <v/>
      </c>
      <c r="F370" s="11" t="str">
        <f>IF($B370&lt;&gt;"",TEXT(1-manut_MP($B370,F$1,F$2)/VLOOKUP(VALUE(MID($A370,5,3)),BASE_Pot!$A$2:$B$321,2,FALSE),"0.000"),"")</f>
        <v/>
      </c>
      <c r="G370" s="11" t="str">
        <f>IF($B370&lt;&gt;"",TEXT(1-manut_MP($B370,G$1,G$2)/VLOOKUP(VALUE(MID($A370,5,3)),BASE_Pot!$A$2:$B$321,2,FALSE),"0.000"),"")</f>
        <v/>
      </c>
      <c r="H370" s="11" t="str">
        <f>IF($B370&lt;&gt;"",TEXT(1-manut_MP($B370,H$1,H$2)/VLOOKUP(VALUE(MID($A370,5,3)),BASE_Pot!$A$2:$B$321,2,FALSE),"0.000"),"")</f>
        <v/>
      </c>
      <c r="I370" s="11" t="str">
        <f>IF($B370&lt;&gt;"",TEXT(1-manut_MP($B370,I$1,I$2)/VLOOKUP(VALUE(MID($A370,5,3)),BASE_Pot!$A$2:$B$321,2,FALSE),"0.000"),"")</f>
        <v/>
      </c>
      <c r="J370" t="str">
        <f>""</f>
        <v/>
      </c>
      <c r="L370" t="str">
        <f t="shared" si="14"/>
        <v>&amp;.................................</v>
      </c>
    </row>
    <row r="371" spans="1:12" x14ac:dyDescent="0.25">
      <c r="A371" t="s">
        <v>465</v>
      </c>
      <c r="B371" t="str">
        <f t="shared" si="13"/>
        <v/>
      </c>
      <c r="C371" s="11" t="str">
        <f>IF($B371&lt;&gt;"",TEXT(1-manut_MP($B371,C$1,C$2)/VLOOKUP(VALUE(MID($A371,5,3)),BASE_Pot!$A$2:$B$321,2,FALSE),"0.000"),"")</f>
        <v/>
      </c>
      <c r="D371" s="11" t="str">
        <f>IF($B371&lt;&gt;"",TEXT(1-manut_MP($B371,D$1,D$2)/VLOOKUP(VALUE(MID($A371,5,3)),BASE_Pot!$A$2:$B$321,2,FALSE),"0.000"),"")</f>
        <v/>
      </c>
      <c r="E371" s="11" t="str">
        <f>IF($B371&lt;&gt;"",TEXT(1-manut_MP($B371,E$1,E$2)/VLOOKUP(VALUE(MID($A371,5,3)),BASE_Pot!$A$2:$B$321,2,FALSE),"0.000"),"")</f>
        <v/>
      </c>
      <c r="F371" s="11" t="str">
        <f>IF($B371&lt;&gt;"",TEXT(1-manut_MP($B371,F$1,F$2)/VLOOKUP(VALUE(MID($A371,5,3)),BASE_Pot!$A$2:$B$321,2,FALSE),"0.000"),"")</f>
        <v/>
      </c>
      <c r="G371" s="11" t="str">
        <f>IF($B371&lt;&gt;"",TEXT(1-manut_MP($B371,G$1,G$2)/VLOOKUP(VALUE(MID($A371,5,3)),BASE_Pot!$A$2:$B$321,2,FALSE),"0.000"),"")</f>
        <v/>
      </c>
      <c r="H371" s="11" t="str">
        <f>IF($B371&lt;&gt;"",TEXT(1-manut_MP($B371,H$1,H$2)/VLOOKUP(VALUE(MID($A371,5,3)),BASE_Pot!$A$2:$B$321,2,FALSE),"0.000"),"")</f>
        <v/>
      </c>
      <c r="I371" s="11" t="str">
        <f>IF($B371&lt;&gt;"",TEXT(1-manut_MP($B371,I$1,I$2)/VLOOKUP(VALUE(MID($A371,5,3)),BASE_Pot!$A$2:$B$321,2,FALSE),"0.000"),"")</f>
        <v/>
      </c>
      <c r="J371" t="str">
        <f>""</f>
        <v/>
      </c>
      <c r="L371" t="str">
        <f t="shared" si="14"/>
        <v>&amp;         ELETROGOES</v>
      </c>
    </row>
    <row r="372" spans="1:12" x14ac:dyDescent="0.25">
      <c r="A372" t="s">
        <v>304</v>
      </c>
      <c r="B372" t="str">
        <f t="shared" si="13"/>
        <v/>
      </c>
      <c r="C372" s="11" t="str">
        <f>IF($B372&lt;&gt;"",TEXT(1-manut_MP($B372,C$1,C$2)/VLOOKUP(VALUE(MID($A372,5,3)),BASE_Pot!$A$2:$B$321,2,FALSE),"0.000"),"")</f>
        <v/>
      </c>
      <c r="D372" s="11" t="str">
        <f>IF($B372&lt;&gt;"",TEXT(1-manut_MP($B372,D$1,D$2)/VLOOKUP(VALUE(MID($A372,5,3)),BASE_Pot!$A$2:$B$321,2,FALSE),"0.000"),"")</f>
        <v/>
      </c>
      <c r="E372" s="11" t="str">
        <f>IF($B372&lt;&gt;"",TEXT(1-manut_MP($B372,E$1,E$2)/VLOOKUP(VALUE(MID($A372,5,3)),BASE_Pot!$A$2:$B$321,2,FALSE),"0.000"),"")</f>
        <v/>
      </c>
      <c r="F372" s="11" t="str">
        <f>IF($B372&lt;&gt;"",TEXT(1-manut_MP($B372,F$1,F$2)/VLOOKUP(VALUE(MID($A372,5,3)),BASE_Pot!$A$2:$B$321,2,FALSE),"0.000"),"")</f>
        <v/>
      </c>
      <c r="G372" s="11" t="str">
        <f>IF($B372&lt;&gt;"",TEXT(1-manut_MP($B372,G$1,G$2)/VLOOKUP(VALUE(MID($A372,5,3)),BASE_Pot!$A$2:$B$321,2,FALSE),"0.000"),"")</f>
        <v/>
      </c>
      <c r="H372" s="11" t="str">
        <f>IF($B372&lt;&gt;"",TEXT(1-manut_MP($B372,H$1,H$2)/VLOOKUP(VALUE(MID($A372,5,3)),BASE_Pot!$A$2:$B$321,2,FALSE),"0.000"),"")</f>
        <v/>
      </c>
      <c r="I372" s="11" t="str">
        <f>IF($B372&lt;&gt;"",TEXT(1-manut_MP($B372,I$1,I$2)/VLOOKUP(VALUE(MID($A372,5,3)),BASE_Pot!$A$2:$B$321,2,FALSE),"0.000"),"")</f>
        <v/>
      </c>
      <c r="J372" t="str">
        <f>""</f>
        <v/>
      </c>
      <c r="L372" t="str">
        <f t="shared" si="14"/>
        <v>&amp;.................................</v>
      </c>
    </row>
    <row r="373" spans="1:12" x14ac:dyDescent="0.25">
      <c r="A373" t="s">
        <v>466</v>
      </c>
      <c r="B373" t="str">
        <f t="shared" si="13"/>
        <v/>
      </c>
      <c r="C373" s="11" t="str">
        <f>IF($B373&lt;&gt;"",TEXT(1-manut_MP($B373,C$1,C$2)/VLOOKUP(VALUE(MID($A373,5,3)),BASE_Pot!$A$2:$B$321,2,FALSE),"0.000"),"")</f>
        <v/>
      </c>
      <c r="D373" s="11" t="str">
        <f>IF($B373&lt;&gt;"",TEXT(1-manut_MP($B373,D$1,D$2)/VLOOKUP(VALUE(MID($A373,5,3)),BASE_Pot!$A$2:$B$321,2,FALSE),"0.000"),"")</f>
        <v/>
      </c>
      <c r="E373" s="11" t="str">
        <f>IF($B373&lt;&gt;"",TEXT(1-manut_MP($B373,E$1,E$2)/VLOOKUP(VALUE(MID($A373,5,3)),BASE_Pot!$A$2:$B$321,2,FALSE),"0.000"),"")</f>
        <v/>
      </c>
      <c r="F373" s="11" t="str">
        <f>IF($B373&lt;&gt;"",TEXT(1-manut_MP($B373,F$1,F$2)/VLOOKUP(VALUE(MID($A373,5,3)),BASE_Pot!$A$2:$B$321,2,FALSE),"0.000"),"")</f>
        <v/>
      </c>
      <c r="G373" s="11" t="str">
        <f>IF($B373&lt;&gt;"",TEXT(1-manut_MP($B373,G$1,G$2)/VLOOKUP(VALUE(MID($A373,5,3)),BASE_Pot!$A$2:$B$321,2,FALSE),"0.000"),"")</f>
        <v/>
      </c>
      <c r="H373" s="11" t="str">
        <f>IF($B373&lt;&gt;"",TEXT(1-manut_MP($B373,H$1,H$2)/VLOOKUP(VALUE(MID($A373,5,3)),BASE_Pot!$A$2:$B$321,2,FALSE),"0.000"),"")</f>
        <v/>
      </c>
      <c r="I373" s="11" t="str">
        <f>IF($B373&lt;&gt;"",TEXT(1-manut_MP($B373,I$1,I$2)/VLOOKUP(VALUE(MID($A373,5,3)),BASE_Pot!$A$2:$B$321,2,FALSE),"0.000"),"")</f>
        <v/>
      </c>
      <c r="J373" t="str">
        <f>""</f>
        <v/>
      </c>
      <c r="L373" t="str">
        <f t="shared" si="14"/>
        <v>&amp;RONDON II</v>
      </c>
    </row>
    <row r="374" spans="1:12" x14ac:dyDescent="0.25">
      <c r="A374" t="s">
        <v>622</v>
      </c>
      <c r="B374" t="str">
        <f t="shared" si="13"/>
        <v>276-H</v>
      </c>
      <c r="C374" s="11" t="str">
        <f>IF($B374&lt;&gt;"",TEXT(1-manut_MP($B374,C$1,C$2)/VLOOKUP(VALUE(MID($A374,5,3)),BASE_Pot!$A$2:$B$321,2,FALSE),"0.000"),"")</f>
        <v>1.000</v>
      </c>
      <c r="D374" s="11" t="str">
        <f>IF($B374&lt;&gt;"",TEXT(1-manut_MP($B374,D$1,D$2)/VLOOKUP(VALUE(MID($A374,5,3)),BASE_Pot!$A$2:$B$321,2,FALSE),"0.000"),"")</f>
        <v>1.000</v>
      </c>
      <c r="E374" s="11" t="str">
        <f>IF($B374&lt;&gt;"",TEXT(1-manut_MP($B374,E$1,E$2)/VLOOKUP(VALUE(MID($A374,5,3)),BASE_Pot!$A$2:$B$321,2,FALSE),"0.000"),"")</f>
        <v>1.000</v>
      </c>
      <c r="F374" s="11" t="str">
        <f>IF($B374&lt;&gt;"",TEXT(1-manut_MP($B374,F$1,F$2)/VLOOKUP(VALUE(MID($A374,5,3)),BASE_Pot!$A$2:$B$321,2,FALSE),"0.000"),"")</f>
        <v>1.000</v>
      </c>
      <c r="G374" s="11" t="str">
        <f>IF($B374&lt;&gt;"",TEXT(1-manut_MP($B374,G$1,G$2)/VLOOKUP(VALUE(MID($A374,5,3)),BASE_Pot!$A$2:$B$321,2,FALSE),"0.000"),"")</f>
        <v>1.000</v>
      </c>
      <c r="H374" s="11" t="str">
        <f>IF($B374&lt;&gt;"",TEXT(1-manut_MP($B374,H$1,H$2)/VLOOKUP(VALUE(MID($A374,5,3)),BASE_Pot!$A$2:$B$321,2,FALSE),"0.000"),"")</f>
        <v>1.000</v>
      </c>
      <c r="I374" s="11" t="str">
        <f>IF($B374&lt;&gt;"",TEXT(1-manut_MP($B374,I$1,I$2)/VLOOKUP(VALUE(MID($A374,5,3)),BASE_Pot!$A$2:$B$321,2,FALSE),"0.000"),"")</f>
        <v>1.000</v>
      </c>
      <c r="J374" t="str">
        <f>""</f>
        <v/>
      </c>
      <c r="L374" t="str">
        <f t="shared" si="14"/>
        <v>MP  276  1.0001.0001.0001.0001.0001.0001.000</v>
      </c>
    </row>
    <row r="375" spans="1:12" x14ac:dyDescent="0.25">
      <c r="A375" t="s">
        <v>304</v>
      </c>
      <c r="B375" t="str">
        <f t="shared" si="13"/>
        <v/>
      </c>
      <c r="C375" s="11" t="str">
        <f>IF($B375&lt;&gt;"",TEXT(1-manut_MP($B375,C$1,C$2)/VLOOKUP(VALUE(MID($A375,5,3)),BASE_Pot!$A$2:$B$321,2,FALSE),"0.000"),"")</f>
        <v/>
      </c>
      <c r="D375" s="11" t="str">
        <f>IF($B375&lt;&gt;"",TEXT(1-manut_MP($B375,D$1,D$2)/VLOOKUP(VALUE(MID($A375,5,3)),BASE_Pot!$A$2:$B$321,2,FALSE),"0.000"),"")</f>
        <v/>
      </c>
      <c r="E375" s="11" t="str">
        <f>IF($B375&lt;&gt;"",TEXT(1-manut_MP($B375,E$1,E$2)/VLOOKUP(VALUE(MID($A375,5,3)),BASE_Pot!$A$2:$B$321,2,FALSE),"0.000"),"")</f>
        <v/>
      </c>
      <c r="F375" s="11" t="str">
        <f>IF($B375&lt;&gt;"",TEXT(1-manut_MP($B375,F$1,F$2)/VLOOKUP(VALUE(MID($A375,5,3)),BASE_Pot!$A$2:$B$321,2,FALSE),"0.000"),"")</f>
        <v/>
      </c>
      <c r="G375" s="11" t="str">
        <f>IF($B375&lt;&gt;"",TEXT(1-manut_MP($B375,G$1,G$2)/VLOOKUP(VALUE(MID($A375,5,3)),BASE_Pot!$A$2:$B$321,2,FALSE),"0.000"),"")</f>
        <v/>
      </c>
      <c r="H375" s="11" t="str">
        <f>IF($B375&lt;&gt;"",TEXT(1-manut_MP($B375,H$1,H$2)/VLOOKUP(VALUE(MID($A375,5,3)),BASE_Pot!$A$2:$B$321,2,FALSE),"0.000"),"")</f>
        <v/>
      </c>
      <c r="I375" s="11" t="str">
        <f>IF($B375&lt;&gt;"",TEXT(1-manut_MP($B375,I$1,I$2)/VLOOKUP(VALUE(MID($A375,5,3)),BASE_Pot!$A$2:$B$321,2,FALSE),"0.000"),"")</f>
        <v/>
      </c>
      <c r="J375" t="str">
        <f>""</f>
        <v/>
      </c>
      <c r="L375" t="str">
        <f t="shared" si="14"/>
        <v>&amp;.................................</v>
      </c>
    </row>
    <row r="376" spans="1:12" x14ac:dyDescent="0.25">
      <c r="A376" t="s">
        <v>467</v>
      </c>
      <c r="B376" t="str">
        <f t="shared" si="13"/>
        <v/>
      </c>
      <c r="C376" s="11" t="str">
        <f>IF($B376&lt;&gt;"",TEXT(1-manut_MP($B376,C$1,C$2)/VLOOKUP(VALUE(MID($A376,5,3)),BASE_Pot!$A$2:$B$321,2,FALSE),"0.000"),"")</f>
        <v/>
      </c>
      <c r="D376" s="11" t="str">
        <f>IF($B376&lt;&gt;"",TEXT(1-manut_MP($B376,D$1,D$2)/VLOOKUP(VALUE(MID($A376,5,3)),BASE_Pot!$A$2:$B$321,2,FALSE),"0.000"),"")</f>
        <v/>
      </c>
      <c r="E376" s="11" t="str">
        <f>IF($B376&lt;&gt;"",TEXT(1-manut_MP($B376,E$1,E$2)/VLOOKUP(VALUE(MID($A376,5,3)),BASE_Pot!$A$2:$B$321,2,FALSE),"0.000"),"")</f>
        <v/>
      </c>
      <c r="F376" s="11" t="str">
        <f>IF($B376&lt;&gt;"",TEXT(1-manut_MP($B376,F$1,F$2)/VLOOKUP(VALUE(MID($A376,5,3)),BASE_Pot!$A$2:$B$321,2,FALSE),"0.000"),"")</f>
        <v/>
      </c>
      <c r="G376" s="11" t="str">
        <f>IF($B376&lt;&gt;"",TEXT(1-manut_MP($B376,G$1,G$2)/VLOOKUP(VALUE(MID($A376,5,3)),BASE_Pot!$A$2:$B$321,2,FALSE),"0.000"),"")</f>
        <v/>
      </c>
      <c r="H376" s="11" t="str">
        <f>IF($B376&lt;&gt;"",TEXT(1-manut_MP($B376,H$1,H$2)/VLOOKUP(VALUE(MID($A376,5,3)),BASE_Pot!$A$2:$B$321,2,FALSE),"0.000"),"")</f>
        <v/>
      </c>
      <c r="I376" s="11" t="str">
        <f>IF($B376&lt;&gt;"",TEXT(1-manut_MP($B376,I$1,I$2)/VLOOKUP(VALUE(MID($A376,5,3)),BASE_Pot!$A$2:$B$321,2,FALSE),"0.000"),"")</f>
        <v/>
      </c>
      <c r="J376" t="str">
        <f>""</f>
        <v/>
      </c>
      <c r="L376" t="str">
        <f t="shared" si="14"/>
        <v>&amp;         CELG GT</v>
      </c>
    </row>
    <row r="377" spans="1:12" x14ac:dyDescent="0.25">
      <c r="A377" t="s">
        <v>304</v>
      </c>
      <c r="B377" t="str">
        <f t="shared" si="13"/>
        <v/>
      </c>
      <c r="C377" s="11" t="str">
        <f>IF($B377&lt;&gt;"",TEXT(1-manut_MP($B377,C$1,C$2)/VLOOKUP(VALUE(MID($A377,5,3)),BASE_Pot!$A$2:$B$321,2,FALSE),"0.000"),"")</f>
        <v/>
      </c>
      <c r="D377" s="11" t="str">
        <f>IF($B377&lt;&gt;"",TEXT(1-manut_MP($B377,D$1,D$2)/VLOOKUP(VALUE(MID($A377,5,3)),BASE_Pot!$A$2:$B$321,2,FALSE),"0.000"),"")</f>
        <v/>
      </c>
      <c r="E377" s="11" t="str">
        <f>IF($B377&lt;&gt;"",TEXT(1-manut_MP($B377,E$1,E$2)/VLOOKUP(VALUE(MID($A377,5,3)),BASE_Pot!$A$2:$B$321,2,FALSE),"0.000"),"")</f>
        <v/>
      </c>
      <c r="F377" s="11" t="str">
        <f>IF($B377&lt;&gt;"",TEXT(1-manut_MP($B377,F$1,F$2)/VLOOKUP(VALUE(MID($A377,5,3)),BASE_Pot!$A$2:$B$321,2,FALSE),"0.000"),"")</f>
        <v/>
      </c>
      <c r="G377" s="11" t="str">
        <f>IF($B377&lt;&gt;"",TEXT(1-manut_MP($B377,G$1,G$2)/VLOOKUP(VALUE(MID($A377,5,3)),BASE_Pot!$A$2:$B$321,2,FALSE),"0.000"),"")</f>
        <v/>
      </c>
      <c r="H377" s="11" t="str">
        <f>IF($B377&lt;&gt;"",TEXT(1-manut_MP($B377,H$1,H$2)/VLOOKUP(VALUE(MID($A377,5,3)),BASE_Pot!$A$2:$B$321,2,FALSE),"0.000"),"")</f>
        <v/>
      </c>
      <c r="I377" s="11" t="str">
        <f>IF($B377&lt;&gt;"",TEXT(1-manut_MP($B377,I$1,I$2)/VLOOKUP(VALUE(MID($A377,5,3)),BASE_Pot!$A$2:$B$321,2,FALSE),"0.000"),"")</f>
        <v/>
      </c>
      <c r="J377" t="str">
        <f>""</f>
        <v/>
      </c>
      <c r="L377" t="str">
        <f t="shared" si="14"/>
        <v>&amp;.................................</v>
      </c>
    </row>
    <row r="378" spans="1:12" x14ac:dyDescent="0.25">
      <c r="A378" t="s">
        <v>468</v>
      </c>
      <c r="B378" t="str">
        <f t="shared" si="13"/>
        <v/>
      </c>
      <c r="C378" s="11" t="str">
        <f>IF($B378&lt;&gt;"",TEXT(1-manut_MP($B378,C$1,C$2)/VLOOKUP(VALUE(MID($A378,5,3)),BASE_Pot!$A$2:$B$321,2,FALSE),"0.000"),"")</f>
        <v/>
      </c>
      <c r="D378" s="11" t="str">
        <f>IF($B378&lt;&gt;"",TEXT(1-manut_MP($B378,D$1,D$2)/VLOOKUP(VALUE(MID($A378,5,3)),BASE_Pot!$A$2:$B$321,2,FALSE),"0.000"),"")</f>
        <v/>
      </c>
      <c r="E378" s="11" t="str">
        <f>IF($B378&lt;&gt;"",TEXT(1-manut_MP($B378,E$1,E$2)/VLOOKUP(VALUE(MID($A378,5,3)),BASE_Pot!$A$2:$B$321,2,FALSE),"0.000"),"")</f>
        <v/>
      </c>
      <c r="F378" s="11" t="str">
        <f>IF($B378&lt;&gt;"",TEXT(1-manut_MP($B378,F$1,F$2)/VLOOKUP(VALUE(MID($A378,5,3)),BASE_Pot!$A$2:$B$321,2,FALSE),"0.000"),"")</f>
        <v/>
      </c>
      <c r="G378" s="11" t="str">
        <f>IF($B378&lt;&gt;"",TEXT(1-manut_MP($B378,G$1,G$2)/VLOOKUP(VALUE(MID($A378,5,3)),BASE_Pot!$A$2:$B$321,2,FALSE),"0.000"),"")</f>
        <v/>
      </c>
      <c r="H378" s="11" t="str">
        <f>IF($B378&lt;&gt;"",TEXT(1-manut_MP($B378,H$1,H$2)/VLOOKUP(VALUE(MID($A378,5,3)),BASE_Pot!$A$2:$B$321,2,FALSE),"0.000"),"")</f>
        <v/>
      </c>
      <c r="I378" s="11" t="str">
        <f>IF($B378&lt;&gt;"",TEXT(1-manut_MP($B378,I$1,I$2)/VLOOKUP(VALUE(MID($A378,5,3)),BASE_Pot!$A$2:$B$321,2,FALSE),"0.000"),"")</f>
        <v/>
      </c>
      <c r="J378" t="str">
        <f>""</f>
        <v/>
      </c>
      <c r="L378" t="str">
        <f t="shared" si="14"/>
        <v>&amp;ESPORA</v>
      </c>
    </row>
    <row r="379" spans="1:12" x14ac:dyDescent="0.25">
      <c r="A379" t="s">
        <v>623</v>
      </c>
      <c r="B379" t="str">
        <f t="shared" si="13"/>
        <v>290-H</v>
      </c>
      <c r="C379" s="11" t="str">
        <f>IF($B379&lt;&gt;"",TEXT(1-manut_MP($B379,C$1,C$2)/VLOOKUP(VALUE(MID($A379,5,3)),BASE_Pot!$A$2:$B$321,2,FALSE),"0.000"),"")</f>
        <v>1.000</v>
      </c>
      <c r="D379" s="11" t="str">
        <f>IF($B379&lt;&gt;"",TEXT(1-manut_MP($B379,D$1,D$2)/VLOOKUP(VALUE(MID($A379,5,3)),BASE_Pot!$A$2:$B$321,2,FALSE),"0.000"),"")</f>
        <v>1.000</v>
      </c>
      <c r="E379" s="11" t="str">
        <f>IF($B379&lt;&gt;"",TEXT(1-manut_MP($B379,E$1,E$2)/VLOOKUP(VALUE(MID($A379,5,3)),BASE_Pot!$A$2:$B$321,2,FALSE),"0.000"),"")</f>
        <v>1.000</v>
      </c>
      <c r="F379" s="11" t="str">
        <f>IF($B379&lt;&gt;"",TEXT(1-manut_MP($B379,F$1,F$2)/VLOOKUP(VALUE(MID($A379,5,3)),BASE_Pot!$A$2:$B$321,2,FALSE),"0.000"),"")</f>
        <v>1.000</v>
      </c>
      <c r="G379" s="11" t="str">
        <f>IF($B379&lt;&gt;"",TEXT(1-manut_MP($B379,G$1,G$2)/VLOOKUP(VALUE(MID($A379,5,3)),BASE_Pot!$A$2:$B$321,2,FALSE),"0.000"),"")</f>
        <v>1.000</v>
      </c>
      <c r="H379" s="11" t="str">
        <f>IF($B379&lt;&gt;"",TEXT(1-manut_MP($B379,H$1,H$2)/VLOOKUP(VALUE(MID($A379,5,3)),BASE_Pot!$A$2:$B$321,2,FALSE),"0.000"),"")</f>
        <v>1.000</v>
      </c>
      <c r="I379" s="11" t="str">
        <f>IF($B379&lt;&gt;"",TEXT(1-manut_MP($B379,I$1,I$2)/VLOOKUP(VALUE(MID($A379,5,3)),BASE_Pot!$A$2:$B$321,2,FALSE),"0.000"),"")</f>
        <v>1.000</v>
      </c>
      <c r="J379" t="str">
        <f>""</f>
        <v/>
      </c>
      <c r="L379" t="str">
        <f t="shared" si="14"/>
        <v>MP  290  1.0001.0001.0001.0001.0001.0001.000</v>
      </c>
    </row>
    <row r="380" spans="1:12" x14ac:dyDescent="0.25">
      <c r="A380" t="s">
        <v>304</v>
      </c>
      <c r="B380" t="str">
        <f t="shared" si="13"/>
        <v/>
      </c>
      <c r="C380" s="11" t="str">
        <f>IF($B380&lt;&gt;"",TEXT(1-manut_MP($B380,C$1,C$2)/VLOOKUP(VALUE(MID($A380,5,3)),BASE_Pot!$A$2:$B$321,2,FALSE),"0.000"),"")</f>
        <v/>
      </c>
      <c r="D380" s="11" t="str">
        <f>IF($B380&lt;&gt;"",TEXT(1-manut_MP($B380,D$1,D$2)/VLOOKUP(VALUE(MID($A380,5,3)),BASE_Pot!$A$2:$B$321,2,FALSE),"0.000"),"")</f>
        <v/>
      </c>
      <c r="E380" s="11" t="str">
        <f>IF($B380&lt;&gt;"",TEXT(1-manut_MP($B380,E$1,E$2)/VLOOKUP(VALUE(MID($A380,5,3)),BASE_Pot!$A$2:$B$321,2,FALSE),"0.000"),"")</f>
        <v/>
      </c>
      <c r="F380" s="11" t="str">
        <f>IF($B380&lt;&gt;"",TEXT(1-manut_MP($B380,F$1,F$2)/VLOOKUP(VALUE(MID($A380,5,3)),BASE_Pot!$A$2:$B$321,2,FALSE),"0.000"),"")</f>
        <v/>
      </c>
      <c r="G380" s="11" t="str">
        <f>IF($B380&lt;&gt;"",TEXT(1-manut_MP($B380,G$1,G$2)/VLOOKUP(VALUE(MID($A380,5,3)),BASE_Pot!$A$2:$B$321,2,FALSE),"0.000"),"")</f>
        <v/>
      </c>
      <c r="H380" s="11" t="str">
        <f>IF($B380&lt;&gt;"",TEXT(1-manut_MP($B380,H$1,H$2)/VLOOKUP(VALUE(MID($A380,5,3)),BASE_Pot!$A$2:$B$321,2,FALSE),"0.000"),"")</f>
        <v/>
      </c>
      <c r="I380" s="11" t="str">
        <f>IF($B380&lt;&gt;"",TEXT(1-manut_MP($B380,I$1,I$2)/VLOOKUP(VALUE(MID($A380,5,3)),BASE_Pot!$A$2:$B$321,2,FALSE),"0.000"),"")</f>
        <v/>
      </c>
      <c r="J380" t="str">
        <f>""</f>
        <v/>
      </c>
      <c r="L380" t="str">
        <f t="shared" si="14"/>
        <v>&amp;.................................</v>
      </c>
    </row>
    <row r="381" spans="1:12" x14ac:dyDescent="0.25">
      <c r="A381" t="s">
        <v>469</v>
      </c>
      <c r="B381" t="str">
        <f t="shared" si="13"/>
        <v/>
      </c>
      <c r="C381" s="11" t="str">
        <f>IF($B381&lt;&gt;"",TEXT(1-manut_MP($B381,C$1,C$2)/VLOOKUP(VALUE(MID($A381,5,3)),BASE_Pot!$A$2:$B$321,2,FALSE),"0.000"),"")</f>
        <v/>
      </c>
      <c r="D381" s="11" t="str">
        <f>IF($B381&lt;&gt;"",TEXT(1-manut_MP($B381,D$1,D$2)/VLOOKUP(VALUE(MID($A381,5,3)),BASE_Pot!$A$2:$B$321,2,FALSE),"0.000"),"")</f>
        <v/>
      </c>
      <c r="E381" s="11" t="str">
        <f>IF($B381&lt;&gt;"",TEXT(1-manut_MP($B381,E$1,E$2)/VLOOKUP(VALUE(MID($A381,5,3)),BASE_Pot!$A$2:$B$321,2,FALSE),"0.000"),"")</f>
        <v/>
      </c>
      <c r="F381" s="11" t="str">
        <f>IF($B381&lt;&gt;"",TEXT(1-manut_MP($B381,F$1,F$2)/VLOOKUP(VALUE(MID($A381,5,3)),BASE_Pot!$A$2:$B$321,2,FALSE),"0.000"),"")</f>
        <v/>
      </c>
      <c r="G381" s="11" t="str">
        <f>IF($B381&lt;&gt;"",TEXT(1-manut_MP($B381,G$1,G$2)/VLOOKUP(VALUE(MID($A381,5,3)),BASE_Pot!$A$2:$B$321,2,FALSE),"0.000"),"")</f>
        <v/>
      </c>
      <c r="H381" s="11" t="str">
        <f>IF($B381&lt;&gt;"",TEXT(1-manut_MP($B381,H$1,H$2)/VLOOKUP(VALUE(MID($A381,5,3)),BASE_Pot!$A$2:$B$321,2,FALSE),"0.000"),"")</f>
        <v/>
      </c>
      <c r="I381" s="11" t="str">
        <f>IF($B381&lt;&gt;"",TEXT(1-manut_MP($B381,I$1,I$2)/VLOOKUP(VALUE(MID($A381,5,3)),BASE_Pot!$A$2:$B$321,2,FALSE),"0.000"),"")</f>
        <v/>
      </c>
      <c r="J381" t="str">
        <f>""</f>
        <v/>
      </c>
      <c r="L381" t="str">
        <f t="shared" si="14"/>
        <v>&amp;         BBEP</v>
      </c>
    </row>
    <row r="382" spans="1:12" x14ac:dyDescent="0.25">
      <c r="A382" t="s">
        <v>304</v>
      </c>
      <c r="B382" t="str">
        <f t="shared" si="13"/>
        <v/>
      </c>
      <c r="C382" s="11" t="str">
        <f>IF($B382&lt;&gt;"",TEXT(1-manut_MP($B382,C$1,C$2)/VLOOKUP(VALUE(MID($A382,5,3)),BASE_Pot!$A$2:$B$321,2,FALSE),"0.000"),"")</f>
        <v/>
      </c>
      <c r="D382" s="11" t="str">
        <f>IF($B382&lt;&gt;"",TEXT(1-manut_MP($B382,D$1,D$2)/VLOOKUP(VALUE(MID($A382,5,3)),BASE_Pot!$A$2:$B$321,2,FALSE),"0.000"),"")</f>
        <v/>
      </c>
      <c r="E382" s="11" t="str">
        <f>IF($B382&lt;&gt;"",TEXT(1-manut_MP($B382,E$1,E$2)/VLOOKUP(VALUE(MID($A382,5,3)),BASE_Pot!$A$2:$B$321,2,FALSE),"0.000"),"")</f>
        <v/>
      </c>
      <c r="F382" s="11" t="str">
        <f>IF($B382&lt;&gt;"",TEXT(1-manut_MP($B382,F$1,F$2)/VLOOKUP(VALUE(MID($A382,5,3)),BASE_Pot!$A$2:$B$321,2,FALSE),"0.000"),"")</f>
        <v/>
      </c>
      <c r="G382" s="11" t="str">
        <f>IF($B382&lt;&gt;"",TEXT(1-manut_MP($B382,G$1,G$2)/VLOOKUP(VALUE(MID($A382,5,3)),BASE_Pot!$A$2:$B$321,2,FALSE),"0.000"),"")</f>
        <v/>
      </c>
      <c r="H382" s="11" t="str">
        <f>IF($B382&lt;&gt;"",TEXT(1-manut_MP($B382,H$1,H$2)/VLOOKUP(VALUE(MID($A382,5,3)),BASE_Pot!$A$2:$B$321,2,FALSE),"0.000"),"")</f>
        <v/>
      </c>
      <c r="I382" s="11" t="str">
        <f>IF($B382&lt;&gt;"",TEXT(1-manut_MP($B382,I$1,I$2)/VLOOKUP(VALUE(MID($A382,5,3)),BASE_Pot!$A$2:$B$321,2,FALSE),"0.000"),"")</f>
        <v/>
      </c>
      <c r="J382" t="str">
        <f>""</f>
        <v/>
      </c>
      <c r="L382" t="str">
        <f t="shared" si="14"/>
        <v>&amp;.................................</v>
      </c>
    </row>
    <row r="383" spans="1:12" x14ac:dyDescent="0.25">
      <c r="A383" t="s">
        <v>470</v>
      </c>
      <c r="B383" t="str">
        <f t="shared" si="13"/>
        <v/>
      </c>
      <c r="C383" s="11" t="str">
        <f>IF($B383&lt;&gt;"",TEXT(1-manut_MP($B383,C$1,C$2)/VLOOKUP(VALUE(MID($A383,5,3)),BASE_Pot!$A$2:$B$321,2,FALSE),"0.000"),"")</f>
        <v/>
      </c>
      <c r="D383" s="11" t="str">
        <f>IF($B383&lt;&gt;"",TEXT(1-manut_MP($B383,D$1,D$2)/VLOOKUP(VALUE(MID($A383,5,3)),BASE_Pot!$A$2:$B$321,2,FALSE),"0.000"),"")</f>
        <v/>
      </c>
      <c r="E383" s="11" t="str">
        <f>IF($B383&lt;&gt;"",TEXT(1-manut_MP($B383,E$1,E$2)/VLOOKUP(VALUE(MID($A383,5,3)),BASE_Pot!$A$2:$B$321,2,FALSE),"0.000"),"")</f>
        <v/>
      </c>
      <c r="F383" s="11" t="str">
        <f>IF($B383&lt;&gt;"",TEXT(1-manut_MP($B383,F$1,F$2)/VLOOKUP(VALUE(MID($A383,5,3)),BASE_Pot!$A$2:$B$321,2,FALSE),"0.000"),"")</f>
        <v/>
      </c>
      <c r="G383" s="11" t="str">
        <f>IF($B383&lt;&gt;"",TEXT(1-manut_MP($B383,G$1,G$2)/VLOOKUP(VALUE(MID($A383,5,3)),BASE_Pot!$A$2:$B$321,2,FALSE),"0.000"),"")</f>
        <v/>
      </c>
      <c r="H383" s="11" t="str">
        <f>IF($B383&lt;&gt;"",TEXT(1-manut_MP($B383,H$1,H$2)/VLOOKUP(VALUE(MID($A383,5,3)),BASE_Pot!$A$2:$B$321,2,FALSE),"0.000"),"")</f>
        <v/>
      </c>
      <c r="I383" s="11" t="str">
        <f>IF($B383&lt;&gt;"",TEXT(1-manut_MP($B383,I$1,I$2)/VLOOKUP(VALUE(MID($A383,5,3)),BASE_Pot!$A$2:$B$321,2,FALSE),"0.000"),"")</f>
        <v/>
      </c>
      <c r="J383" t="str">
        <f>""</f>
        <v/>
      </c>
      <c r="L383" t="str">
        <f t="shared" si="14"/>
        <v>&amp;ITIQUIRA I</v>
      </c>
    </row>
    <row r="384" spans="1:12" x14ac:dyDescent="0.25">
      <c r="A384" t="s">
        <v>624</v>
      </c>
      <c r="B384" t="str">
        <f t="shared" si="13"/>
        <v>304-H</v>
      </c>
      <c r="C384" s="11" t="str">
        <f>IF($B384&lt;&gt;"",TEXT(1-manut_MP($B384,C$1,C$2)/VLOOKUP(VALUE(MID($A384,5,3)),BASE_Pot!$A$2:$B$321,2,FALSE),"0.000"),"")</f>
        <v>1.000</v>
      </c>
      <c r="D384" s="11" t="str">
        <f>IF($B384&lt;&gt;"",TEXT(1-manut_MP($B384,D$1,D$2)/VLOOKUP(VALUE(MID($A384,5,3)),BASE_Pot!$A$2:$B$321,2,FALSE),"0.000"),"")</f>
        <v>1.000</v>
      </c>
      <c r="E384" s="11" t="str">
        <f>IF($B384&lt;&gt;"",TEXT(1-manut_MP($B384,E$1,E$2)/VLOOKUP(VALUE(MID($A384,5,3)),BASE_Pot!$A$2:$B$321,2,FALSE),"0.000"),"")</f>
        <v>1.000</v>
      </c>
      <c r="F384" s="11" t="str">
        <f>IF($B384&lt;&gt;"",TEXT(1-manut_MP($B384,F$1,F$2)/VLOOKUP(VALUE(MID($A384,5,3)),BASE_Pot!$A$2:$B$321,2,FALSE),"0.000"),"")</f>
        <v>1.000</v>
      </c>
      <c r="G384" s="11" t="str">
        <f>IF($B384&lt;&gt;"",TEXT(1-manut_MP($B384,G$1,G$2)/VLOOKUP(VALUE(MID($A384,5,3)),BASE_Pot!$A$2:$B$321,2,FALSE),"0.000"),"")</f>
        <v>1.000</v>
      </c>
      <c r="H384" s="11" t="str">
        <f>IF($B384&lt;&gt;"",TEXT(1-manut_MP($B384,H$1,H$2)/VLOOKUP(VALUE(MID($A384,5,3)),BASE_Pot!$A$2:$B$321,2,FALSE),"0.000"),"")</f>
        <v>1.000</v>
      </c>
      <c r="I384" s="11" t="str">
        <f>IF($B384&lt;&gt;"",TEXT(1-manut_MP($B384,I$1,I$2)/VLOOKUP(VALUE(MID($A384,5,3)),BASE_Pot!$A$2:$B$321,2,FALSE),"0.000"),"")</f>
        <v>1.000</v>
      </c>
      <c r="J384" t="str">
        <f>""</f>
        <v/>
      </c>
      <c r="L384" t="str">
        <f t="shared" si="14"/>
        <v>MP  304  1.0001.0001.0001.0001.0001.0001.000</v>
      </c>
    </row>
    <row r="385" spans="1:12" x14ac:dyDescent="0.25">
      <c r="A385" t="s">
        <v>471</v>
      </c>
      <c r="B385" t="str">
        <f t="shared" si="13"/>
        <v/>
      </c>
      <c r="C385" s="11" t="str">
        <f>IF($B385&lt;&gt;"",TEXT(1-manut_MP($B385,C$1,C$2)/VLOOKUP(VALUE(MID($A385,5,3)),BASE_Pot!$A$2:$B$321,2,FALSE),"0.000"),"")</f>
        <v/>
      </c>
      <c r="D385" s="11" t="str">
        <f>IF($B385&lt;&gt;"",TEXT(1-manut_MP($B385,D$1,D$2)/VLOOKUP(VALUE(MID($A385,5,3)),BASE_Pot!$A$2:$B$321,2,FALSE),"0.000"),"")</f>
        <v/>
      </c>
      <c r="E385" s="11" t="str">
        <f>IF($B385&lt;&gt;"",TEXT(1-manut_MP($B385,E$1,E$2)/VLOOKUP(VALUE(MID($A385,5,3)),BASE_Pot!$A$2:$B$321,2,FALSE),"0.000"),"")</f>
        <v/>
      </c>
      <c r="F385" s="11" t="str">
        <f>IF($B385&lt;&gt;"",TEXT(1-manut_MP($B385,F$1,F$2)/VLOOKUP(VALUE(MID($A385,5,3)),BASE_Pot!$A$2:$B$321,2,FALSE),"0.000"),"")</f>
        <v/>
      </c>
      <c r="G385" s="11" t="str">
        <f>IF($B385&lt;&gt;"",TEXT(1-manut_MP($B385,G$1,G$2)/VLOOKUP(VALUE(MID($A385,5,3)),BASE_Pot!$A$2:$B$321,2,FALSE),"0.000"),"")</f>
        <v/>
      </c>
      <c r="H385" s="11" t="str">
        <f>IF($B385&lt;&gt;"",TEXT(1-manut_MP($B385,H$1,H$2)/VLOOKUP(VALUE(MID($A385,5,3)),BASE_Pot!$A$2:$B$321,2,FALSE),"0.000"),"")</f>
        <v/>
      </c>
      <c r="I385" s="11" t="str">
        <f>IF($B385&lt;&gt;"",TEXT(1-manut_MP($B385,I$1,I$2)/VLOOKUP(VALUE(MID($A385,5,3)),BASE_Pot!$A$2:$B$321,2,FALSE),"0.000"),"")</f>
        <v/>
      </c>
      <c r="J385" t="str">
        <f>""</f>
        <v/>
      </c>
      <c r="L385" t="str">
        <f t="shared" si="14"/>
        <v>&amp;ITIQUIRA II</v>
      </c>
    </row>
    <row r="386" spans="1:12" x14ac:dyDescent="0.25">
      <c r="A386" t="s">
        <v>625</v>
      </c>
      <c r="B386" t="str">
        <f t="shared" si="13"/>
        <v>305-H</v>
      </c>
      <c r="C386" s="11" t="str">
        <f>IF($B386&lt;&gt;"",TEXT(1-manut_MP($B386,C$1,C$2)/VLOOKUP(VALUE(MID($A386,5,3)),BASE_Pot!$A$2:$B$321,2,FALSE),"0.000"),"")</f>
        <v>1.000</v>
      </c>
      <c r="D386" s="11" t="str">
        <f>IF($B386&lt;&gt;"",TEXT(1-manut_MP($B386,D$1,D$2)/VLOOKUP(VALUE(MID($A386,5,3)),BASE_Pot!$A$2:$B$321,2,FALSE),"0.000"),"")</f>
        <v>1.000</v>
      </c>
      <c r="E386" s="11" t="str">
        <f>IF($B386&lt;&gt;"",TEXT(1-manut_MP($B386,E$1,E$2)/VLOOKUP(VALUE(MID($A386,5,3)),BASE_Pot!$A$2:$B$321,2,FALSE),"0.000"),"")</f>
        <v>1.000</v>
      </c>
      <c r="F386" s="11" t="str">
        <f>IF($B386&lt;&gt;"",TEXT(1-manut_MP($B386,F$1,F$2)/VLOOKUP(VALUE(MID($A386,5,3)),BASE_Pot!$A$2:$B$321,2,FALSE),"0.000"),"")</f>
        <v>1.000</v>
      </c>
      <c r="G386" s="11" t="str">
        <f>IF($B386&lt;&gt;"",TEXT(1-manut_MP($B386,G$1,G$2)/VLOOKUP(VALUE(MID($A386,5,3)),BASE_Pot!$A$2:$B$321,2,FALSE),"0.000"),"")</f>
        <v>1.000</v>
      </c>
      <c r="H386" s="11" t="str">
        <f>IF($B386&lt;&gt;"",TEXT(1-manut_MP($B386,H$1,H$2)/VLOOKUP(VALUE(MID($A386,5,3)),BASE_Pot!$A$2:$B$321,2,FALSE),"0.000"),"")</f>
        <v>1.000</v>
      </c>
      <c r="I386" s="11" t="str">
        <f>IF($B386&lt;&gt;"",TEXT(1-manut_MP($B386,I$1,I$2)/VLOOKUP(VALUE(MID($A386,5,3)),BASE_Pot!$A$2:$B$321,2,FALSE),"0.000"),"")</f>
        <v>1.000</v>
      </c>
      <c r="J386" t="str">
        <f>""</f>
        <v/>
      </c>
      <c r="L386" t="str">
        <f t="shared" si="14"/>
        <v>MP  305  1.0001.0001.0001.0001.0001.0001.000</v>
      </c>
    </row>
    <row r="387" spans="1:12" x14ac:dyDescent="0.25">
      <c r="A387" t="s">
        <v>304</v>
      </c>
      <c r="B387" t="str">
        <f t="shared" si="13"/>
        <v/>
      </c>
      <c r="C387" s="11" t="str">
        <f>IF($B387&lt;&gt;"",TEXT(1-manut_MP($B387,C$1,C$2)/VLOOKUP(VALUE(MID($A387,5,3)),BASE_Pot!$A$2:$B$321,2,FALSE),"0.000"),"")</f>
        <v/>
      </c>
      <c r="D387" s="11" t="str">
        <f>IF($B387&lt;&gt;"",TEXT(1-manut_MP($B387,D$1,D$2)/VLOOKUP(VALUE(MID($A387,5,3)),BASE_Pot!$A$2:$B$321,2,FALSE),"0.000"),"")</f>
        <v/>
      </c>
      <c r="E387" s="11" t="str">
        <f>IF($B387&lt;&gt;"",TEXT(1-manut_MP($B387,E$1,E$2)/VLOOKUP(VALUE(MID($A387,5,3)),BASE_Pot!$A$2:$B$321,2,FALSE),"0.000"),"")</f>
        <v/>
      </c>
      <c r="F387" s="11" t="str">
        <f>IF($B387&lt;&gt;"",TEXT(1-manut_MP($B387,F$1,F$2)/VLOOKUP(VALUE(MID($A387,5,3)),BASE_Pot!$A$2:$B$321,2,FALSE),"0.000"),"")</f>
        <v/>
      </c>
      <c r="G387" s="11" t="str">
        <f>IF($B387&lt;&gt;"",TEXT(1-manut_MP($B387,G$1,G$2)/VLOOKUP(VALUE(MID($A387,5,3)),BASE_Pot!$A$2:$B$321,2,FALSE),"0.000"),"")</f>
        <v/>
      </c>
      <c r="H387" s="11" t="str">
        <f>IF($B387&lt;&gt;"",TEXT(1-manut_MP($B387,H$1,H$2)/VLOOKUP(VALUE(MID($A387,5,3)),BASE_Pot!$A$2:$B$321,2,FALSE),"0.000"),"")</f>
        <v/>
      </c>
      <c r="I387" s="11" t="str">
        <f>IF($B387&lt;&gt;"",TEXT(1-manut_MP($B387,I$1,I$2)/VLOOKUP(VALUE(MID($A387,5,3)),BASE_Pot!$A$2:$B$321,2,FALSE),"0.000"),"")</f>
        <v/>
      </c>
      <c r="J387" t="str">
        <f>""</f>
        <v/>
      </c>
      <c r="L387" t="str">
        <f t="shared" si="14"/>
        <v>&amp;.................................</v>
      </c>
    </row>
    <row r="388" spans="1:12" x14ac:dyDescent="0.25">
      <c r="A388" t="s">
        <v>472</v>
      </c>
      <c r="B388" t="str">
        <f t="shared" ref="B388:B449" si="15">IF(LEFT(A388,1)="&amp;","",MID(A388,5,3)&amp;"-H")</f>
        <v/>
      </c>
      <c r="C388" s="11" t="str">
        <f>IF($B388&lt;&gt;"",TEXT(1-manut_MP($B388,C$1,C$2)/VLOOKUP(VALUE(MID($A388,5,3)),BASE_Pot!$A$2:$B$321,2,FALSE),"0.000"),"")</f>
        <v/>
      </c>
      <c r="D388" s="11" t="str">
        <f>IF($B388&lt;&gt;"",TEXT(1-manut_MP($B388,D$1,D$2)/VLOOKUP(VALUE(MID($A388,5,3)),BASE_Pot!$A$2:$B$321,2,FALSE),"0.000"),"")</f>
        <v/>
      </c>
      <c r="E388" s="11" t="str">
        <f>IF($B388&lt;&gt;"",TEXT(1-manut_MP($B388,E$1,E$2)/VLOOKUP(VALUE(MID($A388,5,3)),BASE_Pot!$A$2:$B$321,2,FALSE),"0.000"),"")</f>
        <v/>
      </c>
      <c r="F388" s="11" t="str">
        <f>IF($B388&lt;&gt;"",TEXT(1-manut_MP($B388,F$1,F$2)/VLOOKUP(VALUE(MID($A388,5,3)),BASE_Pot!$A$2:$B$321,2,FALSE),"0.000"),"")</f>
        <v/>
      </c>
      <c r="G388" s="11" t="str">
        <f>IF($B388&lt;&gt;"",TEXT(1-manut_MP($B388,G$1,G$2)/VLOOKUP(VALUE(MID($A388,5,3)),BASE_Pot!$A$2:$B$321,2,FALSE),"0.000"),"")</f>
        <v/>
      </c>
      <c r="H388" s="11" t="str">
        <f>IF($B388&lt;&gt;"",TEXT(1-manut_MP($B388,H$1,H$2)/VLOOKUP(VALUE(MID($A388,5,3)),BASE_Pot!$A$2:$B$321,2,FALSE),"0.000"),"")</f>
        <v/>
      </c>
      <c r="I388" s="11" t="str">
        <f>IF($B388&lt;&gt;"",TEXT(1-manut_MP($B388,I$1,I$2)/VLOOKUP(VALUE(MID($A388,5,3)),BASE_Pot!$A$2:$B$321,2,FALSE),"0.000"),"")</f>
        <v/>
      </c>
      <c r="J388" t="str">
        <f>""</f>
        <v/>
      </c>
      <c r="L388" t="str">
        <f t="shared" si="14"/>
        <v>&amp;         RETIRO BAIXO</v>
      </c>
    </row>
    <row r="389" spans="1:12" x14ac:dyDescent="0.25">
      <c r="A389" t="s">
        <v>304</v>
      </c>
      <c r="B389" t="str">
        <f t="shared" si="15"/>
        <v/>
      </c>
      <c r="C389" s="11" t="str">
        <f>IF($B389&lt;&gt;"",TEXT(1-manut_MP($B389,C$1,C$2)/VLOOKUP(VALUE(MID($A389,5,3)),BASE_Pot!$A$2:$B$321,2,FALSE),"0.000"),"")</f>
        <v/>
      </c>
      <c r="D389" s="11" t="str">
        <f>IF($B389&lt;&gt;"",TEXT(1-manut_MP($B389,D$1,D$2)/VLOOKUP(VALUE(MID($A389,5,3)),BASE_Pot!$A$2:$B$321,2,FALSE),"0.000"),"")</f>
        <v/>
      </c>
      <c r="E389" s="11" t="str">
        <f>IF($B389&lt;&gt;"",TEXT(1-manut_MP($B389,E$1,E$2)/VLOOKUP(VALUE(MID($A389,5,3)),BASE_Pot!$A$2:$B$321,2,FALSE),"0.000"),"")</f>
        <v/>
      </c>
      <c r="F389" s="11" t="str">
        <f>IF($B389&lt;&gt;"",TEXT(1-manut_MP($B389,F$1,F$2)/VLOOKUP(VALUE(MID($A389,5,3)),BASE_Pot!$A$2:$B$321,2,FALSE),"0.000"),"")</f>
        <v/>
      </c>
      <c r="G389" s="11" t="str">
        <f>IF($B389&lt;&gt;"",TEXT(1-manut_MP($B389,G$1,G$2)/VLOOKUP(VALUE(MID($A389,5,3)),BASE_Pot!$A$2:$B$321,2,FALSE),"0.000"),"")</f>
        <v/>
      </c>
      <c r="H389" s="11" t="str">
        <f>IF($B389&lt;&gt;"",TEXT(1-manut_MP($B389,H$1,H$2)/VLOOKUP(VALUE(MID($A389,5,3)),BASE_Pot!$A$2:$B$321,2,FALSE),"0.000"),"")</f>
        <v/>
      </c>
      <c r="I389" s="11" t="str">
        <f>IF($B389&lt;&gt;"",TEXT(1-manut_MP($B389,I$1,I$2)/VLOOKUP(VALUE(MID($A389,5,3)),BASE_Pot!$A$2:$B$321,2,FALSE),"0.000"),"")</f>
        <v/>
      </c>
      <c r="J389" t="str">
        <f>""</f>
        <v/>
      </c>
      <c r="L389" t="str">
        <f t="shared" si="14"/>
        <v>&amp;.................................</v>
      </c>
    </row>
    <row r="390" spans="1:12" x14ac:dyDescent="0.25">
      <c r="A390" t="s">
        <v>473</v>
      </c>
      <c r="B390" t="str">
        <f t="shared" si="15"/>
        <v/>
      </c>
      <c r="C390" s="11" t="str">
        <f>IF($B390&lt;&gt;"",TEXT(1-manut_MP($B390,C$1,C$2)/VLOOKUP(VALUE(MID($A390,5,3)),BASE_Pot!$A$2:$B$321,2,FALSE),"0.000"),"")</f>
        <v/>
      </c>
      <c r="D390" s="11" t="str">
        <f>IF($B390&lt;&gt;"",TEXT(1-manut_MP($B390,D$1,D$2)/VLOOKUP(VALUE(MID($A390,5,3)),BASE_Pot!$A$2:$B$321,2,FALSE),"0.000"),"")</f>
        <v/>
      </c>
      <c r="E390" s="11" t="str">
        <f>IF($B390&lt;&gt;"",TEXT(1-manut_MP($B390,E$1,E$2)/VLOOKUP(VALUE(MID($A390,5,3)),BASE_Pot!$A$2:$B$321,2,FALSE),"0.000"),"")</f>
        <v/>
      </c>
      <c r="F390" s="11" t="str">
        <f>IF($B390&lt;&gt;"",TEXT(1-manut_MP($B390,F$1,F$2)/VLOOKUP(VALUE(MID($A390,5,3)),BASE_Pot!$A$2:$B$321,2,FALSE),"0.000"),"")</f>
        <v/>
      </c>
      <c r="G390" s="11" t="str">
        <f>IF($B390&lt;&gt;"",TEXT(1-manut_MP($B390,G$1,G$2)/VLOOKUP(VALUE(MID($A390,5,3)),BASE_Pot!$A$2:$B$321,2,FALSE),"0.000"),"")</f>
        <v/>
      </c>
      <c r="H390" s="11" t="str">
        <f>IF($B390&lt;&gt;"",TEXT(1-manut_MP($B390,H$1,H$2)/VLOOKUP(VALUE(MID($A390,5,3)),BASE_Pot!$A$2:$B$321,2,FALSE),"0.000"),"")</f>
        <v/>
      </c>
      <c r="I390" s="11" t="str">
        <f>IF($B390&lt;&gt;"",TEXT(1-manut_MP($B390,I$1,I$2)/VLOOKUP(VALUE(MID($A390,5,3)),BASE_Pot!$A$2:$B$321,2,FALSE),"0.000"),"")</f>
        <v/>
      </c>
      <c r="J390" t="str">
        <f>""</f>
        <v/>
      </c>
      <c r="L390" t="str">
        <f t="shared" si="14"/>
        <v>&amp;RETIRO BAIXO</v>
      </c>
    </row>
    <row r="391" spans="1:12" x14ac:dyDescent="0.25">
      <c r="A391" t="s">
        <v>626</v>
      </c>
      <c r="B391" t="str">
        <f t="shared" si="15"/>
        <v>155-H</v>
      </c>
      <c r="C391" s="11" t="str">
        <f>IF($B391&lt;&gt;"",TEXT(1-manut_MP($B391,C$1,C$2)/VLOOKUP(VALUE(MID($A391,5,3)),BASE_Pot!$A$2:$B$321,2,FALSE),"0.000"),"")</f>
        <v>1.000</v>
      </c>
      <c r="D391" s="11" t="str">
        <f>IF($B391&lt;&gt;"",TEXT(1-manut_MP($B391,D$1,D$2)/VLOOKUP(VALUE(MID($A391,5,3)),BASE_Pot!$A$2:$B$321,2,FALSE),"0.000"),"")</f>
        <v>1.000</v>
      </c>
      <c r="E391" s="11" t="str">
        <f>IF($B391&lt;&gt;"",TEXT(1-manut_MP($B391,E$1,E$2)/VLOOKUP(VALUE(MID($A391,5,3)),BASE_Pot!$A$2:$B$321,2,FALSE),"0.000"),"")</f>
        <v>1.000</v>
      </c>
      <c r="F391" s="11" t="str">
        <f>IF($B391&lt;&gt;"",TEXT(1-manut_MP($B391,F$1,F$2)/VLOOKUP(VALUE(MID($A391,5,3)),BASE_Pot!$A$2:$B$321,2,FALSE),"0.000"),"")</f>
        <v>1.000</v>
      </c>
      <c r="G391" s="11" t="str">
        <f>IF($B391&lt;&gt;"",TEXT(1-manut_MP($B391,G$1,G$2)/VLOOKUP(VALUE(MID($A391,5,3)),BASE_Pot!$A$2:$B$321,2,FALSE),"0.000"),"")</f>
        <v>1.000</v>
      </c>
      <c r="H391" s="11" t="str">
        <f>IF($B391&lt;&gt;"",TEXT(1-manut_MP($B391,H$1,H$2)/VLOOKUP(VALUE(MID($A391,5,3)),BASE_Pot!$A$2:$B$321,2,FALSE),"0.000"),"")</f>
        <v>1.000</v>
      </c>
      <c r="I391" s="11" t="str">
        <f>IF($B391&lt;&gt;"",TEXT(1-manut_MP($B391,I$1,I$2)/VLOOKUP(VALUE(MID($A391,5,3)),BASE_Pot!$A$2:$B$321,2,FALSE),"0.000"),"")</f>
        <v>1.000</v>
      </c>
      <c r="J391" t="str">
        <f>""</f>
        <v/>
      </c>
      <c r="L391" t="str">
        <f t="shared" si="14"/>
        <v>MP  155  1.0001.0001.0001.0001.0001.0001.000</v>
      </c>
    </row>
    <row r="392" spans="1:12" x14ac:dyDescent="0.25">
      <c r="A392" t="s">
        <v>304</v>
      </c>
      <c r="B392" t="str">
        <f t="shared" si="15"/>
        <v/>
      </c>
      <c r="C392" s="11" t="str">
        <f>IF($B392&lt;&gt;"",TEXT(1-manut_MP($B392,C$1,C$2)/VLOOKUP(VALUE(MID($A392,5,3)),BASE_Pot!$A$2:$B$321,2,FALSE),"0.000"),"")</f>
        <v/>
      </c>
      <c r="D392" s="11" t="str">
        <f>IF($B392&lt;&gt;"",TEXT(1-manut_MP($B392,D$1,D$2)/VLOOKUP(VALUE(MID($A392,5,3)),BASE_Pot!$A$2:$B$321,2,FALSE),"0.000"),"")</f>
        <v/>
      </c>
      <c r="E392" s="11" t="str">
        <f>IF($B392&lt;&gt;"",TEXT(1-manut_MP($B392,E$1,E$2)/VLOOKUP(VALUE(MID($A392,5,3)),BASE_Pot!$A$2:$B$321,2,FALSE),"0.000"),"")</f>
        <v/>
      </c>
      <c r="F392" s="11" t="str">
        <f>IF($B392&lt;&gt;"",TEXT(1-manut_MP($B392,F$1,F$2)/VLOOKUP(VALUE(MID($A392,5,3)),BASE_Pot!$A$2:$B$321,2,FALSE),"0.000"),"")</f>
        <v/>
      </c>
      <c r="G392" s="11" t="str">
        <f>IF($B392&lt;&gt;"",TEXT(1-manut_MP($B392,G$1,G$2)/VLOOKUP(VALUE(MID($A392,5,3)),BASE_Pot!$A$2:$B$321,2,FALSE),"0.000"),"")</f>
        <v/>
      </c>
      <c r="H392" s="11" t="str">
        <f>IF($B392&lt;&gt;"",TEXT(1-manut_MP($B392,H$1,H$2)/VLOOKUP(VALUE(MID($A392,5,3)),BASE_Pot!$A$2:$B$321,2,FALSE),"0.000"),"")</f>
        <v/>
      </c>
      <c r="I392" s="11" t="str">
        <f>IF($B392&lt;&gt;"",TEXT(1-manut_MP($B392,I$1,I$2)/VLOOKUP(VALUE(MID($A392,5,3)),BASE_Pot!$A$2:$B$321,2,FALSE),"0.000"),"")</f>
        <v/>
      </c>
      <c r="J392" t="str">
        <f>""</f>
        <v/>
      </c>
      <c r="L392" t="str">
        <f t="shared" si="14"/>
        <v>&amp;.................................</v>
      </c>
    </row>
    <row r="393" spans="1:12" x14ac:dyDescent="0.25">
      <c r="A393" t="s">
        <v>474</v>
      </c>
      <c r="B393" t="str">
        <f t="shared" si="15"/>
        <v/>
      </c>
      <c r="C393" s="11" t="str">
        <f>IF($B393&lt;&gt;"",TEXT(1-manut_MP($B393,C$1,C$2)/VLOOKUP(VALUE(MID($A393,5,3)),BASE_Pot!$A$2:$B$321,2,FALSE),"0.000"),"")</f>
        <v/>
      </c>
      <c r="D393" s="11" t="str">
        <f>IF($B393&lt;&gt;"",TEXT(1-manut_MP($B393,D$1,D$2)/VLOOKUP(VALUE(MID($A393,5,3)),BASE_Pot!$A$2:$B$321,2,FALSE),"0.000"),"")</f>
        <v/>
      </c>
      <c r="E393" s="11" t="str">
        <f>IF($B393&lt;&gt;"",TEXT(1-manut_MP($B393,E$1,E$2)/VLOOKUP(VALUE(MID($A393,5,3)),BASE_Pot!$A$2:$B$321,2,FALSE),"0.000"),"")</f>
        <v/>
      </c>
      <c r="F393" s="11" t="str">
        <f>IF($B393&lt;&gt;"",TEXT(1-manut_MP($B393,F$1,F$2)/VLOOKUP(VALUE(MID($A393,5,3)),BASE_Pot!$A$2:$B$321,2,FALSE),"0.000"),"")</f>
        <v/>
      </c>
      <c r="G393" s="11" t="str">
        <f>IF($B393&lt;&gt;"",TEXT(1-manut_MP($B393,G$1,G$2)/VLOOKUP(VALUE(MID($A393,5,3)),BASE_Pot!$A$2:$B$321,2,FALSE),"0.000"),"")</f>
        <v/>
      </c>
      <c r="H393" s="11" t="str">
        <f>IF($B393&lt;&gt;"",TEXT(1-manut_MP($B393,H$1,H$2)/VLOOKUP(VALUE(MID($A393,5,3)),BASE_Pot!$A$2:$B$321,2,FALSE),"0.000"),"")</f>
        <v/>
      </c>
      <c r="I393" s="11" t="str">
        <f>IF($B393&lt;&gt;"",TEXT(1-manut_MP($B393,I$1,I$2)/VLOOKUP(VALUE(MID($A393,5,3)),BASE_Pot!$A$2:$B$321,2,FALSE),"0.000"),"")</f>
        <v/>
      </c>
      <c r="J393" t="str">
        <f>""</f>
        <v/>
      </c>
      <c r="L393" t="str">
        <f t="shared" si="14"/>
        <v>&amp;         BAIXO IGUAÇU</v>
      </c>
    </row>
    <row r="394" spans="1:12" x14ac:dyDescent="0.25">
      <c r="A394" t="s">
        <v>304</v>
      </c>
      <c r="B394" t="str">
        <f t="shared" si="15"/>
        <v/>
      </c>
      <c r="C394" s="11" t="str">
        <f>IF($B394&lt;&gt;"",TEXT(1-manut_MP($B394,C$1,C$2)/VLOOKUP(VALUE(MID($A394,5,3)),BASE_Pot!$A$2:$B$321,2,FALSE),"0.000"),"")</f>
        <v/>
      </c>
      <c r="D394" s="11" t="str">
        <f>IF($B394&lt;&gt;"",TEXT(1-manut_MP($B394,D$1,D$2)/VLOOKUP(VALUE(MID($A394,5,3)),BASE_Pot!$A$2:$B$321,2,FALSE),"0.000"),"")</f>
        <v/>
      </c>
      <c r="E394" s="11" t="str">
        <f>IF($B394&lt;&gt;"",TEXT(1-manut_MP($B394,E$1,E$2)/VLOOKUP(VALUE(MID($A394,5,3)),BASE_Pot!$A$2:$B$321,2,FALSE),"0.000"),"")</f>
        <v/>
      </c>
      <c r="F394" s="11" t="str">
        <f>IF($B394&lt;&gt;"",TEXT(1-manut_MP($B394,F$1,F$2)/VLOOKUP(VALUE(MID($A394,5,3)),BASE_Pot!$A$2:$B$321,2,FALSE),"0.000"),"")</f>
        <v/>
      </c>
      <c r="G394" s="11" t="str">
        <f>IF($B394&lt;&gt;"",TEXT(1-manut_MP($B394,G$1,G$2)/VLOOKUP(VALUE(MID($A394,5,3)),BASE_Pot!$A$2:$B$321,2,FALSE),"0.000"),"")</f>
        <v/>
      </c>
      <c r="H394" s="11" t="str">
        <f>IF($B394&lt;&gt;"",TEXT(1-manut_MP($B394,H$1,H$2)/VLOOKUP(VALUE(MID($A394,5,3)),BASE_Pot!$A$2:$B$321,2,FALSE),"0.000"),"")</f>
        <v/>
      </c>
      <c r="I394" s="11" t="str">
        <f>IF($B394&lt;&gt;"",TEXT(1-manut_MP($B394,I$1,I$2)/VLOOKUP(VALUE(MID($A394,5,3)),BASE_Pot!$A$2:$B$321,2,FALSE),"0.000"),"")</f>
        <v/>
      </c>
      <c r="J394" t="str">
        <f>""</f>
        <v/>
      </c>
      <c r="L394" t="str">
        <f t="shared" si="14"/>
        <v>&amp;.................................</v>
      </c>
    </row>
    <row r="395" spans="1:12" x14ac:dyDescent="0.25">
      <c r="A395" t="s">
        <v>475</v>
      </c>
      <c r="B395" t="str">
        <f t="shared" si="15"/>
        <v/>
      </c>
      <c r="C395" s="11" t="str">
        <f>IF($B395&lt;&gt;"",TEXT(1-manut_MP($B395,C$1,C$2)/VLOOKUP(VALUE(MID($A395,5,3)),BASE_Pot!$A$2:$B$321,2,FALSE),"0.000"),"")</f>
        <v/>
      </c>
      <c r="D395" s="11" t="str">
        <f>IF($B395&lt;&gt;"",TEXT(1-manut_MP($B395,D$1,D$2)/VLOOKUP(VALUE(MID($A395,5,3)),BASE_Pot!$A$2:$B$321,2,FALSE),"0.000"),"")</f>
        <v/>
      </c>
      <c r="E395" s="11" t="str">
        <f>IF($B395&lt;&gt;"",TEXT(1-manut_MP($B395,E$1,E$2)/VLOOKUP(VALUE(MID($A395,5,3)),BASE_Pot!$A$2:$B$321,2,FALSE),"0.000"),"")</f>
        <v/>
      </c>
      <c r="F395" s="11" t="str">
        <f>IF($B395&lt;&gt;"",TEXT(1-manut_MP($B395,F$1,F$2)/VLOOKUP(VALUE(MID($A395,5,3)),BASE_Pot!$A$2:$B$321,2,FALSE),"0.000"),"")</f>
        <v/>
      </c>
      <c r="G395" s="11" t="str">
        <f>IF($B395&lt;&gt;"",TEXT(1-manut_MP($B395,G$1,G$2)/VLOOKUP(VALUE(MID($A395,5,3)),BASE_Pot!$A$2:$B$321,2,FALSE),"0.000"),"")</f>
        <v/>
      </c>
      <c r="H395" s="11" t="str">
        <f>IF($B395&lt;&gt;"",TEXT(1-manut_MP($B395,H$1,H$2)/VLOOKUP(VALUE(MID($A395,5,3)),BASE_Pot!$A$2:$B$321,2,FALSE),"0.000"),"")</f>
        <v/>
      </c>
      <c r="I395" s="11" t="str">
        <f>IF($B395&lt;&gt;"",TEXT(1-manut_MP($B395,I$1,I$2)/VLOOKUP(VALUE(MID($A395,5,3)),BASE_Pot!$A$2:$B$321,2,FALSE),"0.000"),"")</f>
        <v/>
      </c>
      <c r="J395" t="str">
        <f>""</f>
        <v/>
      </c>
      <c r="L395" t="str">
        <f t="shared" si="14"/>
        <v>&amp;TELES PIRES</v>
      </c>
    </row>
    <row r="396" spans="1:12" x14ac:dyDescent="0.25">
      <c r="A396" t="s">
        <v>627</v>
      </c>
      <c r="B396" t="str">
        <f t="shared" si="15"/>
        <v>229-H</v>
      </c>
      <c r="C396" s="11" t="str">
        <f>IF($B396&lt;&gt;"",TEXT(1-manut_MP($B396,C$1,C$2)/VLOOKUP(VALUE(MID($A396,5,3)),BASE_Pot!$A$2:$B$321,2,FALSE),"0.000"),"")</f>
        <v>1.000</v>
      </c>
      <c r="D396" s="11" t="str">
        <f>IF($B396&lt;&gt;"",TEXT(1-manut_MP($B396,D$1,D$2)/VLOOKUP(VALUE(MID($A396,5,3)),BASE_Pot!$A$2:$B$321,2,FALSE),"0.000"),"")</f>
        <v>1.000</v>
      </c>
      <c r="E396" s="11" t="str">
        <f>IF($B396&lt;&gt;"",TEXT(1-manut_MP($B396,E$1,E$2)/VLOOKUP(VALUE(MID($A396,5,3)),BASE_Pot!$A$2:$B$321,2,FALSE),"0.000"),"")</f>
        <v>1.000</v>
      </c>
      <c r="F396" s="11" t="str">
        <f>IF($B396&lt;&gt;"",TEXT(1-manut_MP($B396,F$1,F$2)/VLOOKUP(VALUE(MID($A396,5,3)),BASE_Pot!$A$2:$B$321,2,FALSE),"0.000"),"")</f>
        <v>1.000</v>
      </c>
      <c r="G396" s="11" t="str">
        <f>IF($B396&lt;&gt;"",TEXT(1-manut_MP($B396,G$1,G$2)/VLOOKUP(VALUE(MID($A396,5,3)),BASE_Pot!$A$2:$B$321,2,FALSE),"0.000"),"")</f>
        <v>1.000</v>
      </c>
      <c r="H396" s="11" t="str">
        <f>IF($B396&lt;&gt;"",TEXT(1-manut_MP($B396,H$1,H$2)/VLOOKUP(VALUE(MID($A396,5,3)),BASE_Pot!$A$2:$B$321,2,FALSE),"0.000"),"")</f>
        <v>1.000</v>
      </c>
      <c r="I396" s="11" t="str">
        <f>IF($B396&lt;&gt;"",TEXT(1-manut_MP($B396,I$1,I$2)/VLOOKUP(VALUE(MID($A396,5,3)),BASE_Pot!$A$2:$B$321,2,FALSE),"0.000"),"")</f>
        <v>1.000</v>
      </c>
      <c r="J396" t="str">
        <f>""</f>
        <v/>
      </c>
      <c r="L396" t="str">
        <f t="shared" si="14"/>
        <v>MP  229  1.0001.0001.0001.0001.0001.0001.000</v>
      </c>
    </row>
    <row r="397" spans="1:12" x14ac:dyDescent="0.25">
      <c r="A397" t="s">
        <v>304</v>
      </c>
      <c r="B397" t="str">
        <f t="shared" si="15"/>
        <v/>
      </c>
      <c r="C397" s="11" t="str">
        <f>IF($B397&lt;&gt;"",TEXT(1-manut_MP($B397,C$1,C$2)/VLOOKUP(VALUE(MID($A397,5,3)),BASE_Pot!$A$2:$B$321,2,FALSE),"0.000"),"")</f>
        <v/>
      </c>
      <c r="D397" s="11" t="str">
        <f>IF($B397&lt;&gt;"",TEXT(1-manut_MP($B397,D$1,D$2)/VLOOKUP(VALUE(MID($A397,5,3)),BASE_Pot!$A$2:$B$321,2,FALSE),"0.000"),"")</f>
        <v/>
      </c>
      <c r="E397" s="11" t="str">
        <f>IF($B397&lt;&gt;"",TEXT(1-manut_MP($B397,E$1,E$2)/VLOOKUP(VALUE(MID($A397,5,3)),BASE_Pot!$A$2:$B$321,2,FALSE),"0.000"),"")</f>
        <v/>
      </c>
      <c r="F397" s="11" t="str">
        <f>IF($B397&lt;&gt;"",TEXT(1-manut_MP($B397,F$1,F$2)/VLOOKUP(VALUE(MID($A397,5,3)),BASE_Pot!$A$2:$B$321,2,FALSE),"0.000"),"")</f>
        <v/>
      </c>
      <c r="G397" s="11" t="str">
        <f>IF($B397&lt;&gt;"",TEXT(1-manut_MP($B397,G$1,G$2)/VLOOKUP(VALUE(MID($A397,5,3)),BASE_Pot!$A$2:$B$321,2,FALSE),"0.000"),"")</f>
        <v/>
      </c>
      <c r="H397" s="11" t="str">
        <f>IF($B397&lt;&gt;"",TEXT(1-manut_MP($B397,H$1,H$2)/VLOOKUP(VALUE(MID($A397,5,3)),BASE_Pot!$A$2:$B$321,2,FALSE),"0.000"),"")</f>
        <v/>
      </c>
      <c r="I397" s="11" t="str">
        <f>IF($B397&lt;&gt;"",TEXT(1-manut_MP($B397,I$1,I$2)/VLOOKUP(VALUE(MID($A397,5,3)),BASE_Pot!$A$2:$B$321,2,FALSE),"0.000"),"")</f>
        <v/>
      </c>
      <c r="J397" t="str">
        <f>""</f>
        <v/>
      </c>
      <c r="L397" t="str">
        <f t="shared" si="14"/>
        <v>&amp;.................................</v>
      </c>
    </row>
    <row r="398" spans="1:12" x14ac:dyDescent="0.25">
      <c r="A398" t="s">
        <v>476</v>
      </c>
      <c r="B398" t="str">
        <f t="shared" si="15"/>
        <v/>
      </c>
      <c r="C398" s="11" t="str">
        <f>IF($B398&lt;&gt;"",TEXT(1-manut_MP($B398,C$1,C$2)/VLOOKUP(VALUE(MID($A398,5,3)),BASE_Pot!$A$2:$B$321,2,FALSE),"0.000"),"")</f>
        <v/>
      </c>
      <c r="D398" s="11" t="str">
        <f>IF($B398&lt;&gt;"",TEXT(1-manut_MP($B398,D$1,D$2)/VLOOKUP(VALUE(MID($A398,5,3)),BASE_Pot!$A$2:$B$321,2,FALSE),"0.000"),"")</f>
        <v/>
      </c>
      <c r="E398" s="11" t="str">
        <f>IF($B398&lt;&gt;"",TEXT(1-manut_MP($B398,E$1,E$2)/VLOOKUP(VALUE(MID($A398,5,3)),BASE_Pot!$A$2:$B$321,2,FALSE),"0.000"),"")</f>
        <v/>
      </c>
      <c r="F398" s="11" t="str">
        <f>IF($B398&lt;&gt;"",TEXT(1-manut_MP($B398,F$1,F$2)/VLOOKUP(VALUE(MID($A398,5,3)),BASE_Pot!$A$2:$B$321,2,FALSE),"0.000"),"")</f>
        <v/>
      </c>
      <c r="G398" s="11" t="str">
        <f>IF($B398&lt;&gt;"",TEXT(1-manut_MP($B398,G$1,G$2)/VLOOKUP(VALUE(MID($A398,5,3)),BASE_Pot!$A$2:$B$321,2,FALSE),"0.000"),"")</f>
        <v/>
      </c>
      <c r="H398" s="11" t="str">
        <f>IF($B398&lt;&gt;"",TEXT(1-manut_MP($B398,H$1,H$2)/VLOOKUP(VALUE(MID($A398,5,3)),BASE_Pot!$A$2:$B$321,2,FALSE),"0.000"),"")</f>
        <v/>
      </c>
      <c r="I398" s="11" t="str">
        <f>IF($B398&lt;&gt;"",TEXT(1-manut_MP($B398,I$1,I$2)/VLOOKUP(VALUE(MID($A398,5,3)),BASE_Pot!$A$2:$B$321,2,FALSE),"0.000"),"")</f>
        <v/>
      </c>
      <c r="J398" t="str">
        <f>""</f>
        <v/>
      </c>
      <c r="L398" t="str">
        <f t="shared" si="14"/>
        <v>&amp;         FOZ R. CLARO</v>
      </c>
    </row>
    <row r="399" spans="1:12" x14ac:dyDescent="0.25">
      <c r="A399" t="s">
        <v>304</v>
      </c>
      <c r="B399" t="str">
        <f t="shared" si="15"/>
        <v/>
      </c>
      <c r="C399" s="11" t="str">
        <f>IF($B399&lt;&gt;"",TEXT(1-manut_MP($B399,C$1,C$2)/VLOOKUP(VALUE(MID($A399,5,3)),BASE_Pot!$A$2:$B$321,2,FALSE),"0.000"),"")</f>
        <v/>
      </c>
      <c r="D399" s="11" t="str">
        <f>IF($B399&lt;&gt;"",TEXT(1-manut_MP($B399,D$1,D$2)/VLOOKUP(VALUE(MID($A399,5,3)),BASE_Pot!$A$2:$B$321,2,FALSE),"0.000"),"")</f>
        <v/>
      </c>
      <c r="E399" s="11" t="str">
        <f>IF($B399&lt;&gt;"",TEXT(1-manut_MP($B399,E$1,E$2)/VLOOKUP(VALUE(MID($A399,5,3)),BASE_Pot!$A$2:$B$321,2,FALSE),"0.000"),"")</f>
        <v/>
      </c>
      <c r="F399" s="11" t="str">
        <f>IF($B399&lt;&gt;"",TEXT(1-manut_MP($B399,F$1,F$2)/VLOOKUP(VALUE(MID($A399,5,3)),BASE_Pot!$A$2:$B$321,2,FALSE),"0.000"),"")</f>
        <v/>
      </c>
      <c r="G399" s="11" t="str">
        <f>IF($B399&lt;&gt;"",TEXT(1-manut_MP($B399,G$1,G$2)/VLOOKUP(VALUE(MID($A399,5,3)),BASE_Pot!$A$2:$B$321,2,FALSE),"0.000"),"")</f>
        <v/>
      </c>
      <c r="H399" s="11" t="str">
        <f>IF($B399&lt;&gt;"",TEXT(1-manut_MP($B399,H$1,H$2)/VLOOKUP(VALUE(MID($A399,5,3)),BASE_Pot!$A$2:$B$321,2,FALSE),"0.000"),"")</f>
        <v/>
      </c>
      <c r="I399" s="11" t="str">
        <f>IF($B399&lt;&gt;"",TEXT(1-manut_MP($B399,I$1,I$2)/VLOOKUP(VALUE(MID($A399,5,3)),BASE_Pot!$A$2:$B$321,2,FALSE),"0.000"),"")</f>
        <v/>
      </c>
      <c r="J399" t="str">
        <f>""</f>
        <v/>
      </c>
      <c r="L399" t="str">
        <f t="shared" si="14"/>
        <v>&amp;.................................</v>
      </c>
    </row>
    <row r="400" spans="1:12" x14ac:dyDescent="0.25">
      <c r="A400" t="s">
        <v>477</v>
      </c>
      <c r="B400" t="str">
        <f t="shared" si="15"/>
        <v/>
      </c>
      <c r="C400" s="11" t="str">
        <f>IF($B400&lt;&gt;"",TEXT(1-manut_MP($B400,C$1,C$2)/VLOOKUP(VALUE(MID($A400,5,3)),BASE_Pot!$A$2:$B$321,2,FALSE),"0.000"),"")</f>
        <v/>
      </c>
      <c r="D400" s="11" t="str">
        <f>IF($B400&lt;&gt;"",TEXT(1-manut_MP($B400,D$1,D$2)/VLOOKUP(VALUE(MID($A400,5,3)),BASE_Pot!$A$2:$B$321,2,FALSE),"0.000"),"")</f>
        <v/>
      </c>
      <c r="E400" s="11" t="str">
        <f>IF($B400&lt;&gt;"",TEXT(1-manut_MP($B400,E$1,E$2)/VLOOKUP(VALUE(MID($A400,5,3)),BASE_Pot!$A$2:$B$321,2,FALSE),"0.000"),"")</f>
        <v/>
      </c>
      <c r="F400" s="11" t="str">
        <f>IF($B400&lt;&gt;"",TEXT(1-manut_MP($B400,F$1,F$2)/VLOOKUP(VALUE(MID($A400,5,3)),BASE_Pot!$A$2:$B$321,2,FALSE),"0.000"),"")</f>
        <v/>
      </c>
      <c r="G400" s="11" t="str">
        <f>IF($B400&lt;&gt;"",TEXT(1-manut_MP($B400,G$1,G$2)/VLOOKUP(VALUE(MID($A400,5,3)),BASE_Pot!$A$2:$B$321,2,FALSE),"0.000"),"")</f>
        <v/>
      </c>
      <c r="H400" s="11" t="str">
        <f>IF($B400&lt;&gt;"",TEXT(1-manut_MP($B400,H$1,H$2)/VLOOKUP(VALUE(MID($A400,5,3)),BASE_Pot!$A$2:$B$321,2,FALSE),"0.000"),"")</f>
        <v/>
      </c>
      <c r="I400" s="11" t="str">
        <f>IF($B400&lt;&gt;"",TEXT(1-manut_MP($B400,I$1,I$2)/VLOOKUP(VALUE(MID($A400,5,3)),BASE_Pot!$A$2:$B$321,2,FALSE),"0.000"),"")</f>
        <v/>
      </c>
      <c r="J400" t="str">
        <f>""</f>
        <v/>
      </c>
      <c r="L400" t="str">
        <f t="shared" si="14"/>
        <v>&amp;FOZ R. CLARO</v>
      </c>
    </row>
    <row r="401" spans="1:12" x14ac:dyDescent="0.25">
      <c r="A401" t="s">
        <v>628</v>
      </c>
      <c r="B401" t="str">
        <f t="shared" si="15"/>
        <v>315-H</v>
      </c>
      <c r="C401" s="11" t="str">
        <f>IF($B401&lt;&gt;"",TEXT(1-manut_MP($B401,C$1,C$2)/VLOOKUP(VALUE(MID($A401,5,3)),BASE_Pot!$A$2:$B$321,2,FALSE),"0.000"),"")</f>
        <v>1.000</v>
      </c>
      <c r="D401" s="11" t="str">
        <f>IF($B401&lt;&gt;"",TEXT(1-manut_MP($B401,D$1,D$2)/VLOOKUP(VALUE(MID($A401,5,3)),BASE_Pot!$A$2:$B$321,2,FALSE),"0.000"),"")</f>
        <v>1.000</v>
      </c>
      <c r="E401" s="11" t="str">
        <f>IF($B401&lt;&gt;"",TEXT(1-manut_MP($B401,E$1,E$2)/VLOOKUP(VALUE(MID($A401,5,3)),BASE_Pot!$A$2:$B$321,2,FALSE),"0.000"),"")</f>
        <v>1.000</v>
      </c>
      <c r="F401" s="11" t="str">
        <f>IF($B401&lt;&gt;"",TEXT(1-manut_MP($B401,F$1,F$2)/VLOOKUP(VALUE(MID($A401,5,3)),BASE_Pot!$A$2:$B$321,2,FALSE),"0.000"),"")</f>
        <v>1.000</v>
      </c>
      <c r="G401" s="11" t="str">
        <f>IF($B401&lt;&gt;"",TEXT(1-manut_MP($B401,G$1,G$2)/VLOOKUP(VALUE(MID($A401,5,3)),BASE_Pot!$A$2:$B$321,2,FALSE),"0.000"),"")</f>
        <v>1.000</v>
      </c>
      <c r="H401" s="11" t="str">
        <f>IF($B401&lt;&gt;"",TEXT(1-manut_MP($B401,H$1,H$2)/VLOOKUP(VALUE(MID($A401,5,3)),BASE_Pot!$A$2:$B$321,2,FALSE),"0.000"),"")</f>
        <v>1.000</v>
      </c>
      <c r="I401" s="11" t="str">
        <f>IF($B401&lt;&gt;"",TEXT(1-manut_MP($B401,I$1,I$2)/VLOOKUP(VALUE(MID($A401,5,3)),BASE_Pot!$A$2:$B$321,2,FALSE),"0.000"),"")</f>
        <v>1.000</v>
      </c>
      <c r="J401" t="str">
        <f>""</f>
        <v/>
      </c>
      <c r="L401" t="str">
        <f t="shared" si="14"/>
        <v>MP  315  1.0001.0001.0001.0001.0001.0001.000</v>
      </c>
    </row>
    <row r="402" spans="1:12" x14ac:dyDescent="0.25">
      <c r="A402" t="s">
        <v>304</v>
      </c>
      <c r="B402" t="str">
        <f t="shared" si="15"/>
        <v/>
      </c>
      <c r="C402" s="11" t="str">
        <f>IF($B402&lt;&gt;"",TEXT(1-manut_MP($B402,C$1,C$2)/VLOOKUP(VALUE(MID($A402,5,3)),BASE_Pot!$A$2:$B$321,2,FALSE),"0.000"),"")</f>
        <v/>
      </c>
      <c r="D402" s="11" t="str">
        <f>IF($B402&lt;&gt;"",TEXT(1-manut_MP($B402,D$1,D$2)/VLOOKUP(VALUE(MID($A402,5,3)),BASE_Pot!$A$2:$B$321,2,FALSE),"0.000"),"")</f>
        <v/>
      </c>
      <c r="E402" s="11" t="str">
        <f>IF($B402&lt;&gt;"",TEXT(1-manut_MP($B402,E$1,E$2)/VLOOKUP(VALUE(MID($A402,5,3)),BASE_Pot!$A$2:$B$321,2,FALSE),"0.000"),"")</f>
        <v/>
      </c>
      <c r="F402" s="11" t="str">
        <f>IF($B402&lt;&gt;"",TEXT(1-manut_MP($B402,F$1,F$2)/VLOOKUP(VALUE(MID($A402,5,3)),BASE_Pot!$A$2:$B$321,2,FALSE),"0.000"),"")</f>
        <v/>
      </c>
      <c r="G402" s="11" t="str">
        <f>IF($B402&lt;&gt;"",TEXT(1-manut_MP($B402,G$1,G$2)/VLOOKUP(VALUE(MID($A402,5,3)),BASE_Pot!$A$2:$B$321,2,FALSE),"0.000"),"")</f>
        <v/>
      </c>
      <c r="H402" s="11" t="str">
        <f>IF($B402&lt;&gt;"",TEXT(1-manut_MP($B402,H$1,H$2)/VLOOKUP(VALUE(MID($A402,5,3)),BASE_Pot!$A$2:$B$321,2,FALSE),"0.000"),"")</f>
        <v/>
      </c>
      <c r="I402" s="11" t="str">
        <f>IF($B402&lt;&gt;"",TEXT(1-manut_MP($B402,I$1,I$2)/VLOOKUP(VALUE(MID($A402,5,3)),BASE_Pot!$A$2:$B$321,2,FALSE),"0.000"),"")</f>
        <v/>
      </c>
      <c r="J402" t="str">
        <f>""</f>
        <v/>
      </c>
      <c r="L402" t="str">
        <f t="shared" si="14"/>
        <v>&amp;.................................</v>
      </c>
    </row>
    <row r="403" spans="1:12" x14ac:dyDescent="0.25">
      <c r="A403" t="s">
        <v>478</v>
      </c>
      <c r="B403" t="str">
        <f t="shared" si="15"/>
        <v/>
      </c>
      <c r="C403" s="11" t="str">
        <f>IF($B403&lt;&gt;"",TEXT(1-manut_MP($B403,C$1,C$2)/VLOOKUP(VALUE(MID($A403,5,3)),BASE_Pot!$A$2:$B$321,2,FALSE),"0.000"),"")</f>
        <v/>
      </c>
      <c r="D403" s="11" t="str">
        <f>IF($B403&lt;&gt;"",TEXT(1-manut_MP($B403,D$1,D$2)/VLOOKUP(VALUE(MID($A403,5,3)),BASE_Pot!$A$2:$B$321,2,FALSE),"0.000"),"")</f>
        <v/>
      </c>
      <c r="E403" s="11" t="str">
        <f>IF($B403&lt;&gt;"",TEXT(1-manut_MP($B403,E$1,E$2)/VLOOKUP(VALUE(MID($A403,5,3)),BASE_Pot!$A$2:$B$321,2,FALSE),"0.000"),"")</f>
        <v/>
      </c>
      <c r="F403" s="11" t="str">
        <f>IF($B403&lt;&gt;"",TEXT(1-manut_MP($B403,F$1,F$2)/VLOOKUP(VALUE(MID($A403,5,3)),BASE_Pot!$A$2:$B$321,2,FALSE),"0.000"),"")</f>
        <v/>
      </c>
      <c r="G403" s="11" t="str">
        <f>IF($B403&lt;&gt;"",TEXT(1-manut_MP($B403,G$1,G$2)/VLOOKUP(VALUE(MID($A403,5,3)),BASE_Pot!$A$2:$B$321,2,FALSE),"0.000"),"")</f>
        <v/>
      </c>
      <c r="H403" s="11" t="str">
        <f>IF($B403&lt;&gt;"",TEXT(1-manut_MP($B403,H$1,H$2)/VLOOKUP(VALUE(MID($A403,5,3)),BASE_Pot!$A$2:$B$321,2,FALSE),"0.000"),"")</f>
        <v/>
      </c>
      <c r="I403" s="11" t="str">
        <f>IF($B403&lt;&gt;"",TEXT(1-manut_MP($B403,I$1,I$2)/VLOOKUP(VALUE(MID($A403,5,3)),BASE_Pot!$A$2:$B$321,2,FALSE),"0.000"),"")</f>
        <v/>
      </c>
      <c r="J403" t="str">
        <f>""</f>
        <v/>
      </c>
      <c r="L403" t="str">
        <f t="shared" ref="L403:L449" si="16">IF(LEFT(A403,1)="&amp;",A403,A403&amp;"  "&amp;LEFT(INDEX($C403:$J403,1,MIN($M$1,8))&amp;INDEX($C403:$J403,1,MIN($M$1+1,8))&amp;INDEX($C403:$J403,1,MIN($M$1+2,8))&amp;INDEX($C403:$J403,1,MIN($M$1+3,8))&amp;INDEX($C403:$J403,1,MIN($M$1+4,8))&amp;INDEX($C403:$J403,1,MIN($M$1+5,8))&amp;INDEX($C403:$J403,1,MIN($M$1+6,8))&amp;INDEX($C403:$J403,1,MIN($M$1+7,8)),5*($P$1-1))&amp;"1.000")</f>
        <v>&amp;         NGUIA G CE</v>
      </c>
    </row>
    <row r="404" spans="1:12" x14ac:dyDescent="0.25">
      <c r="A404" t="s">
        <v>304</v>
      </c>
      <c r="B404" t="str">
        <f t="shared" si="15"/>
        <v/>
      </c>
      <c r="C404" s="11" t="str">
        <f>IF($B404&lt;&gt;"",TEXT(1-manut_MP($B404,C$1,C$2)/VLOOKUP(VALUE(MID($A404,5,3)),BASE_Pot!$A$2:$B$321,2,FALSE),"0.000"),"")</f>
        <v/>
      </c>
      <c r="D404" s="11" t="str">
        <f>IF($B404&lt;&gt;"",TEXT(1-manut_MP($B404,D$1,D$2)/VLOOKUP(VALUE(MID($A404,5,3)),BASE_Pot!$A$2:$B$321,2,FALSE),"0.000"),"")</f>
        <v/>
      </c>
      <c r="E404" s="11" t="str">
        <f>IF($B404&lt;&gt;"",TEXT(1-manut_MP($B404,E$1,E$2)/VLOOKUP(VALUE(MID($A404,5,3)),BASE_Pot!$A$2:$B$321,2,FALSE),"0.000"),"")</f>
        <v/>
      </c>
      <c r="F404" s="11" t="str">
        <f>IF($B404&lt;&gt;"",TEXT(1-manut_MP($B404,F$1,F$2)/VLOOKUP(VALUE(MID($A404,5,3)),BASE_Pot!$A$2:$B$321,2,FALSE),"0.000"),"")</f>
        <v/>
      </c>
      <c r="G404" s="11" t="str">
        <f>IF($B404&lt;&gt;"",TEXT(1-manut_MP($B404,G$1,G$2)/VLOOKUP(VALUE(MID($A404,5,3)),BASE_Pot!$A$2:$B$321,2,FALSE),"0.000"),"")</f>
        <v/>
      </c>
      <c r="H404" s="11" t="str">
        <f>IF($B404&lt;&gt;"",TEXT(1-manut_MP($B404,H$1,H$2)/VLOOKUP(VALUE(MID($A404,5,3)),BASE_Pot!$A$2:$B$321,2,FALSE),"0.000"),"")</f>
        <v/>
      </c>
      <c r="I404" s="11" t="str">
        <f>IF($B404&lt;&gt;"",TEXT(1-manut_MP($B404,I$1,I$2)/VLOOKUP(VALUE(MID($A404,5,3)),BASE_Pot!$A$2:$B$321,2,FALSE),"0.000"),"")</f>
        <v/>
      </c>
      <c r="J404" t="str">
        <f>""</f>
        <v/>
      </c>
      <c r="L404" t="str">
        <f t="shared" si="16"/>
        <v>&amp;.................................</v>
      </c>
    </row>
    <row r="405" spans="1:12" x14ac:dyDescent="0.25">
      <c r="A405" t="s">
        <v>479</v>
      </c>
      <c r="B405" t="str">
        <f t="shared" si="15"/>
        <v/>
      </c>
      <c r="C405" s="11" t="str">
        <f>IF($B405&lt;&gt;"",TEXT(1-manut_MP($B405,C$1,C$2)/VLOOKUP(VALUE(MID($A405,5,3)),BASE_Pot!$A$2:$B$321,2,FALSE),"0.000"),"")</f>
        <v/>
      </c>
      <c r="D405" s="11" t="str">
        <f>IF($B405&lt;&gt;"",TEXT(1-manut_MP($B405,D$1,D$2)/VLOOKUP(VALUE(MID($A405,5,3)),BASE_Pot!$A$2:$B$321,2,FALSE),"0.000"),"")</f>
        <v/>
      </c>
      <c r="E405" s="11" t="str">
        <f>IF($B405&lt;&gt;"",TEXT(1-manut_MP($B405,E$1,E$2)/VLOOKUP(VALUE(MID($A405,5,3)),BASE_Pot!$A$2:$B$321,2,FALSE),"0.000"),"")</f>
        <v/>
      </c>
      <c r="F405" s="11" t="str">
        <f>IF($B405&lt;&gt;"",TEXT(1-manut_MP($B405,F$1,F$2)/VLOOKUP(VALUE(MID($A405,5,3)),BASE_Pot!$A$2:$B$321,2,FALSE),"0.000"),"")</f>
        <v/>
      </c>
      <c r="G405" s="11" t="str">
        <f>IF($B405&lt;&gt;"",TEXT(1-manut_MP($B405,G$1,G$2)/VLOOKUP(VALUE(MID($A405,5,3)),BASE_Pot!$A$2:$B$321,2,FALSE),"0.000"),"")</f>
        <v/>
      </c>
      <c r="H405" s="11" t="str">
        <f>IF($B405&lt;&gt;"",TEXT(1-manut_MP($B405,H$1,H$2)/VLOOKUP(VALUE(MID($A405,5,3)),BASE_Pot!$A$2:$B$321,2,FALSE),"0.000"),"")</f>
        <v/>
      </c>
      <c r="I405" s="11" t="str">
        <f>IF($B405&lt;&gt;"",TEXT(1-manut_MP($B405,I$1,I$2)/VLOOKUP(VALUE(MID($A405,5,3)),BASE_Pot!$A$2:$B$321,2,FALSE),"0.000"),"")</f>
        <v/>
      </c>
      <c r="J405" t="str">
        <f>""</f>
        <v/>
      </c>
      <c r="L405" t="str">
        <f t="shared" si="16"/>
        <v>&amp;STO ANTONIO</v>
      </c>
    </row>
    <row r="406" spans="1:12" x14ac:dyDescent="0.25">
      <c r="A406" t="s">
        <v>629</v>
      </c>
      <c r="B406" t="str">
        <f t="shared" si="15"/>
        <v>287-H</v>
      </c>
      <c r="C406" s="11" t="str">
        <f>IF($B406&lt;&gt;"",TEXT(1-manut_MP($B406,C$1,C$2)/VLOOKUP(VALUE(MID($A406,5,3)),BASE_Pot!$A$2:$B$321,2,FALSE),"0.000"),"")</f>
        <v>0.974</v>
      </c>
      <c r="D406" s="11" t="str">
        <f>IF($B406&lt;&gt;"",TEXT(1-manut_MP($B406,D$1,D$2)/VLOOKUP(VALUE(MID($A406,5,3)),BASE_Pot!$A$2:$B$321,2,FALSE),"0.000"),"")</f>
        <v>0.979</v>
      </c>
      <c r="E406" s="11" t="str">
        <f>IF($B406&lt;&gt;"",TEXT(1-manut_MP($B406,E$1,E$2)/VLOOKUP(VALUE(MID($A406,5,3)),BASE_Pot!$A$2:$B$321,2,FALSE),"0.000"),"")</f>
        <v>0.991</v>
      </c>
      <c r="F406" s="11" t="str">
        <f>IF($B406&lt;&gt;"",TEXT(1-manut_MP($B406,F$1,F$2)/VLOOKUP(VALUE(MID($A406,5,3)),BASE_Pot!$A$2:$B$321,2,FALSE),"0.000"),"")</f>
        <v>1.000</v>
      </c>
      <c r="G406" s="11" t="str">
        <f>IF($B406&lt;&gt;"",TEXT(1-manut_MP($B406,G$1,G$2)/VLOOKUP(VALUE(MID($A406,5,3)),BASE_Pot!$A$2:$B$321,2,FALSE),"0.000"),"")</f>
        <v>1.000</v>
      </c>
      <c r="H406" s="11" t="str">
        <f>IF($B406&lt;&gt;"",TEXT(1-manut_MP($B406,H$1,H$2)/VLOOKUP(VALUE(MID($A406,5,3)),BASE_Pot!$A$2:$B$321,2,FALSE),"0.000"),"")</f>
        <v>1.000</v>
      </c>
      <c r="I406" s="11" t="str">
        <f>IF($B406&lt;&gt;"",TEXT(1-manut_MP($B406,I$1,I$2)/VLOOKUP(VALUE(MID($A406,5,3)),BASE_Pot!$A$2:$B$321,2,FALSE),"0.000"),"")</f>
        <v>1.000</v>
      </c>
      <c r="J406" t="str">
        <f>""</f>
        <v/>
      </c>
      <c r="L406" t="str">
        <f t="shared" si="16"/>
        <v>MP  287  0.9740.9790.9911.0001.0001.0001.000</v>
      </c>
    </row>
    <row r="407" spans="1:12" x14ac:dyDescent="0.25">
      <c r="A407" t="s">
        <v>304</v>
      </c>
      <c r="B407" t="str">
        <f t="shared" si="15"/>
        <v/>
      </c>
      <c r="C407" s="11" t="str">
        <f>IF($B407&lt;&gt;"",TEXT(1-manut_MP($B407,C$1,C$2)/VLOOKUP(VALUE(MID($A407,5,3)),BASE_Pot!$A$2:$B$321,2,FALSE),"0.000"),"")</f>
        <v/>
      </c>
      <c r="D407" s="11" t="str">
        <f>IF($B407&lt;&gt;"",TEXT(1-manut_MP($B407,D$1,D$2)/VLOOKUP(VALUE(MID($A407,5,3)),BASE_Pot!$A$2:$B$321,2,FALSE),"0.000"),"")</f>
        <v/>
      </c>
      <c r="E407" s="11" t="str">
        <f>IF($B407&lt;&gt;"",TEXT(1-manut_MP($B407,E$1,E$2)/VLOOKUP(VALUE(MID($A407,5,3)),BASE_Pot!$A$2:$B$321,2,FALSE),"0.000"),"")</f>
        <v/>
      </c>
      <c r="F407" s="11" t="str">
        <f>IF($B407&lt;&gt;"",TEXT(1-manut_MP($B407,F$1,F$2)/VLOOKUP(VALUE(MID($A407,5,3)),BASE_Pot!$A$2:$B$321,2,FALSE),"0.000"),"")</f>
        <v/>
      </c>
      <c r="G407" s="11" t="str">
        <f>IF($B407&lt;&gt;"",TEXT(1-manut_MP($B407,G$1,G$2)/VLOOKUP(VALUE(MID($A407,5,3)),BASE_Pot!$A$2:$B$321,2,FALSE),"0.000"),"")</f>
        <v/>
      </c>
      <c r="H407" s="11" t="str">
        <f>IF($B407&lt;&gt;"",TEXT(1-manut_MP($B407,H$1,H$2)/VLOOKUP(VALUE(MID($A407,5,3)),BASE_Pot!$A$2:$B$321,2,FALSE),"0.000"),"")</f>
        <v/>
      </c>
      <c r="I407" s="11" t="str">
        <f>IF($B407&lt;&gt;"",TEXT(1-manut_MP($B407,I$1,I$2)/VLOOKUP(VALUE(MID($A407,5,3)),BASE_Pot!$A$2:$B$321,2,FALSE),"0.000"),"")</f>
        <v/>
      </c>
      <c r="J407" t="str">
        <f>""</f>
        <v/>
      </c>
      <c r="L407" t="str">
        <f t="shared" si="16"/>
        <v>&amp;.................................</v>
      </c>
    </row>
    <row r="408" spans="1:12" x14ac:dyDescent="0.25">
      <c r="A408" t="s">
        <v>480</v>
      </c>
      <c r="B408" t="str">
        <f t="shared" si="15"/>
        <v/>
      </c>
      <c r="C408" s="11" t="str">
        <f>IF($B408&lt;&gt;"",TEXT(1-manut_MP($B408,C$1,C$2)/VLOOKUP(VALUE(MID($A408,5,3)),BASE_Pot!$A$2:$B$321,2,FALSE),"0.000"),"")</f>
        <v/>
      </c>
      <c r="D408" s="11" t="str">
        <f>IF($B408&lt;&gt;"",TEXT(1-manut_MP($B408,D$1,D$2)/VLOOKUP(VALUE(MID($A408,5,3)),BASE_Pot!$A$2:$B$321,2,FALSE),"0.000"),"")</f>
        <v/>
      </c>
      <c r="E408" s="11" t="str">
        <f>IF($B408&lt;&gt;"",TEXT(1-manut_MP($B408,E$1,E$2)/VLOOKUP(VALUE(MID($A408,5,3)),BASE_Pot!$A$2:$B$321,2,FALSE),"0.000"),"")</f>
        <v/>
      </c>
      <c r="F408" s="11" t="str">
        <f>IF($B408&lt;&gt;"",TEXT(1-manut_MP($B408,F$1,F$2)/VLOOKUP(VALUE(MID($A408,5,3)),BASE_Pot!$A$2:$B$321,2,FALSE),"0.000"),"")</f>
        <v/>
      </c>
      <c r="G408" s="11" t="str">
        <f>IF($B408&lt;&gt;"",TEXT(1-manut_MP($B408,G$1,G$2)/VLOOKUP(VALUE(MID($A408,5,3)),BASE_Pot!$A$2:$B$321,2,FALSE),"0.000"),"")</f>
        <v/>
      </c>
      <c r="H408" s="11" t="str">
        <f>IF($B408&lt;&gt;"",TEXT(1-manut_MP($B408,H$1,H$2)/VLOOKUP(VALUE(MID($A408,5,3)),BASE_Pot!$A$2:$B$321,2,FALSE),"0.000"),"")</f>
        <v/>
      </c>
      <c r="I408" s="11" t="str">
        <f>IF($B408&lt;&gt;"",TEXT(1-manut_MP($B408,I$1,I$2)/VLOOKUP(VALUE(MID($A408,5,3)),BASE_Pot!$A$2:$B$321,2,FALSE),"0.000"),"")</f>
        <v/>
      </c>
      <c r="J408" t="str">
        <f>""</f>
        <v/>
      </c>
      <c r="L408" t="str">
        <f t="shared" si="16"/>
        <v>&amp;         TMN</v>
      </c>
    </row>
    <row r="409" spans="1:12" x14ac:dyDescent="0.25">
      <c r="A409" t="s">
        <v>304</v>
      </c>
      <c r="B409" t="str">
        <f t="shared" si="15"/>
        <v/>
      </c>
      <c r="C409" s="11" t="str">
        <f>IF($B409&lt;&gt;"",TEXT(1-manut_MP($B409,C$1,C$2)/VLOOKUP(VALUE(MID($A409,5,3)),BASE_Pot!$A$2:$B$321,2,FALSE),"0.000"),"")</f>
        <v/>
      </c>
      <c r="D409" s="11" t="str">
        <f>IF($B409&lt;&gt;"",TEXT(1-manut_MP($B409,D$1,D$2)/VLOOKUP(VALUE(MID($A409,5,3)),BASE_Pot!$A$2:$B$321,2,FALSE),"0.000"),"")</f>
        <v/>
      </c>
      <c r="E409" s="11" t="str">
        <f>IF($B409&lt;&gt;"",TEXT(1-manut_MP($B409,E$1,E$2)/VLOOKUP(VALUE(MID($A409,5,3)),BASE_Pot!$A$2:$B$321,2,FALSE),"0.000"),"")</f>
        <v/>
      </c>
      <c r="F409" s="11" t="str">
        <f>IF($B409&lt;&gt;"",TEXT(1-manut_MP($B409,F$1,F$2)/VLOOKUP(VALUE(MID($A409,5,3)),BASE_Pot!$A$2:$B$321,2,FALSE),"0.000"),"")</f>
        <v/>
      </c>
      <c r="G409" s="11" t="str">
        <f>IF($B409&lt;&gt;"",TEXT(1-manut_MP($B409,G$1,G$2)/VLOOKUP(VALUE(MID($A409,5,3)),BASE_Pot!$A$2:$B$321,2,FALSE),"0.000"),"")</f>
        <v/>
      </c>
      <c r="H409" s="11" t="str">
        <f>IF($B409&lt;&gt;"",TEXT(1-manut_MP($B409,H$1,H$2)/VLOOKUP(VALUE(MID($A409,5,3)),BASE_Pot!$A$2:$B$321,2,FALSE),"0.000"),"")</f>
        <v/>
      </c>
      <c r="I409" s="11" t="str">
        <f>IF($B409&lt;&gt;"",TEXT(1-manut_MP($B409,I$1,I$2)/VLOOKUP(VALUE(MID($A409,5,3)),BASE_Pot!$A$2:$B$321,2,FALSE),"0.000"),"")</f>
        <v/>
      </c>
      <c r="J409" t="str">
        <f>""</f>
        <v/>
      </c>
      <c r="L409" t="str">
        <f t="shared" si="16"/>
        <v>&amp;.................................</v>
      </c>
    </row>
    <row r="410" spans="1:12" x14ac:dyDescent="0.25">
      <c r="A410" t="s">
        <v>481</v>
      </c>
      <c r="B410" t="str">
        <f t="shared" si="15"/>
        <v/>
      </c>
      <c r="C410" s="11" t="str">
        <f>IF($B410&lt;&gt;"",TEXT(1-manut_MP($B410,C$1,C$2)/VLOOKUP(VALUE(MID($A410,5,3)),BASE_Pot!$A$2:$B$321,2,FALSE),"0.000"),"")</f>
        <v/>
      </c>
      <c r="D410" s="11" t="str">
        <f>IF($B410&lt;&gt;"",TEXT(1-manut_MP($B410,D$1,D$2)/VLOOKUP(VALUE(MID($A410,5,3)),BASE_Pot!$A$2:$B$321,2,FALSE),"0.000"),"")</f>
        <v/>
      </c>
      <c r="E410" s="11" t="str">
        <f>IF($B410&lt;&gt;"",TEXT(1-manut_MP($B410,E$1,E$2)/VLOOKUP(VALUE(MID($A410,5,3)),BASE_Pot!$A$2:$B$321,2,FALSE),"0.000"),"")</f>
        <v/>
      </c>
      <c r="F410" s="11" t="str">
        <f>IF($B410&lt;&gt;"",TEXT(1-manut_MP($B410,F$1,F$2)/VLOOKUP(VALUE(MID($A410,5,3)),BASE_Pot!$A$2:$B$321,2,FALSE),"0.000"),"")</f>
        <v/>
      </c>
      <c r="G410" s="11" t="str">
        <f>IF($B410&lt;&gt;"",TEXT(1-manut_MP($B410,G$1,G$2)/VLOOKUP(VALUE(MID($A410,5,3)),BASE_Pot!$A$2:$B$321,2,FALSE),"0.000"),"")</f>
        <v/>
      </c>
      <c r="H410" s="11" t="str">
        <f>IF($B410&lt;&gt;"",TEXT(1-manut_MP($B410,H$1,H$2)/VLOOKUP(VALUE(MID($A410,5,3)),BASE_Pot!$A$2:$B$321,2,FALSE),"0.000"),"")</f>
        <v/>
      </c>
      <c r="I410" s="11" t="str">
        <f>IF($B410&lt;&gt;"",TEXT(1-manut_MP($B410,I$1,I$2)/VLOOKUP(VALUE(MID($A410,5,3)),BASE_Pot!$A$2:$B$321,2,FALSE),"0.000"),"")</f>
        <v/>
      </c>
      <c r="J410" t="str">
        <f>""</f>
        <v/>
      </c>
      <c r="L410" t="str">
        <f t="shared" si="16"/>
        <v>&amp;SAO JOSE</v>
      </c>
    </row>
    <row r="411" spans="1:12" x14ac:dyDescent="0.25">
      <c r="A411" t="s">
        <v>630</v>
      </c>
      <c r="B411" t="str">
        <f t="shared" si="15"/>
        <v>101-H</v>
      </c>
      <c r="C411" s="11" t="str">
        <f>IF($B411&lt;&gt;"",TEXT(1-manut_MP($B411,C$1,C$2)/VLOOKUP(VALUE(MID($A411,5,3)),BASE_Pot!$A$2:$B$321,2,FALSE),"0.000"),"")</f>
        <v>1.000</v>
      </c>
      <c r="D411" s="11" t="str">
        <f>IF($B411&lt;&gt;"",TEXT(1-manut_MP($B411,D$1,D$2)/VLOOKUP(VALUE(MID($A411,5,3)),BASE_Pot!$A$2:$B$321,2,FALSE),"0.000"),"")</f>
        <v>1.000</v>
      </c>
      <c r="E411" s="11" t="str">
        <f>IF($B411&lt;&gt;"",TEXT(1-manut_MP($B411,E$1,E$2)/VLOOKUP(VALUE(MID($A411,5,3)),BASE_Pot!$A$2:$B$321,2,FALSE),"0.000"),"")</f>
        <v>1.000</v>
      </c>
      <c r="F411" s="11" t="str">
        <f>IF($B411&lt;&gt;"",TEXT(1-manut_MP($B411,F$1,F$2)/VLOOKUP(VALUE(MID($A411,5,3)),BASE_Pot!$A$2:$B$321,2,FALSE),"0.000"),"")</f>
        <v>1.000</v>
      </c>
      <c r="G411" s="11" t="str">
        <f>IF($B411&lt;&gt;"",TEXT(1-manut_MP($B411,G$1,G$2)/VLOOKUP(VALUE(MID($A411,5,3)),BASE_Pot!$A$2:$B$321,2,FALSE),"0.000"),"")</f>
        <v>1.000</v>
      </c>
      <c r="H411" s="11" t="str">
        <f>IF($B411&lt;&gt;"",TEXT(1-manut_MP($B411,H$1,H$2)/VLOOKUP(VALUE(MID($A411,5,3)),BASE_Pot!$A$2:$B$321,2,FALSE),"0.000"),"")</f>
        <v>1.000</v>
      </c>
      <c r="I411" s="11" t="str">
        <f>IF($B411&lt;&gt;"",TEXT(1-manut_MP($B411,I$1,I$2)/VLOOKUP(VALUE(MID($A411,5,3)),BASE_Pot!$A$2:$B$321,2,FALSE),"0.000"),"")</f>
        <v>1.000</v>
      </c>
      <c r="J411" t="str">
        <f>""</f>
        <v/>
      </c>
      <c r="L411" t="str">
        <f t="shared" si="16"/>
        <v>MP  101  1.0001.0001.0001.0001.0001.0001.000</v>
      </c>
    </row>
    <row r="412" spans="1:12" x14ac:dyDescent="0.25">
      <c r="A412" t="s">
        <v>304</v>
      </c>
      <c r="B412" t="str">
        <f t="shared" si="15"/>
        <v/>
      </c>
      <c r="C412" s="11" t="str">
        <f>IF($B412&lt;&gt;"",TEXT(1-manut_MP($B412,C$1,C$2)/VLOOKUP(VALUE(MID($A412,5,3)),BASE_Pot!$A$2:$B$321,2,FALSE),"0.000"),"")</f>
        <v/>
      </c>
      <c r="D412" s="11" t="str">
        <f>IF($B412&lt;&gt;"",TEXT(1-manut_MP($B412,D$1,D$2)/VLOOKUP(VALUE(MID($A412,5,3)),BASE_Pot!$A$2:$B$321,2,FALSE),"0.000"),"")</f>
        <v/>
      </c>
      <c r="E412" s="11" t="str">
        <f>IF($B412&lt;&gt;"",TEXT(1-manut_MP($B412,E$1,E$2)/VLOOKUP(VALUE(MID($A412,5,3)),BASE_Pot!$A$2:$B$321,2,FALSE),"0.000"),"")</f>
        <v/>
      </c>
      <c r="F412" s="11" t="str">
        <f>IF($B412&lt;&gt;"",TEXT(1-manut_MP($B412,F$1,F$2)/VLOOKUP(VALUE(MID($A412,5,3)),BASE_Pot!$A$2:$B$321,2,FALSE),"0.000"),"")</f>
        <v/>
      </c>
      <c r="G412" s="11" t="str">
        <f>IF($B412&lt;&gt;"",TEXT(1-manut_MP($B412,G$1,G$2)/VLOOKUP(VALUE(MID($A412,5,3)),BASE_Pot!$A$2:$B$321,2,FALSE),"0.000"),"")</f>
        <v/>
      </c>
      <c r="H412" s="11" t="str">
        <f>IF($B412&lt;&gt;"",TEXT(1-manut_MP($B412,H$1,H$2)/VLOOKUP(VALUE(MID($A412,5,3)),BASE_Pot!$A$2:$B$321,2,FALSE),"0.000"),"")</f>
        <v/>
      </c>
      <c r="I412" s="11" t="str">
        <f>IF($B412&lt;&gt;"",TEXT(1-manut_MP($B412,I$1,I$2)/VLOOKUP(VALUE(MID($A412,5,3)),BASE_Pot!$A$2:$B$321,2,FALSE),"0.000"),"")</f>
        <v/>
      </c>
      <c r="J412" t="str">
        <f>""</f>
        <v/>
      </c>
      <c r="L412" t="str">
        <f t="shared" si="16"/>
        <v>&amp;.................................</v>
      </c>
    </row>
    <row r="413" spans="1:12" x14ac:dyDescent="0.25">
      <c r="A413" t="s">
        <v>482</v>
      </c>
      <c r="B413" t="str">
        <f t="shared" si="15"/>
        <v/>
      </c>
      <c r="C413" s="11" t="str">
        <f>IF($B413&lt;&gt;"",TEXT(1-manut_MP($B413,C$1,C$2)/VLOOKUP(VALUE(MID($A413,5,3)),BASE_Pot!$A$2:$B$321,2,FALSE),"0.000"),"")</f>
        <v/>
      </c>
      <c r="D413" s="11" t="str">
        <f>IF($B413&lt;&gt;"",TEXT(1-manut_MP($B413,D$1,D$2)/VLOOKUP(VALUE(MID($A413,5,3)),BASE_Pot!$A$2:$B$321,2,FALSE),"0.000"),"")</f>
        <v/>
      </c>
      <c r="E413" s="11" t="str">
        <f>IF($B413&lt;&gt;"",TEXT(1-manut_MP($B413,E$1,E$2)/VLOOKUP(VALUE(MID($A413,5,3)),BASE_Pot!$A$2:$B$321,2,FALSE),"0.000"),"")</f>
        <v/>
      </c>
      <c r="F413" s="11" t="str">
        <f>IF($B413&lt;&gt;"",TEXT(1-manut_MP($B413,F$1,F$2)/VLOOKUP(VALUE(MID($A413,5,3)),BASE_Pot!$A$2:$B$321,2,FALSE),"0.000"),"")</f>
        <v/>
      </c>
      <c r="G413" s="11" t="str">
        <f>IF($B413&lt;&gt;"",TEXT(1-manut_MP($B413,G$1,G$2)/VLOOKUP(VALUE(MID($A413,5,3)),BASE_Pot!$A$2:$B$321,2,FALSE),"0.000"),"")</f>
        <v/>
      </c>
      <c r="H413" s="11" t="str">
        <f>IF($B413&lt;&gt;"",TEXT(1-manut_MP($B413,H$1,H$2)/VLOOKUP(VALUE(MID($A413,5,3)),BASE_Pot!$A$2:$B$321,2,FALSE),"0.000"),"")</f>
        <v/>
      </c>
      <c r="I413" s="11" t="str">
        <f>IF($B413&lt;&gt;"",TEXT(1-manut_MP($B413,I$1,I$2)/VLOOKUP(VALUE(MID($A413,5,3)),BASE_Pot!$A$2:$B$321,2,FALSE),"0.000"),"")</f>
        <v/>
      </c>
      <c r="J413" t="str">
        <f>""</f>
        <v/>
      </c>
      <c r="L413" t="str">
        <f t="shared" si="16"/>
        <v>&amp;         NE GENERAT</v>
      </c>
    </row>
    <row r="414" spans="1:12" x14ac:dyDescent="0.25">
      <c r="A414" t="s">
        <v>304</v>
      </c>
      <c r="B414" t="str">
        <f t="shared" si="15"/>
        <v/>
      </c>
      <c r="C414" s="11" t="str">
        <f>IF($B414&lt;&gt;"",TEXT(1-manut_MP($B414,C$1,C$2)/VLOOKUP(VALUE(MID($A414,5,3)),BASE_Pot!$A$2:$B$321,2,FALSE),"0.000"),"")</f>
        <v/>
      </c>
      <c r="D414" s="11" t="str">
        <f>IF($B414&lt;&gt;"",TEXT(1-manut_MP($B414,D$1,D$2)/VLOOKUP(VALUE(MID($A414,5,3)),BASE_Pot!$A$2:$B$321,2,FALSE),"0.000"),"")</f>
        <v/>
      </c>
      <c r="E414" s="11" t="str">
        <f>IF($B414&lt;&gt;"",TEXT(1-manut_MP($B414,E$1,E$2)/VLOOKUP(VALUE(MID($A414,5,3)),BASE_Pot!$A$2:$B$321,2,FALSE),"0.000"),"")</f>
        <v/>
      </c>
      <c r="F414" s="11" t="str">
        <f>IF($B414&lt;&gt;"",TEXT(1-manut_MP($B414,F$1,F$2)/VLOOKUP(VALUE(MID($A414,5,3)),BASE_Pot!$A$2:$B$321,2,FALSE),"0.000"),"")</f>
        <v/>
      </c>
      <c r="G414" s="11" t="str">
        <f>IF($B414&lt;&gt;"",TEXT(1-manut_MP($B414,G$1,G$2)/VLOOKUP(VALUE(MID($A414,5,3)),BASE_Pot!$A$2:$B$321,2,FALSE),"0.000"),"")</f>
        <v/>
      </c>
      <c r="H414" s="11" t="str">
        <f>IF($B414&lt;&gt;"",TEXT(1-manut_MP($B414,H$1,H$2)/VLOOKUP(VALUE(MID($A414,5,3)),BASE_Pot!$A$2:$B$321,2,FALSE),"0.000"),"")</f>
        <v/>
      </c>
      <c r="I414" s="11" t="str">
        <f>IF($B414&lt;&gt;"",TEXT(1-manut_MP($B414,I$1,I$2)/VLOOKUP(VALUE(MID($A414,5,3)),BASE_Pot!$A$2:$B$321,2,FALSE),"0.000"),"")</f>
        <v/>
      </c>
      <c r="J414" t="str">
        <f>""</f>
        <v/>
      </c>
      <c r="L414" t="str">
        <f t="shared" si="16"/>
        <v>&amp;.................................</v>
      </c>
    </row>
    <row r="415" spans="1:12" x14ac:dyDescent="0.25">
      <c r="A415" t="s">
        <v>483</v>
      </c>
      <c r="B415" t="str">
        <f t="shared" si="15"/>
        <v/>
      </c>
      <c r="C415" s="11" t="str">
        <f>IF($B415&lt;&gt;"",TEXT(1-manut_MP($B415,C$1,C$2)/VLOOKUP(VALUE(MID($A415,5,3)),BASE_Pot!$A$2:$B$321,2,FALSE),"0.000"),"")</f>
        <v/>
      </c>
      <c r="D415" s="11" t="str">
        <f>IF($B415&lt;&gt;"",TEXT(1-manut_MP($B415,D$1,D$2)/VLOOKUP(VALUE(MID($A415,5,3)),BASE_Pot!$A$2:$B$321,2,FALSE),"0.000"),"")</f>
        <v/>
      </c>
      <c r="E415" s="11" t="str">
        <f>IF($B415&lt;&gt;"",TEXT(1-manut_MP($B415,E$1,E$2)/VLOOKUP(VALUE(MID($A415,5,3)),BASE_Pot!$A$2:$B$321,2,FALSE),"0.000"),"")</f>
        <v/>
      </c>
      <c r="F415" s="11" t="str">
        <f>IF($B415&lt;&gt;"",TEXT(1-manut_MP($B415,F$1,F$2)/VLOOKUP(VALUE(MID($A415,5,3)),BASE_Pot!$A$2:$B$321,2,FALSE),"0.000"),"")</f>
        <v/>
      </c>
      <c r="G415" s="11" t="str">
        <f>IF($B415&lt;&gt;"",TEXT(1-manut_MP($B415,G$1,G$2)/VLOOKUP(VALUE(MID($A415,5,3)),BASE_Pot!$A$2:$B$321,2,FALSE),"0.000"),"")</f>
        <v/>
      </c>
      <c r="H415" s="11" t="str">
        <f>IF($B415&lt;&gt;"",TEXT(1-manut_MP($B415,H$1,H$2)/VLOOKUP(VALUE(MID($A415,5,3)),BASE_Pot!$A$2:$B$321,2,FALSE),"0.000"),"")</f>
        <v/>
      </c>
      <c r="I415" s="11" t="str">
        <f>IF($B415&lt;&gt;"",TEXT(1-manut_MP($B415,I$1,I$2)/VLOOKUP(VALUE(MID($A415,5,3)),BASE_Pot!$A$2:$B$321,2,FALSE),"0.000"),"")</f>
        <v/>
      </c>
      <c r="J415" t="str">
        <f>""</f>
        <v/>
      </c>
      <c r="L415" t="str">
        <f t="shared" si="16"/>
        <v>&amp;BALBINA</v>
      </c>
    </row>
    <row r="416" spans="1:12" x14ac:dyDescent="0.25">
      <c r="A416" t="s">
        <v>631</v>
      </c>
      <c r="B416" t="str">
        <f t="shared" si="15"/>
        <v>277-H</v>
      </c>
      <c r="C416" s="11" t="str">
        <f>IF($B416&lt;&gt;"",TEXT(1-manut_MP($B416,C$1,C$2)/VLOOKUP(VALUE(MID($A416,5,3)),BASE_Pot!$A$2:$B$321,2,FALSE),"0.000"),"")</f>
        <v>1.000</v>
      </c>
      <c r="D416" s="11" t="str">
        <f>IF($B416&lt;&gt;"",TEXT(1-manut_MP($B416,D$1,D$2)/VLOOKUP(VALUE(MID($A416,5,3)),BASE_Pot!$A$2:$B$321,2,FALSE),"0.000"),"")</f>
        <v>1.000</v>
      </c>
      <c r="E416" s="11" t="str">
        <f>IF($B416&lt;&gt;"",TEXT(1-manut_MP($B416,E$1,E$2)/VLOOKUP(VALUE(MID($A416,5,3)),BASE_Pot!$A$2:$B$321,2,FALSE),"0.000"),"")</f>
        <v>1.000</v>
      </c>
      <c r="F416" s="11" t="str">
        <f>IF($B416&lt;&gt;"",TEXT(1-manut_MP($B416,F$1,F$2)/VLOOKUP(VALUE(MID($A416,5,3)),BASE_Pot!$A$2:$B$321,2,FALSE),"0.000"),"")</f>
        <v>1.000</v>
      </c>
      <c r="G416" s="11" t="str">
        <f>IF($B416&lt;&gt;"",TEXT(1-manut_MP($B416,G$1,G$2)/VLOOKUP(VALUE(MID($A416,5,3)),BASE_Pot!$A$2:$B$321,2,FALSE),"0.000"),"")</f>
        <v>1.000</v>
      </c>
      <c r="H416" s="11" t="str">
        <f>IF($B416&lt;&gt;"",TEXT(1-manut_MP($B416,H$1,H$2)/VLOOKUP(VALUE(MID($A416,5,3)),BASE_Pot!$A$2:$B$321,2,FALSE),"0.000"),"")</f>
        <v>1.000</v>
      </c>
      <c r="I416" s="11" t="str">
        <f>IF($B416&lt;&gt;"",TEXT(1-manut_MP($B416,I$1,I$2)/VLOOKUP(VALUE(MID($A416,5,3)),BASE_Pot!$A$2:$B$321,2,FALSE),"0.000"),"")</f>
        <v>1.000</v>
      </c>
      <c r="J416" t="str">
        <f>""</f>
        <v/>
      </c>
      <c r="L416" t="str">
        <f t="shared" si="16"/>
        <v>MP  277  1.0001.0001.0001.0001.0001.0001.000</v>
      </c>
    </row>
    <row r="417" spans="1:12" x14ac:dyDescent="0.25">
      <c r="A417" t="s">
        <v>304</v>
      </c>
      <c r="B417" t="str">
        <f t="shared" si="15"/>
        <v/>
      </c>
      <c r="C417" s="11" t="str">
        <f>IF($B417&lt;&gt;"",TEXT(1-manut_MP($B417,C$1,C$2)/VLOOKUP(VALUE(MID($A417,5,3)),BASE_Pot!$A$2:$B$321,2,FALSE),"0.000"),"")</f>
        <v/>
      </c>
      <c r="D417" s="11" t="str">
        <f>IF($B417&lt;&gt;"",TEXT(1-manut_MP($B417,D$1,D$2)/VLOOKUP(VALUE(MID($A417,5,3)),BASE_Pot!$A$2:$B$321,2,FALSE),"0.000"),"")</f>
        <v/>
      </c>
      <c r="E417" s="11" t="str">
        <f>IF($B417&lt;&gt;"",TEXT(1-manut_MP($B417,E$1,E$2)/VLOOKUP(VALUE(MID($A417,5,3)),BASE_Pot!$A$2:$B$321,2,FALSE),"0.000"),"")</f>
        <v/>
      </c>
      <c r="F417" s="11" t="str">
        <f>IF($B417&lt;&gt;"",TEXT(1-manut_MP($B417,F$1,F$2)/VLOOKUP(VALUE(MID($A417,5,3)),BASE_Pot!$A$2:$B$321,2,FALSE),"0.000"),"")</f>
        <v/>
      </c>
      <c r="G417" s="11" t="str">
        <f>IF($B417&lt;&gt;"",TEXT(1-manut_MP($B417,G$1,G$2)/VLOOKUP(VALUE(MID($A417,5,3)),BASE_Pot!$A$2:$B$321,2,FALSE),"0.000"),"")</f>
        <v/>
      </c>
      <c r="H417" s="11" t="str">
        <f>IF($B417&lt;&gt;"",TEXT(1-manut_MP($B417,H$1,H$2)/VLOOKUP(VALUE(MID($A417,5,3)),BASE_Pot!$A$2:$B$321,2,FALSE),"0.000"),"")</f>
        <v/>
      </c>
      <c r="I417" s="11" t="str">
        <f>IF($B417&lt;&gt;"",TEXT(1-manut_MP($B417,I$1,I$2)/VLOOKUP(VALUE(MID($A417,5,3)),BASE_Pot!$A$2:$B$321,2,FALSE),"0.000"),"")</f>
        <v/>
      </c>
      <c r="J417" t="str">
        <f>""</f>
        <v/>
      </c>
      <c r="L417" t="str">
        <f t="shared" si="16"/>
        <v>&amp;.................................</v>
      </c>
    </row>
    <row r="418" spans="1:12" x14ac:dyDescent="0.25">
      <c r="A418" t="s">
        <v>484</v>
      </c>
      <c r="B418" t="str">
        <f t="shared" si="15"/>
        <v/>
      </c>
      <c r="C418" s="11" t="str">
        <f>IF($B418&lt;&gt;"",TEXT(1-manut_MP($B418,C$1,C$2)/VLOOKUP(VALUE(MID($A418,5,3)),BASE_Pot!$A$2:$B$321,2,FALSE),"0.000"),"")</f>
        <v/>
      </c>
      <c r="D418" s="11" t="str">
        <f>IF($B418&lt;&gt;"",TEXT(1-manut_MP($B418,D$1,D$2)/VLOOKUP(VALUE(MID($A418,5,3)),BASE_Pot!$A$2:$B$321,2,FALSE),"0.000"),"")</f>
        <v/>
      </c>
      <c r="E418" s="11" t="str">
        <f>IF($B418&lt;&gt;"",TEXT(1-manut_MP($B418,E$1,E$2)/VLOOKUP(VALUE(MID($A418,5,3)),BASE_Pot!$A$2:$B$321,2,FALSE),"0.000"),"")</f>
        <v/>
      </c>
      <c r="F418" s="11" t="str">
        <f>IF($B418&lt;&gt;"",TEXT(1-manut_MP($B418,F$1,F$2)/VLOOKUP(VALUE(MID($A418,5,3)),BASE_Pot!$A$2:$B$321,2,FALSE),"0.000"),"")</f>
        <v/>
      </c>
      <c r="G418" s="11" t="str">
        <f>IF($B418&lt;&gt;"",TEXT(1-manut_MP($B418,G$1,G$2)/VLOOKUP(VALUE(MID($A418,5,3)),BASE_Pot!$A$2:$B$321,2,FALSE),"0.000"),"")</f>
        <v/>
      </c>
      <c r="H418" s="11" t="str">
        <f>IF($B418&lt;&gt;"",TEXT(1-manut_MP($B418,H$1,H$2)/VLOOKUP(VALUE(MID($A418,5,3)),BASE_Pot!$A$2:$B$321,2,FALSE),"0.000"),"")</f>
        <v/>
      </c>
      <c r="I418" s="11" t="str">
        <f>IF($B418&lt;&gt;"",TEXT(1-manut_MP($B418,I$1,I$2)/VLOOKUP(VALUE(MID($A418,5,3)),BASE_Pot!$A$2:$B$321,2,FALSE),"0.000"),"")</f>
        <v/>
      </c>
      <c r="J418" t="str">
        <f>""</f>
        <v/>
      </c>
      <c r="L418" t="str">
        <f t="shared" si="16"/>
        <v>&amp;         ENGUIA BA</v>
      </c>
    </row>
    <row r="419" spans="1:12" x14ac:dyDescent="0.25">
      <c r="A419" t="s">
        <v>304</v>
      </c>
      <c r="B419" t="str">
        <f t="shared" si="15"/>
        <v/>
      </c>
      <c r="C419" s="11" t="str">
        <f>IF($B419&lt;&gt;"",TEXT(1-manut_MP($B419,C$1,C$2)/VLOOKUP(VALUE(MID($A419,5,3)),BASE_Pot!$A$2:$B$321,2,FALSE),"0.000"),"")</f>
        <v/>
      </c>
      <c r="D419" s="11" t="str">
        <f>IF($B419&lt;&gt;"",TEXT(1-manut_MP($B419,D$1,D$2)/VLOOKUP(VALUE(MID($A419,5,3)),BASE_Pot!$A$2:$B$321,2,FALSE),"0.000"),"")</f>
        <v/>
      </c>
      <c r="E419" s="11" t="str">
        <f>IF($B419&lt;&gt;"",TEXT(1-manut_MP($B419,E$1,E$2)/VLOOKUP(VALUE(MID($A419,5,3)),BASE_Pot!$A$2:$B$321,2,FALSE),"0.000"),"")</f>
        <v/>
      </c>
      <c r="F419" s="11" t="str">
        <f>IF($B419&lt;&gt;"",TEXT(1-manut_MP($B419,F$1,F$2)/VLOOKUP(VALUE(MID($A419,5,3)),BASE_Pot!$A$2:$B$321,2,FALSE),"0.000"),"")</f>
        <v/>
      </c>
      <c r="G419" s="11" t="str">
        <f>IF($B419&lt;&gt;"",TEXT(1-manut_MP($B419,G$1,G$2)/VLOOKUP(VALUE(MID($A419,5,3)),BASE_Pot!$A$2:$B$321,2,FALSE),"0.000"),"")</f>
        <v/>
      </c>
      <c r="H419" s="11" t="str">
        <f>IF($B419&lt;&gt;"",TEXT(1-manut_MP($B419,H$1,H$2)/VLOOKUP(VALUE(MID($A419,5,3)),BASE_Pot!$A$2:$B$321,2,FALSE),"0.000"),"")</f>
        <v/>
      </c>
      <c r="I419" s="11" t="str">
        <f>IF($B419&lt;&gt;"",TEXT(1-manut_MP($B419,I$1,I$2)/VLOOKUP(VALUE(MID($A419,5,3)),BASE_Pot!$A$2:$B$321,2,FALSE),"0.000"),"")</f>
        <v/>
      </c>
      <c r="J419" t="str">
        <f>""</f>
        <v/>
      </c>
      <c r="L419" t="str">
        <f t="shared" si="16"/>
        <v>&amp;.................................</v>
      </c>
    </row>
    <row r="420" spans="1:12" x14ac:dyDescent="0.25">
      <c r="A420" t="s">
        <v>485</v>
      </c>
      <c r="B420" t="str">
        <f t="shared" si="15"/>
        <v/>
      </c>
      <c r="C420" s="11" t="str">
        <f>IF($B420&lt;&gt;"",TEXT(1-manut_MP($B420,C$1,C$2)/VLOOKUP(VALUE(MID($A420,5,3)),BASE_Pot!$A$2:$B$321,2,FALSE),"0.000"),"")</f>
        <v/>
      </c>
      <c r="D420" s="11" t="str">
        <f>IF($B420&lt;&gt;"",TEXT(1-manut_MP($B420,D$1,D$2)/VLOOKUP(VALUE(MID($A420,5,3)),BASE_Pot!$A$2:$B$321,2,FALSE),"0.000"),"")</f>
        <v/>
      </c>
      <c r="E420" s="11" t="str">
        <f>IF($B420&lt;&gt;"",TEXT(1-manut_MP($B420,E$1,E$2)/VLOOKUP(VALUE(MID($A420,5,3)),BASE_Pot!$A$2:$B$321,2,FALSE),"0.000"),"")</f>
        <v/>
      </c>
      <c r="F420" s="11" t="str">
        <f>IF($B420&lt;&gt;"",TEXT(1-manut_MP($B420,F$1,F$2)/VLOOKUP(VALUE(MID($A420,5,3)),BASE_Pot!$A$2:$B$321,2,FALSE),"0.000"),"")</f>
        <v/>
      </c>
      <c r="G420" s="11" t="str">
        <f>IF($B420&lt;&gt;"",TEXT(1-manut_MP($B420,G$1,G$2)/VLOOKUP(VALUE(MID($A420,5,3)),BASE_Pot!$A$2:$B$321,2,FALSE),"0.000"),"")</f>
        <v/>
      </c>
      <c r="H420" s="11" t="str">
        <f>IF($B420&lt;&gt;"",TEXT(1-manut_MP($B420,H$1,H$2)/VLOOKUP(VALUE(MID($A420,5,3)),BASE_Pot!$A$2:$B$321,2,FALSE),"0.000"),"")</f>
        <v/>
      </c>
      <c r="I420" s="11" t="str">
        <f>IF($B420&lt;&gt;"",TEXT(1-manut_MP($B420,I$1,I$2)/VLOOKUP(VALUE(MID($A420,5,3)),BASE_Pot!$A$2:$B$321,2,FALSE),"0.000"),"")</f>
        <v/>
      </c>
      <c r="J420" t="str">
        <f>""</f>
        <v/>
      </c>
      <c r="L420" t="str">
        <f t="shared" si="16"/>
        <v>&amp;GARIBALDI</v>
      </c>
    </row>
    <row r="421" spans="1:12" x14ac:dyDescent="0.25">
      <c r="A421" t="s">
        <v>632</v>
      </c>
      <c r="B421" t="str">
        <f t="shared" si="15"/>
        <v xml:space="preserve"> 89-H</v>
      </c>
      <c r="C421" s="11" t="str">
        <f>IF($B421&lt;&gt;"",TEXT(1-manut_MP($B421,C$1,C$2)/VLOOKUP(VALUE(MID($A421,5,3)),BASE_Pot!$A$2:$B$321,2,FALSE),"0.000"),"")</f>
        <v>0.762</v>
      </c>
      <c r="D421" s="11" t="str">
        <f>IF($B421&lt;&gt;"",TEXT(1-manut_MP($B421,D$1,D$2)/VLOOKUP(VALUE(MID($A421,5,3)),BASE_Pot!$A$2:$B$321,2,FALSE),"0.000"),"")</f>
        <v>0.714</v>
      </c>
      <c r="E421" s="11" t="str">
        <f>IF($B421&lt;&gt;"",TEXT(1-manut_MP($B421,E$1,E$2)/VLOOKUP(VALUE(MID($A421,5,3)),BASE_Pot!$A$2:$B$321,2,FALSE),"0.000"),"")</f>
        <v>0.667</v>
      </c>
      <c r="F421" s="11" t="str">
        <f>IF($B421&lt;&gt;"",TEXT(1-manut_MP($B421,F$1,F$2)/VLOOKUP(VALUE(MID($A421,5,3)),BASE_Pot!$A$2:$B$321,2,FALSE),"0.000"),"")</f>
        <v>0.762</v>
      </c>
      <c r="G421" s="11" t="str">
        <f>IF($B421&lt;&gt;"",TEXT(1-manut_MP($B421,G$1,G$2)/VLOOKUP(VALUE(MID($A421,5,3)),BASE_Pot!$A$2:$B$321,2,FALSE),"0.000"),"")</f>
        <v>0.857</v>
      </c>
      <c r="H421" s="11" t="str">
        <f>IF($B421&lt;&gt;"",TEXT(1-manut_MP($B421,H$1,H$2)/VLOOKUP(VALUE(MID($A421,5,3)),BASE_Pot!$A$2:$B$321,2,FALSE),"0.000"),"")</f>
        <v>1.000</v>
      </c>
      <c r="I421" s="11" t="str">
        <f>IF($B421&lt;&gt;"",TEXT(1-manut_MP($B421,I$1,I$2)/VLOOKUP(VALUE(MID($A421,5,3)),BASE_Pot!$A$2:$B$321,2,FALSE),"0.000"),"")</f>
        <v>1.000</v>
      </c>
      <c r="J421" t="str">
        <f>""</f>
        <v/>
      </c>
      <c r="L421" t="str">
        <f t="shared" si="16"/>
        <v>MP   89  0.7620.7140.6670.7620.8571.0001.000</v>
      </c>
    </row>
    <row r="422" spans="1:12" x14ac:dyDescent="0.25">
      <c r="A422" t="s">
        <v>304</v>
      </c>
      <c r="B422" t="str">
        <f t="shared" si="15"/>
        <v/>
      </c>
      <c r="C422" s="11" t="str">
        <f>IF($B422&lt;&gt;"",TEXT(1-manut_MP($B422,C$1,C$2)/VLOOKUP(VALUE(MID($A422,5,3)),BASE_Pot!$A$2:$B$321,2,FALSE),"0.000"),"")</f>
        <v/>
      </c>
      <c r="D422" s="11" t="str">
        <f>IF($B422&lt;&gt;"",TEXT(1-manut_MP($B422,D$1,D$2)/VLOOKUP(VALUE(MID($A422,5,3)),BASE_Pot!$A$2:$B$321,2,FALSE),"0.000"),"")</f>
        <v/>
      </c>
      <c r="E422" s="11" t="str">
        <f>IF($B422&lt;&gt;"",TEXT(1-manut_MP($B422,E$1,E$2)/VLOOKUP(VALUE(MID($A422,5,3)),BASE_Pot!$A$2:$B$321,2,FALSE),"0.000"),"")</f>
        <v/>
      </c>
      <c r="F422" s="11" t="str">
        <f>IF($B422&lt;&gt;"",TEXT(1-manut_MP($B422,F$1,F$2)/VLOOKUP(VALUE(MID($A422,5,3)),BASE_Pot!$A$2:$B$321,2,FALSE),"0.000"),"")</f>
        <v/>
      </c>
      <c r="G422" s="11" t="str">
        <f>IF($B422&lt;&gt;"",TEXT(1-manut_MP($B422,G$1,G$2)/VLOOKUP(VALUE(MID($A422,5,3)),BASE_Pot!$A$2:$B$321,2,FALSE),"0.000"),"")</f>
        <v/>
      </c>
      <c r="H422" s="11" t="str">
        <f>IF($B422&lt;&gt;"",TEXT(1-manut_MP($B422,H$1,H$2)/VLOOKUP(VALUE(MID($A422,5,3)),BASE_Pot!$A$2:$B$321,2,FALSE),"0.000"),"")</f>
        <v/>
      </c>
      <c r="I422" s="11" t="str">
        <f>IF($B422&lt;&gt;"",TEXT(1-manut_MP($B422,I$1,I$2)/VLOOKUP(VALUE(MID($A422,5,3)),BASE_Pot!$A$2:$B$321,2,FALSE),"0.000"),"")</f>
        <v/>
      </c>
      <c r="J422" t="str">
        <f>""</f>
        <v/>
      </c>
      <c r="L422" t="str">
        <f t="shared" si="16"/>
        <v>&amp;.................................</v>
      </c>
    </row>
    <row r="423" spans="1:12" x14ac:dyDescent="0.25">
      <c r="A423" t="s">
        <v>486</v>
      </c>
      <c r="B423" t="str">
        <f t="shared" si="15"/>
        <v/>
      </c>
      <c r="C423" s="11" t="str">
        <f>IF($B423&lt;&gt;"",TEXT(1-manut_MP($B423,C$1,C$2)/VLOOKUP(VALUE(MID($A423,5,3)),BASE_Pot!$A$2:$B$321,2,FALSE),"0.000"),"")</f>
        <v/>
      </c>
      <c r="D423" s="11" t="str">
        <f>IF($B423&lt;&gt;"",TEXT(1-manut_MP($B423,D$1,D$2)/VLOOKUP(VALUE(MID($A423,5,3)),BASE_Pot!$A$2:$B$321,2,FALSE),"0.000"),"")</f>
        <v/>
      </c>
      <c r="E423" s="11" t="str">
        <f>IF($B423&lt;&gt;"",TEXT(1-manut_MP($B423,E$1,E$2)/VLOOKUP(VALUE(MID($A423,5,3)),BASE_Pot!$A$2:$B$321,2,FALSE),"0.000"),"")</f>
        <v/>
      </c>
      <c r="F423" s="11" t="str">
        <f>IF($B423&lt;&gt;"",TEXT(1-manut_MP($B423,F$1,F$2)/VLOOKUP(VALUE(MID($A423,5,3)),BASE_Pot!$A$2:$B$321,2,FALSE),"0.000"),"")</f>
        <v/>
      </c>
      <c r="G423" s="11" t="str">
        <f>IF($B423&lt;&gt;"",TEXT(1-manut_MP($B423,G$1,G$2)/VLOOKUP(VALUE(MID($A423,5,3)),BASE_Pot!$A$2:$B$321,2,FALSE),"0.000"),"")</f>
        <v/>
      </c>
      <c r="H423" s="11" t="str">
        <f>IF($B423&lt;&gt;"",TEXT(1-manut_MP($B423,H$1,H$2)/VLOOKUP(VALUE(MID($A423,5,3)),BASE_Pot!$A$2:$B$321,2,FALSE),"0.000"),"")</f>
        <v/>
      </c>
      <c r="I423" s="11" t="str">
        <f>IF($B423&lt;&gt;"",TEXT(1-manut_MP($B423,I$1,I$2)/VLOOKUP(VALUE(MID($A423,5,3)),BASE_Pot!$A$2:$B$321,2,FALSE),"0.000"),"")</f>
        <v/>
      </c>
      <c r="J423" t="str">
        <f>""</f>
        <v/>
      </c>
      <c r="L423" t="str">
        <f t="shared" si="16"/>
        <v>&amp;         AMAZONAS</v>
      </c>
    </row>
    <row r="424" spans="1:12" x14ac:dyDescent="0.25">
      <c r="A424" t="s">
        <v>304</v>
      </c>
      <c r="B424" t="str">
        <f t="shared" si="15"/>
        <v/>
      </c>
      <c r="C424" s="11" t="str">
        <f>IF($B424&lt;&gt;"",TEXT(1-manut_MP($B424,C$1,C$2)/VLOOKUP(VALUE(MID($A424,5,3)),BASE_Pot!$A$2:$B$321,2,FALSE),"0.000"),"")</f>
        <v/>
      </c>
      <c r="D424" s="11" t="str">
        <f>IF($B424&lt;&gt;"",TEXT(1-manut_MP($B424,D$1,D$2)/VLOOKUP(VALUE(MID($A424,5,3)),BASE_Pot!$A$2:$B$321,2,FALSE),"0.000"),"")</f>
        <v/>
      </c>
      <c r="E424" s="11" t="str">
        <f>IF($B424&lt;&gt;"",TEXT(1-manut_MP($B424,E$1,E$2)/VLOOKUP(VALUE(MID($A424,5,3)),BASE_Pot!$A$2:$B$321,2,FALSE),"0.000"),"")</f>
        <v/>
      </c>
      <c r="F424" s="11" t="str">
        <f>IF($B424&lt;&gt;"",TEXT(1-manut_MP($B424,F$1,F$2)/VLOOKUP(VALUE(MID($A424,5,3)),BASE_Pot!$A$2:$B$321,2,FALSE),"0.000"),"")</f>
        <v/>
      </c>
      <c r="G424" s="11" t="str">
        <f>IF($B424&lt;&gt;"",TEXT(1-manut_MP($B424,G$1,G$2)/VLOOKUP(VALUE(MID($A424,5,3)),BASE_Pot!$A$2:$B$321,2,FALSE),"0.000"),"")</f>
        <v/>
      </c>
      <c r="H424" s="11" t="str">
        <f>IF($B424&lt;&gt;"",TEXT(1-manut_MP($B424,H$1,H$2)/VLOOKUP(VALUE(MID($A424,5,3)),BASE_Pot!$A$2:$B$321,2,FALSE),"0.000"),"")</f>
        <v/>
      </c>
      <c r="I424" s="11" t="str">
        <f>IF($B424&lt;&gt;"",TEXT(1-manut_MP($B424,I$1,I$2)/VLOOKUP(VALUE(MID($A424,5,3)),BASE_Pot!$A$2:$B$321,2,FALSE),"0.000"),"")</f>
        <v/>
      </c>
      <c r="J424" t="str">
        <f>""</f>
        <v/>
      </c>
      <c r="L424" t="str">
        <f t="shared" si="16"/>
        <v>&amp;.................................</v>
      </c>
    </row>
    <row r="425" spans="1:12" x14ac:dyDescent="0.25">
      <c r="A425" t="s">
        <v>487</v>
      </c>
      <c r="B425" t="str">
        <f t="shared" si="15"/>
        <v/>
      </c>
      <c r="C425" s="11" t="str">
        <f>IF($B425&lt;&gt;"",TEXT(1-manut_MP($B425,C$1,C$2)/VLOOKUP(VALUE(MID($A425,5,3)),BASE_Pot!$A$2:$B$321,2,FALSE),"0.000"),"")</f>
        <v/>
      </c>
      <c r="D425" s="11" t="str">
        <f>IF($B425&lt;&gt;"",TEXT(1-manut_MP($B425,D$1,D$2)/VLOOKUP(VALUE(MID($A425,5,3)),BASE_Pot!$A$2:$B$321,2,FALSE),"0.000"),"")</f>
        <v/>
      </c>
      <c r="E425" s="11" t="str">
        <f>IF($B425&lt;&gt;"",TEXT(1-manut_MP($B425,E$1,E$2)/VLOOKUP(VALUE(MID($A425,5,3)),BASE_Pot!$A$2:$B$321,2,FALSE),"0.000"),"")</f>
        <v/>
      </c>
      <c r="F425" s="11" t="str">
        <f>IF($B425&lt;&gt;"",TEXT(1-manut_MP($B425,F$1,F$2)/VLOOKUP(VALUE(MID($A425,5,3)),BASE_Pot!$A$2:$B$321,2,FALSE),"0.000"),"")</f>
        <v/>
      </c>
      <c r="G425" s="11" t="str">
        <f>IF($B425&lt;&gt;"",TEXT(1-manut_MP($B425,G$1,G$2)/VLOOKUP(VALUE(MID($A425,5,3)),BASE_Pot!$A$2:$B$321,2,FALSE),"0.000"),"")</f>
        <v/>
      </c>
      <c r="H425" s="11" t="str">
        <f>IF($B425&lt;&gt;"",TEXT(1-manut_MP($B425,H$1,H$2)/VLOOKUP(VALUE(MID($A425,5,3)),BASE_Pot!$A$2:$B$321,2,FALSE),"0.000"),"")</f>
        <v/>
      </c>
      <c r="I425" s="11" t="str">
        <f>IF($B425&lt;&gt;"",TEXT(1-manut_MP($B425,I$1,I$2)/VLOOKUP(VALUE(MID($A425,5,3)),BASE_Pot!$A$2:$B$321,2,FALSE),"0.000"),"")</f>
        <v/>
      </c>
      <c r="J425" t="str">
        <f>""</f>
        <v/>
      </c>
      <c r="L425" t="str">
        <f t="shared" si="16"/>
        <v>&amp;FERREIRA GOM</v>
      </c>
    </row>
    <row r="426" spans="1:12" x14ac:dyDescent="0.25">
      <c r="A426" t="s">
        <v>633</v>
      </c>
      <c r="B426" t="str">
        <f t="shared" si="15"/>
        <v>284-H</v>
      </c>
      <c r="C426" s="11" t="str">
        <f>IF($B426&lt;&gt;"",TEXT(1-manut_MP($B426,C$1,C$2)/VLOOKUP(VALUE(MID($A426,5,3)),BASE_Pot!$A$2:$B$321,2,FALSE),"0.000"),"")</f>
        <v>0.762</v>
      </c>
      <c r="D426" s="11" t="str">
        <f>IF($B426&lt;&gt;"",TEXT(1-manut_MP($B426,D$1,D$2)/VLOOKUP(VALUE(MID($A426,5,3)),BASE_Pot!$A$2:$B$321,2,FALSE),"0.000"),"")</f>
        <v>0.762</v>
      </c>
      <c r="E426" s="11" t="str">
        <f>IF($B426&lt;&gt;"",TEXT(1-manut_MP($B426,E$1,E$2)/VLOOKUP(VALUE(MID($A426,5,3)),BASE_Pot!$A$2:$B$321,2,FALSE),"0.000"),"")</f>
        <v>0.667</v>
      </c>
      <c r="F426" s="11" t="str">
        <f>IF($B426&lt;&gt;"",TEXT(1-manut_MP($B426,F$1,F$2)/VLOOKUP(VALUE(MID($A426,5,3)),BASE_Pot!$A$2:$B$321,2,FALSE),"0.000"),"")</f>
        <v>0.667</v>
      </c>
      <c r="G426" s="11" t="str">
        <f>IF($B426&lt;&gt;"",TEXT(1-manut_MP($B426,G$1,G$2)/VLOOKUP(VALUE(MID($A426,5,3)),BASE_Pot!$A$2:$B$321,2,FALSE),"0.000"),"")</f>
        <v>0.667</v>
      </c>
      <c r="H426" s="11" t="str">
        <f>IF($B426&lt;&gt;"",TEXT(1-manut_MP($B426,H$1,H$2)/VLOOKUP(VALUE(MID($A426,5,3)),BASE_Pot!$A$2:$B$321,2,FALSE),"0.000"),"")</f>
        <v>0.952</v>
      </c>
      <c r="I426" s="11" t="str">
        <f>IF($B426&lt;&gt;"",TEXT(1-manut_MP($B426,I$1,I$2)/VLOOKUP(VALUE(MID($A426,5,3)),BASE_Pot!$A$2:$B$321,2,FALSE),"0.000"),"")</f>
        <v>1.000</v>
      </c>
      <c r="J426" t="str">
        <f>""</f>
        <v/>
      </c>
      <c r="L426" t="str">
        <f t="shared" si="16"/>
        <v>MP  284  0.7620.7620.6670.6670.6670.9521.000</v>
      </c>
    </row>
    <row r="427" spans="1:12" x14ac:dyDescent="0.25">
      <c r="A427" t="s">
        <v>304</v>
      </c>
      <c r="B427" t="str">
        <f t="shared" si="15"/>
        <v/>
      </c>
      <c r="C427" s="11" t="str">
        <f>IF($B427&lt;&gt;"",TEXT(1-manut_MP($B427,C$1,C$2)/VLOOKUP(VALUE(MID($A427,5,3)),BASE_Pot!$A$2:$B$321,2,FALSE),"0.000"),"")</f>
        <v/>
      </c>
      <c r="D427" s="11" t="str">
        <f>IF($B427&lt;&gt;"",TEXT(1-manut_MP($B427,D$1,D$2)/VLOOKUP(VALUE(MID($A427,5,3)),BASE_Pot!$A$2:$B$321,2,FALSE),"0.000"),"")</f>
        <v/>
      </c>
      <c r="E427" s="11" t="str">
        <f>IF($B427&lt;&gt;"",TEXT(1-manut_MP($B427,E$1,E$2)/VLOOKUP(VALUE(MID($A427,5,3)),BASE_Pot!$A$2:$B$321,2,FALSE),"0.000"),"")</f>
        <v/>
      </c>
      <c r="F427" s="11" t="str">
        <f>IF($B427&lt;&gt;"",TEXT(1-manut_MP($B427,F$1,F$2)/VLOOKUP(VALUE(MID($A427,5,3)),BASE_Pot!$A$2:$B$321,2,FALSE),"0.000"),"")</f>
        <v/>
      </c>
      <c r="G427" s="11" t="str">
        <f>IF($B427&lt;&gt;"",TEXT(1-manut_MP($B427,G$1,G$2)/VLOOKUP(VALUE(MID($A427,5,3)),BASE_Pot!$A$2:$B$321,2,FALSE),"0.000"),"")</f>
        <v/>
      </c>
      <c r="H427" s="11" t="str">
        <f>IF($B427&lt;&gt;"",TEXT(1-manut_MP($B427,H$1,H$2)/VLOOKUP(VALUE(MID($A427,5,3)),BASE_Pot!$A$2:$B$321,2,FALSE),"0.000"),"")</f>
        <v/>
      </c>
      <c r="I427" s="11" t="str">
        <f>IF($B427&lt;&gt;"",TEXT(1-manut_MP($B427,I$1,I$2)/VLOOKUP(VALUE(MID($A427,5,3)),BASE_Pot!$A$2:$B$321,2,FALSE),"0.000"),"")</f>
        <v/>
      </c>
      <c r="J427" t="str">
        <f>""</f>
        <v/>
      </c>
      <c r="L427" t="str">
        <f t="shared" si="16"/>
        <v>&amp;.................................</v>
      </c>
    </row>
    <row r="428" spans="1:12" x14ac:dyDescent="0.25">
      <c r="A428" t="s">
        <v>488</v>
      </c>
      <c r="B428" t="str">
        <f t="shared" si="15"/>
        <v/>
      </c>
      <c r="C428" s="11" t="str">
        <f>IF($B428&lt;&gt;"",TEXT(1-manut_MP($B428,C$1,C$2)/VLOOKUP(VALUE(MID($A428,5,3)),BASE_Pot!$A$2:$B$321,2,FALSE),"0.000"),"")</f>
        <v/>
      </c>
      <c r="D428" s="11" t="str">
        <f>IF($B428&lt;&gt;"",TEXT(1-manut_MP($B428,D$1,D$2)/VLOOKUP(VALUE(MID($A428,5,3)),BASE_Pot!$A$2:$B$321,2,FALSE),"0.000"),"")</f>
        <v/>
      </c>
      <c r="E428" s="11" t="str">
        <f>IF($B428&lt;&gt;"",TEXT(1-manut_MP($B428,E$1,E$2)/VLOOKUP(VALUE(MID($A428,5,3)),BASE_Pot!$A$2:$B$321,2,FALSE),"0.000"),"")</f>
        <v/>
      </c>
      <c r="F428" s="11" t="str">
        <f>IF($B428&lt;&gt;"",TEXT(1-manut_MP($B428,F$1,F$2)/VLOOKUP(VALUE(MID($A428,5,3)),BASE_Pot!$A$2:$B$321,2,FALSE),"0.000"),"")</f>
        <v/>
      </c>
      <c r="G428" s="11" t="str">
        <f>IF($B428&lt;&gt;"",TEXT(1-manut_MP($B428,G$1,G$2)/VLOOKUP(VALUE(MID($A428,5,3)),BASE_Pot!$A$2:$B$321,2,FALSE),"0.000"),"")</f>
        <v/>
      </c>
      <c r="H428" s="11" t="str">
        <f>IF($B428&lt;&gt;"",TEXT(1-manut_MP($B428,H$1,H$2)/VLOOKUP(VALUE(MID($A428,5,3)),BASE_Pot!$A$2:$B$321,2,FALSE),"0.000"),"")</f>
        <v/>
      </c>
      <c r="I428" s="11" t="str">
        <f>IF($B428&lt;&gt;"",TEXT(1-manut_MP($B428,I$1,I$2)/VLOOKUP(VALUE(MID($A428,5,3)),BASE_Pot!$A$2:$B$321,2,FALSE),"0.000"),"")</f>
        <v/>
      </c>
      <c r="J428" t="str">
        <f>""</f>
        <v/>
      </c>
      <c r="L428" t="str">
        <f t="shared" si="16"/>
        <v>&amp;         SOBRAGI</v>
      </c>
    </row>
    <row r="429" spans="1:12" x14ac:dyDescent="0.25">
      <c r="A429" t="s">
        <v>304</v>
      </c>
      <c r="B429" t="str">
        <f t="shared" si="15"/>
        <v/>
      </c>
      <c r="C429" s="11" t="str">
        <f>IF($B429&lt;&gt;"",TEXT(1-manut_MP($B429,C$1,C$2)/VLOOKUP(VALUE(MID($A429,5,3)),BASE_Pot!$A$2:$B$321,2,FALSE),"0.000"),"")</f>
        <v/>
      </c>
      <c r="D429" s="11" t="str">
        <f>IF($B429&lt;&gt;"",TEXT(1-manut_MP($B429,D$1,D$2)/VLOOKUP(VALUE(MID($A429,5,3)),BASE_Pot!$A$2:$B$321,2,FALSE),"0.000"),"")</f>
        <v/>
      </c>
      <c r="E429" s="11" t="str">
        <f>IF($B429&lt;&gt;"",TEXT(1-manut_MP($B429,E$1,E$2)/VLOOKUP(VALUE(MID($A429,5,3)),BASE_Pot!$A$2:$B$321,2,FALSE),"0.000"),"")</f>
        <v/>
      </c>
      <c r="F429" s="11" t="str">
        <f>IF($B429&lt;&gt;"",TEXT(1-manut_MP($B429,F$1,F$2)/VLOOKUP(VALUE(MID($A429,5,3)),BASE_Pot!$A$2:$B$321,2,FALSE),"0.000"),"")</f>
        <v/>
      </c>
      <c r="G429" s="11" t="str">
        <f>IF($B429&lt;&gt;"",TEXT(1-manut_MP($B429,G$1,G$2)/VLOOKUP(VALUE(MID($A429,5,3)),BASE_Pot!$A$2:$B$321,2,FALSE),"0.000"),"")</f>
        <v/>
      </c>
      <c r="H429" s="11" t="str">
        <f>IF($B429&lt;&gt;"",TEXT(1-manut_MP($B429,H$1,H$2)/VLOOKUP(VALUE(MID($A429,5,3)),BASE_Pot!$A$2:$B$321,2,FALSE),"0.000"),"")</f>
        <v/>
      </c>
      <c r="I429" s="11" t="str">
        <f>IF($B429&lt;&gt;"",TEXT(1-manut_MP($B429,I$1,I$2)/VLOOKUP(VALUE(MID($A429,5,3)),BASE_Pot!$A$2:$B$321,2,FALSE),"0.000"),"")</f>
        <v/>
      </c>
      <c r="J429" t="str">
        <f>""</f>
        <v/>
      </c>
      <c r="L429" t="str">
        <f t="shared" si="16"/>
        <v>&amp;.................................</v>
      </c>
    </row>
    <row r="430" spans="1:12" x14ac:dyDescent="0.25">
      <c r="A430" t="s">
        <v>489</v>
      </c>
      <c r="B430" t="str">
        <f t="shared" si="15"/>
        <v/>
      </c>
      <c r="C430" s="11" t="str">
        <f>IF($B430&lt;&gt;"",TEXT(1-manut_MP($B430,C$1,C$2)/VLOOKUP(VALUE(MID($A430,5,3)),BASE_Pot!$A$2:$B$321,2,FALSE),"0.000"),"")</f>
        <v/>
      </c>
      <c r="D430" s="11" t="str">
        <f>IF($B430&lt;&gt;"",TEXT(1-manut_MP($B430,D$1,D$2)/VLOOKUP(VALUE(MID($A430,5,3)),BASE_Pot!$A$2:$B$321,2,FALSE),"0.000"),"")</f>
        <v/>
      </c>
      <c r="E430" s="11" t="str">
        <f>IF($B430&lt;&gt;"",TEXT(1-manut_MP($B430,E$1,E$2)/VLOOKUP(VALUE(MID($A430,5,3)),BASE_Pot!$A$2:$B$321,2,FALSE),"0.000"),"")</f>
        <v/>
      </c>
      <c r="F430" s="11" t="str">
        <f>IF($B430&lt;&gt;"",TEXT(1-manut_MP($B430,F$1,F$2)/VLOOKUP(VALUE(MID($A430,5,3)),BASE_Pot!$A$2:$B$321,2,FALSE),"0.000"),"")</f>
        <v/>
      </c>
      <c r="G430" s="11" t="str">
        <f>IF($B430&lt;&gt;"",TEXT(1-manut_MP($B430,G$1,G$2)/VLOOKUP(VALUE(MID($A430,5,3)),BASE_Pot!$A$2:$B$321,2,FALSE),"0.000"),"")</f>
        <v/>
      </c>
      <c r="H430" s="11" t="str">
        <f>IF($B430&lt;&gt;"",TEXT(1-manut_MP($B430,H$1,H$2)/VLOOKUP(VALUE(MID($A430,5,3)),BASE_Pot!$A$2:$B$321,2,FALSE),"0.000"),"")</f>
        <v/>
      </c>
      <c r="I430" s="11" t="str">
        <f>IF($B430&lt;&gt;"",TEXT(1-manut_MP($B430,I$1,I$2)/VLOOKUP(VALUE(MID($A430,5,3)),BASE_Pot!$A$2:$B$321,2,FALSE),"0.000"),"")</f>
        <v/>
      </c>
      <c r="J430" t="str">
        <f>""</f>
        <v/>
      </c>
      <c r="L430" t="str">
        <f t="shared" si="16"/>
        <v>&amp;PICADA</v>
      </c>
    </row>
    <row r="431" spans="1:12" x14ac:dyDescent="0.25">
      <c r="A431" t="s">
        <v>634</v>
      </c>
      <c r="B431" t="str">
        <f t="shared" si="15"/>
        <v>126-H</v>
      </c>
      <c r="C431" s="11" t="str">
        <f>IF($B431&lt;&gt;"",TEXT(1-manut_MP($B431,C$1,C$2)/VLOOKUP(VALUE(MID($A431,5,3)),BASE_Pot!$A$2:$B$321,2,FALSE),"0.000"),"")</f>
        <v>1.000</v>
      </c>
      <c r="D431" s="11" t="str">
        <f>IF($B431&lt;&gt;"",TEXT(1-manut_MP($B431,D$1,D$2)/VLOOKUP(VALUE(MID($A431,5,3)),BASE_Pot!$A$2:$B$321,2,FALSE),"0.000"),"")</f>
        <v>1.000</v>
      </c>
      <c r="E431" s="11" t="str">
        <f>IF($B431&lt;&gt;"",TEXT(1-manut_MP($B431,E$1,E$2)/VLOOKUP(VALUE(MID($A431,5,3)),BASE_Pot!$A$2:$B$321,2,FALSE),"0.000"),"")</f>
        <v>1.000</v>
      </c>
      <c r="F431" s="11" t="str">
        <f>IF($B431&lt;&gt;"",TEXT(1-manut_MP($B431,F$1,F$2)/VLOOKUP(VALUE(MID($A431,5,3)),BASE_Pot!$A$2:$B$321,2,FALSE),"0.000"),"")</f>
        <v>1.000</v>
      </c>
      <c r="G431" s="11" t="str">
        <f>IF($B431&lt;&gt;"",TEXT(1-manut_MP($B431,G$1,G$2)/VLOOKUP(VALUE(MID($A431,5,3)),BASE_Pot!$A$2:$B$321,2,FALSE),"0.000"),"")</f>
        <v>1.000</v>
      </c>
      <c r="H431" s="11" t="str">
        <f>IF($B431&lt;&gt;"",TEXT(1-manut_MP($B431,H$1,H$2)/VLOOKUP(VALUE(MID($A431,5,3)),BASE_Pot!$A$2:$B$321,2,FALSE),"0.000"),"")</f>
        <v>1.000</v>
      </c>
      <c r="I431" s="11" t="str">
        <f>IF($B431&lt;&gt;"",TEXT(1-manut_MP($B431,I$1,I$2)/VLOOKUP(VALUE(MID($A431,5,3)),BASE_Pot!$A$2:$B$321,2,FALSE),"0.000"),"")</f>
        <v>1.000</v>
      </c>
      <c r="J431" t="str">
        <f>""</f>
        <v/>
      </c>
      <c r="L431" t="str">
        <f t="shared" si="16"/>
        <v>MP  126  1.0001.0001.0001.0001.0001.0001.000</v>
      </c>
    </row>
    <row r="432" spans="1:12" x14ac:dyDescent="0.25">
      <c r="A432" t="s">
        <v>490</v>
      </c>
      <c r="B432" t="str">
        <f t="shared" si="15"/>
        <v/>
      </c>
      <c r="C432" s="11" t="str">
        <f>IF($B432&lt;&gt;"",TEXT(1-manut_MP($B432,C$1,C$2)/VLOOKUP(VALUE(MID($A432,5,3)),BASE_Pot!$A$2:$B$321,2,FALSE),"0.000"),"")</f>
        <v/>
      </c>
      <c r="D432" s="11" t="str">
        <f>IF($B432&lt;&gt;"",TEXT(1-manut_MP($B432,D$1,D$2)/VLOOKUP(VALUE(MID($A432,5,3)),BASE_Pot!$A$2:$B$321,2,FALSE),"0.000"),"")</f>
        <v/>
      </c>
      <c r="E432" s="11" t="str">
        <f>IF($B432&lt;&gt;"",TEXT(1-manut_MP($B432,E$1,E$2)/VLOOKUP(VALUE(MID($A432,5,3)),BASE_Pot!$A$2:$B$321,2,FALSE),"0.000"),"")</f>
        <v/>
      </c>
      <c r="F432" s="11" t="str">
        <f>IF($B432&lt;&gt;"",TEXT(1-manut_MP($B432,F$1,F$2)/VLOOKUP(VALUE(MID($A432,5,3)),BASE_Pot!$A$2:$B$321,2,FALSE),"0.000"),"")</f>
        <v/>
      </c>
      <c r="G432" s="11" t="str">
        <f>IF($B432&lt;&gt;"",TEXT(1-manut_MP($B432,G$1,G$2)/VLOOKUP(VALUE(MID($A432,5,3)),BASE_Pot!$A$2:$B$321,2,FALSE),"0.000"),"")</f>
        <v/>
      </c>
      <c r="H432" s="11" t="str">
        <f>IF($B432&lt;&gt;"",TEXT(1-manut_MP($B432,H$1,H$2)/VLOOKUP(VALUE(MID($A432,5,3)),BASE_Pot!$A$2:$B$321,2,FALSE),"0.000"),"")</f>
        <v/>
      </c>
      <c r="I432" s="11" t="str">
        <f>IF($B432&lt;&gt;"",TEXT(1-manut_MP($B432,I$1,I$2)/VLOOKUP(VALUE(MID($A432,5,3)),BASE_Pot!$A$2:$B$321,2,FALSE),"0.000"),"")</f>
        <v/>
      </c>
      <c r="J432" t="str">
        <f>""</f>
        <v/>
      </c>
      <c r="L432" t="str">
        <f t="shared" si="16"/>
        <v>&amp;SOBRAGI</v>
      </c>
    </row>
    <row r="433" spans="1:12" x14ac:dyDescent="0.25">
      <c r="A433" t="s">
        <v>635</v>
      </c>
      <c r="B433" t="str">
        <f t="shared" si="15"/>
        <v>127-H</v>
      </c>
      <c r="C433" s="11" t="str">
        <f>IF($B433&lt;&gt;"",TEXT(1-manut_MP($B433,C$1,C$2)/VLOOKUP(VALUE(MID($A433,5,3)),BASE_Pot!$A$2:$B$321,2,FALSE),"0.000"),"")</f>
        <v>1.000</v>
      </c>
      <c r="D433" s="11" t="str">
        <f>IF($B433&lt;&gt;"",TEXT(1-manut_MP($B433,D$1,D$2)/VLOOKUP(VALUE(MID($A433,5,3)),BASE_Pot!$A$2:$B$321,2,FALSE),"0.000"),"")</f>
        <v>1.000</v>
      </c>
      <c r="E433" s="11" t="str">
        <f>IF($B433&lt;&gt;"",TEXT(1-manut_MP($B433,E$1,E$2)/VLOOKUP(VALUE(MID($A433,5,3)),BASE_Pot!$A$2:$B$321,2,FALSE),"0.000"),"")</f>
        <v>1.000</v>
      </c>
      <c r="F433" s="11" t="str">
        <f>IF($B433&lt;&gt;"",TEXT(1-manut_MP($B433,F$1,F$2)/VLOOKUP(VALUE(MID($A433,5,3)),BASE_Pot!$A$2:$B$321,2,FALSE),"0.000"),"")</f>
        <v>1.000</v>
      </c>
      <c r="G433" s="11" t="str">
        <f>IF($B433&lt;&gt;"",TEXT(1-manut_MP($B433,G$1,G$2)/VLOOKUP(VALUE(MID($A433,5,3)),BASE_Pot!$A$2:$B$321,2,FALSE),"0.000"),"")</f>
        <v>1.000</v>
      </c>
      <c r="H433" s="11" t="str">
        <f>IF($B433&lt;&gt;"",TEXT(1-manut_MP($B433,H$1,H$2)/VLOOKUP(VALUE(MID($A433,5,3)),BASE_Pot!$A$2:$B$321,2,FALSE),"0.000"),"")</f>
        <v>1.000</v>
      </c>
      <c r="I433" s="11" t="str">
        <f>IF($B433&lt;&gt;"",TEXT(1-manut_MP($B433,I$1,I$2)/VLOOKUP(VALUE(MID($A433,5,3)),BASE_Pot!$A$2:$B$321,2,FALSE),"0.000"),"")</f>
        <v>1.000</v>
      </c>
      <c r="J433" t="str">
        <f>""</f>
        <v/>
      </c>
      <c r="L433" t="str">
        <f t="shared" si="16"/>
        <v>MP  127  1.0001.0001.0001.0001.0001.0001.000</v>
      </c>
    </row>
    <row r="434" spans="1:12" x14ac:dyDescent="0.25">
      <c r="A434" t="s">
        <v>304</v>
      </c>
      <c r="B434" t="str">
        <f t="shared" si="15"/>
        <v/>
      </c>
      <c r="C434" s="11" t="str">
        <f>IF($B434&lt;&gt;"",TEXT(1-manut_MP($B434,C$1,C$2)/VLOOKUP(VALUE(MID($A434,5,3)),BASE_Pot!$A$2:$B$321,2,FALSE),"0.000"),"")</f>
        <v/>
      </c>
      <c r="D434" s="11" t="str">
        <f>IF($B434&lt;&gt;"",TEXT(1-manut_MP($B434,D$1,D$2)/VLOOKUP(VALUE(MID($A434,5,3)),BASE_Pot!$A$2:$B$321,2,FALSE),"0.000"),"")</f>
        <v/>
      </c>
      <c r="E434" s="11" t="str">
        <f>IF($B434&lt;&gt;"",TEXT(1-manut_MP($B434,E$1,E$2)/VLOOKUP(VALUE(MID($A434,5,3)),BASE_Pot!$A$2:$B$321,2,FALSE),"0.000"),"")</f>
        <v/>
      </c>
      <c r="F434" s="11" t="str">
        <f>IF($B434&lt;&gt;"",TEXT(1-manut_MP($B434,F$1,F$2)/VLOOKUP(VALUE(MID($A434,5,3)),BASE_Pot!$A$2:$B$321,2,FALSE),"0.000"),"")</f>
        <v/>
      </c>
      <c r="G434" s="11" t="str">
        <f>IF($B434&lt;&gt;"",TEXT(1-manut_MP($B434,G$1,G$2)/VLOOKUP(VALUE(MID($A434,5,3)),BASE_Pot!$A$2:$B$321,2,FALSE),"0.000"),"")</f>
        <v/>
      </c>
      <c r="H434" s="11" t="str">
        <f>IF($B434&lt;&gt;"",TEXT(1-manut_MP($B434,H$1,H$2)/VLOOKUP(VALUE(MID($A434,5,3)),BASE_Pot!$A$2:$B$321,2,FALSE),"0.000"),"")</f>
        <v/>
      </c>
      <c r="I434" s="11" t="str">
        <f>IF($B434&lt;&gt;"",TEXT(1-manut_MP($B434,I$1,I$2)/VLOOKUP(VALUE(MID($A434,5,3)),BASE_Pot!$A$2:$B$321,2,FALSE),"0.000"),"")</f>
        <v/>
      </c>
      <c r="J434" t="str">
        <f>""</f>
        <v/>
      </c>
      <c r="L434" t="str">
        <f t="shared" si="16"/>
        <v>&amp;.................................</v>
      </c>
    </row>
    <row r="435" spans="1:12" x14ac:dyDescent="0.25">
      <c r="A435" t="s">
        <v>491</v>
      </c>
      <c r="B435" t="str">
        <f t="shared" si="15"/>
        <v/>
      </c>
      <c r="C435" s="11" t="str">
        <f>IF($B435&lt;&gt;"",TEXT(1-manut_MP($B435,C$1,C$2)/VLOOKUP(VALUE(MID($A435,5,3)),BASE_Pot!$A$2:$B$321,2,FALSE),"0.000"),"")</f>
        <v/>
      </c>
      <c r="D435" s="11" t="str">
        <f>IF($B435&lt;&gt;"",TEXT(1-manut_MP($B435,D$1,D$2)/VLOOKUP(VALUE(MID($A435,5,3)),BASE_Pot!$A$2:$B$321,2,FALSE),"0.000"),"")</f>
        <v/>
      </c>
      <c r="E435" s="11" t="str">
        <f>IF($B435&lt;&gt;"",TEXT(1-manut_MP($B435,E$1,E$2)/VLOOKUP(VALUE(MID($A435,5,3)),BASE_Pot!$A$2:$B$321,2,FALSE),"0.000"),"")</f>
        <v/>
      </c>
      <c r="F435" s="11" t="str">
        <f>IF($B435&lt;&gt;"",TEXT(1-manut_MP($B435,F$1,F$2)/VLOOKUP(VALUE(MID($A435,5,3)),BASE_Pot!$A$2:$B$321,2,FALSE),"0.000"),"")</f>
        <v/>
      </c>
      <c r="G435" s="11" t="str">
        <f>IF($B435&lt;&gt;"",TEXT(1-manut_MP($B435,G$1,G$2)/VLOOKUP(VALUE(MID($A435,5,3)),BASE_Pot!$A$2:$B$321,2,FALSE),"0.000"),"")</f>
        <v/>
      </c>
      <c r="H435" s="11" t="str">
        <f>IF($B435&lt;&gt;"",TEXT(1-manut_MP($B435,H$1,H$2)/VLOOKUP(VALUE(MID($A435,5,3)),BASE_Pot!$A$2:$B$321,2,FALSE),"0.000"),"")</f>
        <v/>
      </c>
      <c r="I435" s="11" t="str">
        <f>IF($B435&lt;&gt;"",TEXT(1-manut_MP($B435,I$1,I$2)/VLOOKUP(VALUE(MID($A435,5,3)),BASE_Pot!$A$2:$B$321,2,FALSE),"0.000"),"")</f>
        <v/>
      </c>
      <c r="J435" t="str">
        <f>""</f>
        <v/>
      </c>
      <c r="L435" t="str">
        <f t="shared" si="16"/>
        <v>&amp;         STO ANT JARI</v>
      </c>
    </row>
    <row r="436" spans="1:12" x14ac:dyDescent="0.25">
      <c r="A436" t="s">
        <v>304</v>
      </c>
      <c r="B436" t="str">
        <f t="shared" si="15"/>
        <v/>
      </c>
      <c r="C436" s="11" t="str">
        <f>IF($B436&lt;&gt;"",TEXT(1-manut_MP($B436,C$1,C$2)/VLOOKUP(VALUE(MID($A436,5,3)),BASE_Pot!$A$2:$B$321,2,FALSE),"0.000"),"")</f>
        <v/>
      </c>
      <c r="D436" s="11" t="str">
        <f>IF($B436&lt;&gt;"",TEXT(1-manut_MP($B436,D$1,D$2)/VLOOKUP(VALUE(MID($A436,5,3)),BASE_Pot!$A$2:$B$321,2,FALSE),"0.000"),"")</f>
        <v/>
      </c>
      <c r="E436" s="11" t="str">
        <f>IF($B436&lt;&gt;"",TEXT(1-manut_MP($B436,E$1,E$2)/VLOOKUP(VALUE(MID($A436,5,3)),BASE_Pot!$A$2:$B$321,2,FALSE),"0.000"),"")</f>
        <v/>
      </c>
      <c r="F436" s="11" t="str">
        <f>IF($B436&lt;&gt;"",TEXT(1-manut_MP($B436,F$1,F$2)/VLOOKUP(VALUE(MID($A436,5,3)),BASE_Pot!$A$2:$B$321,2,FALSE),"0.000"),"")</f>
        <v/>
      </c>
      <c r="G436" s="11" t="str">
        <f>IF($B436&lt;&gt;"",TEXT(1-manut_MP($B436,G$1,G$2)/VLOOKUP(VALUE(MID($A436,5,3)),BASE_Pot!$A$2:$B$321,2,FALSE),"0.000"),"")</f>
        <v/>
      </c>
      <c r="H436" s="11" t="str">
        <f>IF($B436&lt;&gt;"",TEXT(1-manut_MP($B436,H$1,H$2)/VLOOKUP(VALUE(MID($A436,5,3)),BASE_Pot!$A$2:$B$321,2,FALSE),"0.000"),"")</f>
        <v/>
      </c>
      <c r="I436" s="11" t="str">
        <f>IF($B436&lt;&gt;"",TEXT(1-manut_MP($B436,I$1,I$2)/VLOOKUP(VALUE(MID($A436,5,3)),BASE_Pot!$A$2:$B$321,2,FALSE),"0.000"),"")</f>
        <v/>
      </c>
      <c r="J436" t="str">
        <f>""</f>
        <v/>
      </c>
      <c r="L436" t="str">
        <f t="shared" si="16"/>
        <v>&amp;.................................</v>
      </c>
    </row>
    <row r="437" spans="1:12" x14ac:dyDescent="0.25">
      <c r="A437" t="s">
        <v>492</v>
      </c>
      <c r="B437" t="str">
        <f t="shared" si="15"/>
        <v/>
      </c>
      <c r="C437" s="11" t="str">
        <f>IF($B437&lt;&gt;"",TEXT(1-manut_MP($B437,C$1,C$2)/VLOOKUP(VALUE(MID($A437,5,3)),BASE_Pot!$A$2:$B$321,2,FALSE),"0.000"),"")</f>
        <v/>
      </c>
      <c r="D437" s="11" t="str">
        <f>IF($B437&lt;&gt;"",TEXT(1-manut_MP($B437,D$1,D$2)/VLOOKUP(VALUE(MID($A437,5,3)),BASE_Pot!$A$2:$B$321,2,FALSE),"0.000"),"")</f>
        <v/>
      </c>
      <c r="E437" s="11" t="str">
        <f>IF($B437&lt;&gt;"",TEXT(1-manut_MP($B437,E$1,E$2)/VLOOKUP(VALUE(MID($A437,5,3)),BASE_Pot!$A$2:$B$321,2,FALSE),"0.000"),"")</f>
        <v/>
      </c>
      <c r="F437" s="11" t="str">
        <f>IF($B437&lt;&gt;"",TEXT(1-manut_MP($B437,F$1,F$2)/VLOOKUP(VALUE(MID($A437,5,3)),BASE_Pot!$A$2:$B$321,2,FALSE),"0.000"),"")</f>
        <v/>
      </c>
      <c r="G437" s="11" t="str">
        <f>IF($B437&lt;&gt;"",TEXT(1-manut_MP($B437,G$1,G$2)/VLOOKUP(VALUE(MID($A437,5,3)),BASE_Pot!$A$2:$B$321,2,FALSE),"0.000"),"")</f>
        <v/>
      </c>
      <c r="H437" s="11" t="str">
        <f>IF($B437&lt;&gt;"",TEXT(1-manut_MP($B437,H$1,H$2)/VLOOKUP(VALUE(MID($A437,5,3)),BASE_Pot!$A$2:$B$321,2,FALSE),"0.000"),"")</f>
        <v/>
      </c>
      <c r="I437" s="11" t="str">
        <f>IF($B437&lt;&gt;"",TEXT(1-manut_MP($B437,I$1,I$2)/VLOOKUP(VALUE(MID($A437,5,3)),BASE_Pot!$A$2:$B$321,2,FALSE),"0.000"),"")</f>
        <v/>
      </c>
      <c r="J437" t="str">
        <f>""</f>
        <v/>
      </c>
      <c r="L437" t="str">
        <f t="shared" si="16"/>
        <v>&amp;STO ANT JARI</v>
      </c>
    </row>
    <row r="438" spans="1:12" x14ac:dyDescent="0.25">
      <c r="A438" t="s">
        <v>636</v>
      </c>
      <c r="B438" t="str">
        <f t="shared" si="15"/>
        <v>286-H</v>
      </c>
      <c r="C438" s="11" t="str">
        <f>IF($B438&lt;&gt;"",TEXT(1-manut_MP($B438,C$1,C$2)/VLOOKUP(VALUE(MID($A438,5,3)),BASE_Pot!$A$2:$B$321,2,FALSE),"0.000"),"")</f>
        <v>1.000</v>
      </c>
      <c r="D438" s="11" t="str">
        <f>IF($B438&lt;&gt;"",TEXT(1-manut_MP($B438,D$1,D$2)/VLOOKUP(VALUE(MID($A438,5,3)),BASE_Pot!$A$2:$B$321,2,FALSE),"0.000"),"")</f>
        <v>1.000</v>
      </c>
      <c r="E438" s="11" t="str">
        <f>IF($B438&lt;&gt;"",TEXT(1-manut_MP($B438,E$1,E$2)/VLOOKUP(VALUE(MID($A438,5,3)),BASE_Pot!$A$2:$B$321,2,FALSE),"0.000"),"")</f>
        <v>1.000</v>
      </c>
      <c r="F438" s="11" t="str">
        <f>IF($B438&lt;&gt;"",TEXT(1-manut_MP($B438,F$1,F$2)/VLOOKUP(VALUE(MID($A438,5,3)),BASE_Pot!$A$2:$B$321,2,FALSE),"0.000"),"")</f>
        <v>1.000</v>
      </c>
      <c r="G438" s="11" t="str">
        <f>IF($B438&lt;&gt;"",TEXT(1-manut_MP($B438,G$1,G$2)/VLOOKUP(VALUE(MID($A438,5,3)),BASE_Pot!$A$2:$B$321,2,FALSE),"0.000"),"")</f>
        <v>1.000</v>
      </c>
      <c r="H438" s="11" t="str">
        <f>IF($B438&lt;&gt;"",TEXT(1-manut_MP($B438,H$1,H$2)/VLOOKUP(VALUE(MID($A438,5,3)),BASE_Pot!$A$2:$B$321,2,FALSE),"0.000"),"")</f>
        <v>1.000</v>
      </c>
      <c r="I438" s="11" t="str">
        <f>IF($B438&lt;&gt;"",TEXT(1-manut_MP($B438,I$1,I$2)/VLOOKUP(VALUE(MID($A438,5,3)),BASE_Pot!$A$2:$B$321,2,FALSE),"0.000"),"")</f>
        <v>1.000</v>
      </c>
      <c r="J438" t="str">
        <f>""</f>
        <v/>
      </c>
      <c r="L438" t="str">
        <f t="shared" si="16"/>
        <v>MP  286  1.0001.0001.0001.0001.0001.0001.000</v>
      </c>
    </row>
    <row r="439" spans="1:12" x14ac:dyDescent="0.25">
      <c r="A439" t="s">
        <v>304</v>
      </c>
      <c r="B439" t="str">
        <f t="shared" si="15"/>
        <v/>
      </c>
      <c r="C439" s="11" t="str">
        <f>IF($B439&lt;&gt;"",TEXT(1-manut_MP($B439,C$1,C$2)/VLOOKUP(VALUE(MID($A439,5,3)),BASE_Pot!$A$2:$B$321,2,FALSE),"0.000"),"")</f>
        <v/>
      </c>
      <c r="D439" s="11" t="str">
        <f>IF($B439&lt;&gt;"",TEXT(1-manut_MP($B439,D$1,D$2)/VLOOKUP(VALUE(MID($A439,5,3)),BASE_Pot!$A$2:$B$321,2,FALSE),"0.000"),"")</f>
        <v/>
      </c>
      <c r="E439" s="11" t="str">
        <f>IF($B439&lt;&gt;"",TEXT(1-manut_MP($B439,E$1,E$2)/VLOOKUP(VALUE(MID($A439,5,3)),BASE_Pot!$A$2:$B$321,2,FALSE),"0.000"),"")</f>
        <v/>
      </c>
      <c r="F439" s="11" t="str">
        <f>IF($B439&lt;&gt;"",TEXT(1-manut_MP($B439,F$1,F$2)/VLOOKUP(VALUE(MID($A439,5,3)),BASE_Pot!$A$2:$B$321,2,FALSE),"0.000"),"")</f>
        <v/>
      </c>
      <c r="G439" s="11" t="str">
        <f>IF($B439&lt;&gt;"",TEXT(1-manut_MP($B439,G$1,G$2)/VLOOKUP(VALUE(MID($A439,5,3)),BASE_Pot!$A$2:$B$321,2,FALSE),"0.000"),"")</f>
        <v/>
      </c>
      <c r="H439" s="11" t="str">
        <f>IF($B439&lt;&gt;"",TEXT(1-manut_MP($B439,H$1,H$2)/VLOOKUP(VALUE(MID($A439,5,3)),BASE_Pot!$A$2:$B$321,2,FALSE),"0.000"),"")</f>
        <v/>
      </c>
      <c r="I439" s="11" t="str">
        <f>IF($B439&lt;&gt;"",TEXT(1-manut_MP($B439,I$1,I$2)/VLOOKUP(VALUE(MID($A439,5,3)),BASE_Pot!$A$2:$B$321,2,FALSE),"0.000"),"")</f>
        <v/>
      </c>
      <c r="J439" t="str">
        <f>""</f>
        <v/>
      </c>
      <c r="L439" t="str">
        <f t="shared" si="16"/>
        <v>&amp;.................................</v>
      </c>
    </row>
    <row r="440" spans="1:12" x14ac:dyDescent="0.25">
      <c r="A440" t="s">
        <v>493</v>
      </c>
      <c r="B440" t="str">
        <f t="shared" si="15"/>
        <v/>
      </c>
      <c r="C440" s="11" t="str">
        <f>IF($B440&lt;&gt;"",TEXT(1-manut_MP($B440,C$1,C$2)/VLOOKUP(VALUE(MID($A440,5,3)),BASE_Pot!$A$2:$B$321,2,FALSE),"0.000"),"")</f>
        <v/>
      </c>
      <c r="D440" s="11" t="str">
        <f>IF($B440&lt;&gt;"",TEXT(1-manut_MP($B440,D$1,D$2)/VLOOKUP(VALUE(MID($A440,5,3)),BASE_Pot!$A$2:$B$321,2,FALSE),"0.000"),"")</f>
        <v/>
      </c>
      <c r="E440" s="11" t="str">
        <f>IF($B440&lt;&gt;"",TEXT(1-manut_MP($B440,E$1,E$2)/VLOOKUP(VALUE(MID($A440,5,3)),BASE_Pot!$A$2:$B$321,2,FALSE),"0.000"),"")</f>
        <v/>
      </c>
      <c r="F440" s="11" t="str">
        <f>IF($B440&lt;&gt;"",TEXT(1-manut_MP($B440,F$1,F$2)/VLOOKUP(VALUE(MID($A440,5,3)),BASE_Pot!$A$2:$B$321,2,FALSE),"0.000"),"")</f>
        <v/>
      </c>
      <c r="G440" s="11" t="str">
        <f>IF($B440&lt;&gt;"",TEXT(1-manut_MP($B440,G$1,G$2)/VLOOKUP(VALUE(MID($A440,5,3)),BASE_Pot!$A$2:$B$321,2,FALSE),"0.000"),"")</f>
        <v/>
      </c>
      <c r="H440" s="11" t="str">
        <f>IF($B440&lt;&gt;"",TEXT(1-manut_MP($B440,H$1,H$2)/VLOOKUP(VALUE(MID($A440,5,3)),BASE_Pot!$A$2:$B$321,2,FALSE),"0.000"),"")</f>
        <v/>
      </c>
      <c r="I440" s="11" t="str">
        <f>IF($B440&lt;&gt;"",TEXT(1-manut_MP($B440,I$1,I$2)/VLOOKUP(VALUE(MID($A440,5,3)),BASE_Pot!$A$2:$B$321,2,FALSE),"0.000"),"")</f>
        <v/>
      </c>
      <c r="J440" t="str">
        <f>""</f>
        <v/>
      </c>
      <c r="L440" t="str">
        <f t="shared" si="16"/>
        <v>&amp;         AGUAS PEDRA</v>
      </c>
    </row>
    <row r="441" spans="1:12" x14ac:dyDescent="0.25">
      <c r="A441" t="s">
        <v>304</v>
      </c>
      <c r="B441" t="str">
        <f t="shared" si="15"/>
        <v/>
      </c>
      <c r="C441" s="11" t="str">
        <f>IF($B441&lt;&gt;"",TEXT(1-manut_MP($B441,C$1,C$2)/VLOOKUP(VALUE(MID($A441,5,3)),BASE_Pot!$A$2:$B$321,2,FALSE),"0.000"),"")</f>
        <v/>
      </c>
      <c r="D441" s="11" t="str">
        <f>IF($B441&lt;&gt;"",TEXT(1-manut_MP($B441,D$1,D$2)/VLOOKUP(VALUE(MID($A441,5,3)),BASE_Pot!$A$2:$B$321,2,FALSE),"0.000"),"")</f>
        <v/>
      </c>
      <c r="E441" s="11" t="str">
        <f>IF($B441&lt;&gt;"",TEXT(1-manut_MP($B441,E$1,E$2)/VLOOKUP(VALUE(MID($A441,5,3)),BASE_Pot!$A$2:$B$321,2,FALSE),"0.000"),"")</f>
        <v/>
      </c>
      <c r="F441" s="11" t="str">
        <f>IF($B441&lt;&gt;"",TEXT(1-manut_MP($B441,F$1,F$2)/VLOOKUP(VALUE(MID($A441,5,3)),BASE_Pot!$A$2:$B$321,2,FALSE),"0.000"),"")</f>
        <v/>
      </c>
      <c r="G441" s="11" t="str">
        <f>IF($B441&lt;&gt;"",TEXT(1-manut_MP($B441,G$1,G$2)/VLOOKUP(VALUE(MID($A441,5,3)),BASE_Pot!$A$2:$B$321,2,FALSE),"0.000"),"")</f>
        <v/>
      </c>
      <c r="H441" s="11" t="str">
        <f>IF($B441&lt;&gt;"",TEXT(1-manut_MP($B441,H$1,H$2)/VLOOKUP(VALUE(MID($A441,5,3)),BASE_Pot!$A$2:$B$321,2,FALSE),"0.000"),"")</f>
        <v/>
      </c>
      <c r="I441" s="11" t="str">
        <f>IF($B441&lt;&gt;"",TEXT(1-manut_MP($B441,I$1,I$2)/VLOOKUP(VALUE(MID($A441,5,3)),BASE_Pot!$A$2:$B$321,2,FALSE),"0.000"),"")</f>
        <v/>
      </c>
      <c r="J441" t="str">
        <f>""</f>
        <v/>
      </c>
      <c r="L441" t="str">
        <f t="shared" si="16"/>
        <v>&amp;.................................</v>
      </c>
    </row>
    <row r="442" spans="1:12" x14ac:dyDescent="0.25">
      <c r="A442" t="s">
        <v>494</v>
      </c>
      <c r="B442" t="str">
        <f t="shared" si="15"/>
        <v/>
      </c>
      <c r="C442" s="11" t="str">
        <f>IF($B442&lt;&gt;"",TEXT(1-manut_MP($B442,C$1,C$2)/VLOOKUP(VALUE(MID($A442,5,3)),BASE_Pot!$A$2:$B$321,2,FALSE),"0.000"),"")</f>
        <v/>
      </c>
      <c r="D442" s="11" t="str">
        <f>IF($B442&lt;&gt;"",TEXT(1-manut_MP($B442,D$1,D$2)/VLOOKUP(VALUE(MID($A442,5,3)),BASE_Pot!$A$2:$B$321,2,FALSE),"0.000"),"")</f>
        <v/>
      </c>
      <c r="E442" s="11" t="str">
        <f>IF($B442&lt;&gt;"",TEXT(1-manut_MP($B442,E$1,E$2)/VLOOKUP(VALUE(MID($A442,5,3)),BASE_Pot!$A$2:$B$321,2,FALSE),"0.000"),"")</f>
        <v/>
      </c>
      <c r="F442" s="11" t="str">
        <f>IF($B442&lt;&gt;"",TEXT(1-manut_MP($B442,F$1,F$2)/VLOOKUP(VALUE(MID($A442,5,3)),BASE_Pot!$A$2:$B$321,2,FALSE),"0.000"),"")</f>
        <v/>
      </c>
      <c r="G442" s="11" t="str">
        <f>IF($B442&lt;&gt;"",TEXT(1-manut_MP($B442,G$1,G$2)/VLOOKUP(VALUE(MID($A442,5,3)),BASE_Pot!$A$2:$B$321,2,FALSE),"0.000"),"")</f>
        <v/>
      </c>
      <c r="H442" s="11" t="str">
        <f>IF($B442&lt;&gt;"",TEXT(1-manut_MP($B442,H$1,H$2)/VLOOKUP(VALUE(MID($A442,5,3)),BASE_Pot!$A$2:$B$321,2,FALSE),"0.000"),"")</f>
        <v/>
      </c>
      <c r="I442" s="11" t="str">
        <f>IF($B442&lt;&gt;"",TEXT(1-manut_MP($B442,I$1,I$2)/VLOOKUP(VALUE(MID($A442,5,3)),BASE_Pot!$A$2:$B$321,2,FALSE),"0.000"),"")</f>
        <v/>
      </c>
      <c r="J442" t="str">
        <f>""</f>
        <v/>
      </c>
      <c r="L442" t="str">
        <f t="shared" si="16"/>
        <v>&amp;DARDANELOS</v>
      </c>
    </row>
    <row r="443" spans="1:12" x14ac:dyDescent="0.25">
      <c r="A443" t="s">
        <v>637</v>
      </c>
      <c r="B443" t="str">
        <f t="shared" si="15"/>
        <v>310-H</v>
      </c>
      <c r="C443" s="11" t="str">
        <f>IF($B443&lt;&gt;"",TEXT(1-manut_MP($B443,C$1,C$2)/VLOOKUP(VALUE(MID($A443,5,3)),BASE_Pot!$A$2:$B$321,2,FALSE),"0.000"),"")</f>
        <v>1.000</v>
      </c>
      <c r="D443" s="11" t="str">
        <f>IF($B443&lt;&gt;"",TEXT(1-manut_MP($B443,D$1,D$2)/VLOOKUP(VALUE(MID($A443,5,3)),BASE_Pot!$A$2:$B$321,2,FALSE),"0.000"),"")</f>
        <v>1.000</v>
      </c>
      <c r="E443" s="11" t="str">
        <f>IF($B443&lt;&gt;"",TEXT(1-manut_MP($B443,E$1,E$2)/VLOOKUP(VALUE(MID($A443,5,3)),BASE_Pot!$A$2:$B$321,2,FALSE),"0.000"),"")</f>
        <v>1.000</v>
      </c>
      <c r="F443" s="11" t="str">
        <f>IF($B443&lt;&gt;"",TEXT(1-manut_MP($B443,F$1,F$2)/VLOOKUP(VALUE(MID($A443,5,3)),BASE_Pot!$A$2:$B$321,2,FALSE),"0.000"),"")</f>
        <v>1.000</v>
      </c>
      <c r="G443" s="11" t="str">
        <f>IF($B443&lt;&gt;"",TEXT(1-manut_MP($B443,G$1,G$2)/VLOOKUP(VALUE(MID($A443,5,3)),BASE_Pot!$A$2:$B$321,2,FALSE),"0.000"),"")</f>
        <v>1.000</v>
      </c>
      <c r="H443" s="11" t="str">
        <f>IF($B443&lt;&gt;"",TEXT(1-manut_MP($B443,H$1,H$2)/VLOOKUP(VALUE(MID($A443,5,3)),BASE_Pot!$A$2:$B$321,2,FALSE),"0.000"),"")</f>
        <v>1.000</v>
      </c>
      <c r="I443" s="11" t="str">
        <f>IF($B443&lt;&gt;"",TEXT(1-manut_MP($B443,I$1,I$2)/VLOOKUP(VALUE(MID($A443,5,3)),BASE_Pot!$A$2:$B$321,2,FALSE),"0.000"),"")</f>
        <v>1.000</v>
      </c>
      <c r="J443" t="str">
        <f>""</f>
        <v/>
      </c>
      <c r="L443" t="str">
        <f t="shared" si="16"/>
        <v>MP  310  1.0001.0001.0001.0001.0001.0001.000</v>
      </c>
    </row>
    <row r="444" spans="1:12" x14ac:dyDescent="0.25">
      <c r="A444" t="s">
        <v>304</v>
      </c>
      <c r="B444" t="str">
        <f t="shared" si="15"/>
        <v/>
      </c>
      <c r="C444" s="11" t="str">
        <f>IF($B444&lt;&gt;"",TEXT(1-manut_MP($B444,C$1,C$2)/VLOOKUP(VALUE(MID($A444,5,3)),BASE_Pot!$A$2:$B$321,2,FALSE),"0.000"),"")</f>
        <v/>
      </c>
      <c r="D444" s="11" t="str">
        <f>IF($B444&lt;&gt;"",TEXT(1-manut_MP($B444,D$1,D$2)/VLOOKUP(VALUE(MID($A444,5,3)),BASE_Pot!$A$2:$B$321,2,FALSE),"0.000"),"")</f>
        <v/>
      </c>
      <c r="E444" s="11" t="str">
        <f>IF($B444&lt;&gt;"",TEXT(1-manut_MP($B444,E$1,E$2)/VLOOKUP(VALUE(MID($A444,5,3)),BASE_Pot!$A$2:$B$321,2,FALSE),"0.000"),"")</f>
        <v/>
      </c>
      <c r="F444" s="11" t="str">
        <f>IF($B444&lt;&gt;"",TEXT(1-manut_MP($B444,F$1,F$2)/VLOOKUP(VALUE(MID($A444,5,3)),BASE_Pot!$A$2:$B$321,2,FALSE),"0.000"),"")</f>
        <v/>
      </c>
      <c r="G444" s="11" t="str">
        <f>IF($B444&lt;&gt;"",TEXT(1-manut_MP($B444,G$1,G$2)/VLOOKUP(VALUE(MID($A444,5,3)),BASE_Pot!$A$2:$B$321,2,FALSE),"0.000"),"")</f>
        <v/>
      </c>
      <c r="H444" s="11" t="str">
        <f>IF($B444&lt;&gt;"",TEXT(1-manut_MP($B444,H$1,H$2)/VLOOKUP(VALUE(MID($A444,5,3)),BASE_Pot!$A$2:$B$321,2,FALSE),"0.000"),"")</f>
        <v/>
      </c>
      <c r="I444" s="11" t="str">
        <f>IF($B444&lt;&gt;"",TEXT(1-manut_MP($B444,I$1,I$2)/VLOOKUP(VALUE(MID($A444,5,3)),BASE_Pot!$A$2:$B$321,2,FALSE),"0.000"),"")</f>
        <v/>
      </c>
      <c r="J444" t="str">
        <f>""</f>
        <v/>
      </c>
      <c r="L444" t="str">
        <f t="shared" si="16"/>
        <v>&amp;.................................</v>
      </c>
    </row>
    <row r="445" spans="1:12" x14ac:dyDescent="0.25">
      <c r="A445" t="s">
        <v>495</v>
      </c>
      <c r="B445" t="str">
        <f t="shared" si="15"/>
        <v/>
      </c>
      <c r="C445" s="11" t="str">
        <f>IF($B445&lt;&gt;"",TEXT(1-manut_MP($B445,C$1,C$2)/VLOOKUP(VALUE(MID($A445,5,3)),BASE_Pot!$A$2:$B$321,2,FALSE),"0.000"),"")</f>
        <v/>
      </c>
      <c r="D445" s="11" t="str">
        <f>IF($B445&lt;&gt;"",TEXT(1-manut_MP($B445,D$1,D$2)/VLOOKUP(VALUE(MID($A445,5,3)),BASE_Pot!$A$2:$B$321,2,FALSE),"0.000"),"")</f>
        <v/>
      </c>
      <c r="E445" s="11" t="str">
        <f>IF($B445&lt;&gt;"",TEXT(1-manut_MP($B445,E$1,E$2)/VLOOKUP(VALUE(MID($A445,5,3)),BASE_Pot!$A$2:$B$321,2,FALSE),"0.000"),"")</f>
        <v/>
      </c>
      <c r="F445" s="11" t="str">
        <f>IF($B445&lt;&gt;"",TEXT(1-manut_MP($B445,F$1,F$2)/VLOOKUP(VALUE(MID($A445,5,3)),BASE_Pot!$A$2:$B$321,2,FALSE),"0.000"),"")</f>
        <v/>
      </c>
      <c r="G445" s="11" t="str">
        <f>IF($B445&lt;&gt;"",TEXT(1-manut_MP($B445,G$1,G$2)/VLOOKUP(VALUE(MID($A445,5,3)),BASE_Pot!$A$2:$B$321,2,FALSE),"0.000"),"")</f>
        <v/>
      </c>
      <c r="H445" s="11" t="str">
        <f>IF($B445&lt;&gt;"",TEXT(1-manut_MP($B445,H$1,H$2)/VLOOKUP(VALUE(MID($A445,5,3)),BASE_Pot!$A$2:$B$321,2,FALSE),"0.000"),"")</f>
        <v/>
      </c>
      <c r="I445" s="11" t="str">
        <f>IF($B445&lt;&gt;"",TEXT(1-manut_MP($B445,I$1,I$2)/VLOOKUP(VALUE(MID($A445,5,3)),BASE_Pot!$A$2:$B$321,2,FALSE),"0.000"),"")</f>
        <v/>
      </c>
      <c r="J445" t="str">
        <f>""</f>
        <v/>
      </c>
      <c r="L445" t="str">
        <f t="shared" si="16"/>
        <v>&amp;         ESBRA</v>
      </c>
    </row>
    <row r="446" spans="1:12" x14ac:dyDescent="0.25">
      <c r="A446" t="s">
        <v>304</v>
      </c>
      <c r="B446" t="str">
        <f t="shared" si="15"/>
        <v/>
      </c>
      <c r="C446" s="11" t="str">
        <f>IF($B446&lt;&gt;"",TEXT(1-manut_MP($B446,C$1,C$2)/VLOOKUP(VALUE(MID($A446,5,3)),BASE_Pot!$A$2:$B$321,2,FALSE),"0.000"),"")</f>
        <v/>
      </c>
      <c r="D446" s="11" t="str">
        <f>IF($B446&lt;&gt;"",TEXT(1-manut_MP($B446,D$1,D$2)/VLOOKUP(VALUE(MID($A446,5,3)),BASE_Pot!$A$2:$B$321,2,FALSE),"0.000"),"")</f>
        <v/>
      </c>
      <c r="E446" s="11" t="str">
        <f>IF($B446&lt;&gt;"",TEXT(1-manut_MP($B446,E$1,E$2)/VLOOKUP(VALUE(MID($A446,5,3)),BASE_Pot!$A$2:$B$321,2,FALSE),"0.000"),"")</f>
        <v/>
      </c>
      <c r="F446" s="11" t="str">
        <f>IF($B446&lt;&gt;"",TEXT(1-manut_MP($B446,F$1,F$2)/VLOOKUP(VALUE(MID($A446,5,3)),BASE_Pot!$A$2:$B$321,2,FALSE),"0.000"),"")</f>
        <v/>
      </c>
      <c r="G446" s="11" t="str">
        <f>IF($B446&lt;&gt;"",TEXT(1-manut_MP($B446,G$1,G$2)/VLOOKUP(VALUE(MID($A446,5,3)),BASE_Pot!$A$2:$B$321,2,FALSE),"0.000"),"")</f>
        <v/>
      </c>
      <c r="H446" s="11" t="str">
        <f>IF($B446&lt;&gt;"",TEXT(1-manut_MP($B446,H$1,H$2)/VLOOKUP(VALUE(MID($A446,5,3)),BASE_Pot!$A$2:$B$321,2,FALSE),"0.000"),"")</f>
        <v/>
      </c>
      <c r="I446" s="11" t="str">
        <f>IF($B446&lt;&gt;"",TEXT(1-manut_MP($B446,I$1,I$2)/VLOOKUP(VALUE(MID($A446,5,3)),BASE_Pot!$A$2:$B$321,2,FALSE),"0.000"),"")</f>
        <v/>
      </c>
      <c r="J446" t="str">
        <f>""</f>
        <v/>
      </c>
      <c r="L446" t="str">
        <f t="shared" si="16"/>
        <v>&amp;.................................</v>
      </c>
    </row>
    <row r="447" spans="1:12" x14ac:dyDescent="0.25">
      <c r="A447" t="s">
        <v>496</v>
      </c>
      <c r="B447" t="str">
        <f t="shared" si="15"/>
        <v/>
      </c>
      <c r="C447" s="11" t="str">
        <f>IF($B447&lt;&gt;"",TEXT(1-manut_MP($B447,C$1,C$2)/VLOOKUP(VALUE(MID($A447,5,3)),BASE_Pot!$A$2:$B$321,2,FALSE),"0.000"),"")</f>
        <v/>
      </c>
      <c r="D447" s="11" t="str">
        <f>IF($B447&lt;&gt;"",TEXT(1-manut_MP($B447,D$1,D$2)/VLOOKUP(VALUE(MID($A447,5,3)),BASE_Pot!$A$2:$B$321,2,FALSE),"0.000"),"")</f>
        <v/>
      </c>
      <c r="E447" s="11" t="str">
        <f>IF($B447&lt;&gt;"",TEXT(1-manut_MP($B447,E$1,E$2)/VLOOKUP(VALUE(MID($A447,5,3)),BASE_Pot!$A$2:$B$321,2,FALSE),"0.000"),"")</f>
        <v/>
      </c>
      <c r="F447" s="11" t="str">
        <f>IF($B447&lt;&gt;"",TEXT(1-manut_MP($B447,F$1,F$2)/VLOOKUP(VALUE(MID($A447,5,3)),BASE_Pot!$A$2:$B$321,2,FALSE),"0.000"),"")</f>
        <v/>
      </c>
      <c r="G447" s="11" t="str">
        <f>IF($B447&lt;&gt;"",TEXT(1-manut_MP($B447,G$1,G$2)/VLOOKUP(VALUE(MID($A447,5,3)),BASE_Pot!$A$2:$B$321,2,FALSE),"0.000"),"")</f>
        <v/>
      </c>
      <c r="H447" s="11" t="str">
        <f>IF($B447&lt;&gt;"",TEXT(1-manut_MP($B447,H$1,H$2)/VLOOKUP(VALUE(MID($A447,5,3)),BASE_Pot!$A$2:$B$321,2,FALSE),"0.000"),"")</f>
        <v/>
      </c>
      <c r="I447" s="11" t="str">
        <f>IF($B447&lt;&gt;"",TEXT(1-manut_MP($B447,I$1,I$2)/VLOOKUP(VALUE(MID($A447,5,3)),BASE_Pot!$A$2:$B$321,2,FALSE),"0.000"),"")</f>
        <v/>
      </c>
      <c r="J447" t="str">
        <f>""</f>
        <v/>
      </c>
      <c r="L447" t="str">
        <f t="shared" si="16"/>
        <v>&amp;JIRAU</v>
      </c>
    </row>
    <row r="448" spans="1:12" x14ac:dyDescent="0.25">
      <c r="A448" t="s">
        <v>638</v>
      </c>
      <c r="B448" t="str">
        <f t="shared" si="15"/>
        <v>285-H</v>
      </c>
      <c r="C448" s="11" t="str">
        <f>IF($B448&lt;&gt;"",TEXT(1-manut_MP($B448,C$1,C$2)/VLOOKUP(VALUE(MID($A448,5,3)),BASE_Pot!$A$2:$B$321,2,FALSE),"0.000"),"")</f>
        <v>0.980</v>
      </c>
      <c r="D448" s="11" t="str">
        <f>IF($B448&lt;&gt;"",TEXT(1-manut_MP($B448,D$1,D$2)/VLOOKUP(VALUE(MID($A448,5,3)),BASE_Pot!$A$2:$B$321,2,FALSE),"0.000"),"")</f>
        <v>0.980</v>
      </c>
      <c r="E448" s="11" t="str">
        <f>IF($B448&lt;&gt;"",TEXT(1-manut_MP($B448,E$1,E$2)/VLOOKUP(VALUE(MID($A448,5,3)),BASE_Pot!$A$2:$B$321,2,FALSE),"0.000"),"")</f>
        <v>0.980</v>
      </c>
      <c r="F448" s="11" t="str">
        <f>IF($B448&lt;&gt;"",TEXT(1-manut_MP($B448,F$1,F$2)/VLOOKUP(VALUE(MID($A448,5,3)),BASE_Pot!$A$2:$B$321,2,FALSE),"0.000"),"")</f>
        <v>1.000</v>
      </c>
      <c r="G448" s="11" t="str">
        <f>IF($B448&lt;&gt;"",TEXT(1-manut_MP($B448,G$1,G$2)/VLOOKUP(VALUE(MID($A448,5,3)),BASE_Pot!$A$2:$B$321,2,FALSE),"0.000"),"")</f>
        <v>1.000</v>
      </c>
      <c r="H448" s="11" t="str">
        <f>IF($B448&lt;&gt;"",TEXT(1-manut_MP($B448,H$1,H$2)/VLOOKUP(VALUE(MID($A448,5,3)),BASE_Pot!$A$2:$B$321,2,FALSE),"0.000"),"")</f>
        <v>1.000</v>
      </c>
      <c r="I448" s="11" t="str">
        <f>IF($B448&lt;&gt;"",TEXT(1-manut_MP($B448,I$1,I$2)/VLOOKUP(VALUE(MID($A448,5,3)),BASE_Pot!$A$2:$B$321,2,FALSE),"0.000"),"")</f>
        <v>1.000</v>
      </c>
      <c r="J448" t="str">
        <f>""</f>
        <v/>
      </c>
      <c r="L448" t="str">
        <f t="shared" si="16"/>
        <v>MP  285  0.9800.9800.9801.0001.0001.0001.000</v>
      </c>
    </row>
    <row r="449" spans="1:12" x14ac:dyDescent="0.25">
      <c r="A449" t="s">
        <v>497</v>
      </c>
      <c r="B449" t="str">
        <f t="shared" si="15"/>
        <v/>
      </c>
      <c r="C449" s="11" t="str">
        <f>IF($B449&lt;&gt;"",TEXT(1-manut_MP($B449,C$1,C$2)/VLOOKUP(VALUE(MID($A449,5,3)),BASE_Pot!$A$2:$B$321,2,FALSE),"0.000"),"")</f>
        <v/>
      </c>
      <c r="D449" s="11" t="str">
        <f>IF($B449&lt;&gt;"",TEXT(1-manut_MP($B449,D$1,D$2)/VLOOKUP(VALUE(MID($A449,5,3)),BASE_Pot!$A$2:$B$321,2,FALSE),"0.000"),"")</f>
        <v/>
      </c>
      <c r="E449" s="11" t="str">
        <f>IF($B449&lt;&gt;"",TEXT(1-manut_MP($B449,E$1,E$2)/VLOOKUP(VALUE(MID($A449,5,3)),BASE_Pot!$A$2:$B$321,2,FALSE),"0.000"),"")</f>
        <v/>
      </c>
      <c r="F449" s="11" t="str">
        <f>IF($B449&lt;&gt;"",TEXT(1-manut_MP($B449,F$1,F$2)/VLOOKUP(VALUE(MID($A449,5,3)),BASE_Pot!$A$2:$B$321,2,FALSE),"0.000"),"")</f>
        <v/>
      </c>
      <c r="G449" s="11" t="str">
        <f>IF($B449&lt;&gt;"",TEXT(1-manut_MP($B449,G$1,G$2)/VLOOKUP(VALUE(MID($A449,5,3)),BASE_Pot!$A$2:$B$321,2,FALSE),"0.000"),"")</f>
        <v/>
      </c>
      <c r="H449" s="11" t="str">
        <f>IF($B449&lt;&gt;"",TEXT(1-manut_MP($B449,H$1,H$2)/VLOOKUP(VALUE(MID($A449,5,3)),BASE_Pot!$A$2:$B$321,2,FALSE),"0.000"),"")</f>
        <v/>
      </c>
      <c r="I449" s="11" t="str">
        <f>IF($B449&lt;&gt;"",TEXT(1-manut_MP($B449,I$1,I$2)/VLOOKUP(VALUE(MID($A449,5,3)),BASE_Pot!$A$2:$B$321,2,FALSE),"0.000"),"")</f>
        <v/>
      </c>
      <c r="J449" t="str">
        <f>""</f>
        <v/>
      </c>
      <c r="L449" t="str">
        <f t="shared" si="16"/>
        <v>&amp;</v>
      </c>
    </row>
    <row r="450" spans="1:12" x14ac:dyDescent="0.25">
      <c r="J450" t="str">
        <f>""</f>
        <v/>
      </c>
    </row>
    <row r="451" spans="1:12" x14ac:dyDescent="0.25">
      <c r="J451" t="str">
        <f>""</f>
        <v/>
      </c>
    </row>
    <row r="452" spans="1:12" x14ac:dyDescent="0.25">
      <c r="J452" t="str">
        <f>""</f>
        <v/>
      </c>
    </row>
    <row r="453" spans="1:12" x14ac:dyDescent="0.25">
      <c r="J453" t="str">
        <f>""</f>
        <v/>
      </c>
    </row>
    <row r="454" spans="1:12" x14ac:dyDescent="0.25">
      <c r="J454" t="str">
        <f>""</f>
        <v/>
      </c>
    </row>
    <row r="455" spans="1:12" x14ac:dyDescent="0.25">
      <c r="J455" t="str">
        <f>""</f>
        <v/>
      </c>
    </row>
    <row r="456" spans="1:12" x14ac:dyDescent="0.25">
      <c r="J456" t="str">
        <f>""</f>
        <v/>
      </c>
    </row>
    <row r="457" spans="1:12" x14ac:dyDescent="0.25">
      <c r="J457" t="str">
        <f>""</f>
        <v/>
      </c>
    </row>
    <row r="458" spans="1:12" x14ac:dyDescent="0.25">
      <c r="J458" t="str">
        <f>""</f>
        <v/>
      </c>
    </row>
    <row r="459" spans="1:12" x14ac:dyDescent="0.25">
      <c r="J459" t="str">
        <f>""</f>
        <v/>
      </c>
    </row>
    <row r="460" spans="1:12" x14ac:dyDescent="0.25">
      <c r="J460" t="str">
        <f>""</f>
        <v/>
      </c>
    </row>
    <row r="461" spans="1:12" x14ac:dyDescent="0.25">
      <c r="J461" t="str">
        <f>""</f>
        <v/>
      </c>
    </row>
    <row r="462" spans="1:12" x14ac:dyDescent="0.25">
      <c r="J462" t="str">
        <f>""</f>
        <v/>
      </c>
    </row>
    <row r="463" spans="1:12" x14ac:dyDescent="0.25">
      <c r="J463" t="str">
        <f>""</f>
        <v/>
      </c>
    </row>
    <row r="464" spans="1:12" x14ac:dyDescent="0.25">
      <c r="J464" t="str">
        <f>""</f>
        <v/>
      </c>
    </row>
    <row r="465" spans="10:10" x14ac:dyDescent="0.25">
      <c r="J465" t="str">
        <f>""</f>
        <v/>
      </c>
    </row>
    <row r="466" spans="10:10" x14ac:dyDescent="0.25">
      <c r="J466" t="str">
        <f>""</f>
        <v/>
      </c>
    </row>
    <row r="467" spans="10:10" x14ac:dyDescent="0.25">
      <c r="J467" t="str">
        <f>""</f>
        <v/>
      </c>
    </row>
    <row r="468" spans="10:10" x14ac:dyDescent="0.25">
      <c r="J468" t="str">
        <f>""</f>
        <v/>
      </c>
    </row>
    <row r="469" spans="10:10" x14ac:dyDescent="0.25">
      <c r="J469" t="str">
        <f>""</f>
        <v/>
      </c>
    </row>
    <row r="470" spans="10:10" x14ac:dyDescent="0.25">
      <c r="J470" t="str">
        <f>""</f>
        <v/>
      </c>
    </row>
    <row r="471" spans="10:10" x14ac:dyDescent="0.25">
      <c r="J471" t="str">
        <f>""</f>
        <v/>
      </c>
    </row>
    <row r="472" spans="10:10" x14ac:dyDescent="0.25">
      <c r="J472" t="str">
        <f>""</f>
        <v/>
      </c>
    </row>
    <row r="473" spans="10:10" x14ac:dyDescent="0.25">
      <c r="J473" t="str">
        <f>""</f>
        <v/>
      </c>
    </row>
    <row r="474" spans="10:10" x14ac:dyDescent="0.25">
      <c r="J474" t="str">
        <f>""</f>
        <v/>
      </c>
    </row>
    <row r="475" spans="10:10" x14ac:dyDescent="0.25">
      <c r="J475" t="str">
        <f>""</f>
        <v/>
      </c>
    </row>
    <row r="476" spans="10:10" x14ac:dyDescent="0.25">
      <c r="J476" t="str">
        <f>""</f>
        <v/>
      </c>
    </row>
    <row r="477" spans="10:10" x14ac:dyDescent="0.25">
      <c r="J477" t="str">
        <f>""</f>
        <v/>
      </c>
    </row>
    <row r="478" spans="10:10" x14ac:dyDescent="0.25">
      <c r="J478" t="str">
        <f>""</f>
        <v/>
      </c>
    </row>
    <row r="479" spans="10:10" x14ac:dyDescent="0.25">
      <c r="J479" t="str">
        <f>""</f>
        <v/>
      </c>
    </row>
    <row r="480" spans="10:10" x14ac:dyDescent="0.25">
      <c r="J480" t="str">
        <f>""</f>
        <v/>
      </c>
    </row>
    <row r="481" spans="10:10" x14ac:dyDescent="0.25">
      <c r="J481" t="str">
        <f>""</f>
        <v/>
      </c>
    </row>
    <row r="482" spans="10:10" x14ac:dyDescent="0.25">
      <c r="J482" t="str">
        <f>""</f>
        <v/>
      </c>
    </row>
    <row r="483" spans="10:10" x14ac:dyDescent="0.25">
      <c r="J483" t="str">
        <f>""</f>
        <v/>
      </c>
    </row>
    <row r="484" spans="10:10" x14ac:dyDescent="0.25">
      <c r="J484" t="str">
        <f>""</f>
        <v/>
      </c>
    </row>
    <row r="485" spans="10:10" x14ac:dyDescent="0.25">
      <c r="J485" t="str">
        <f>""</f>
        <v/>
      </c>
    </row>
    <row r="486" spans="10:10" x14ac:dyDescent="0.25">
      <c r="J486" t="str">
        <f>""</f>
        <v/>
      </c>
    </row>
    <row r="487" spans="10:10" x14ac:dyDescent="0.25">
      <c r="J487" t="str">
        <f>""</f>
        <v/>
      </c>
    </row>
    <row r="488" spans="10:10" x14ac:dyDescent="0.25">
      <c r="J488" t="str">
        <f>""</f>
        <v/>
      </c>
    </row>
    <row r="489" spans="10:10" x14ac:dyDescent="0.25">
      <c r="J489" t="str">
        <f>""</f>
        <v/>
      </c>
    </row>
    <row r="490" spans="10:10" x14ac:dyDescent="0.25">
      <c r="J490" t="str">
        <f>""</f>
        <v/>
      </c>
    </row>
    <row r="491" spans="10:10" x14ac:dyDescent="0.25">
      <c r="J491" t="str">
        <f>""</f>
        <v/>
      </c>
    </row>
    <row r="492" spans="10:10" x14ac:dyDescent="0.25">
      <c r="J492" t="str">
        <f>""</f>
        <v/>
      </c>
    </row>
    <row r="493" spans="10:10" x14ac:dyDescent="0.25">
      <c r="J493" t="str">
        <f>""</f>
        <v/>
      </c>
    </row>
    <row r="494" spans="10:10" x14ac:dyDescent="0.25">
      <c r="J494" t="str">
        <f>""</f>
        <v/>
      </c>
    </row>
    <row r="495" spans="10:10" x14ac:dyDescent="0.25">
      <c r="J495" t="str">
        <f>""</f>
        <v/>
      </c>
    </row>
    <row r="496" spans="10:10" x14ac:dyDescent="0.25">
      <c r="J496" t="str">
        <f>""</f>
        <v/>
      </c>
    </row>
    <row r="497" spans="10:10" x14ac:dyDescent="0.25">
      <c r="J497" t="str">
        <f>""</f>
        <v/>
      </c>
    </row>
    <row r="498" spans="10:10" x14ac:dyDescent="0.25">
      <c r="J498" t="str">
        <f>""</f>
        <v/>
      </c>
    </row>
    <row r="499" spans="10:10" x14ac:dyDescent="0.25">
      <c r="J499" t="str">
        <f>""</f>
        <v/>
      </c>
    </row>
    <row r="500" spans="10:10" x14ac:dyDescent="0.25">
      <c r="J500" t="str">
        <f>""</f>
        <v/>
      </c>
    </row>
    <row r="501" spans="10:10" x14ac:dyDescent="0.25">
      <c r="J501" t="str">
        <f>""</f>
        <v/>
      </c>
    </row>
    <row r="502" spans="10:10" x14ac:dyDescent="0.25">
      <c r="J502" t="str">
        <f>""</f>
        <v/>
      </c>
    </row>
    <row r="503" spans="10:10" x14ac:dyDescent="0.25">
      <c r="J503" t="str">
        <f>""</f>
        <v/>
      </c>
    </row>
    <row r="504" spans="10:10" x14ac:dyDescent="0.25">
      <c r="J504" t="str">
        <f>""</f>
        <v/>
      </c>
    </row>
    <row r="505" spans="10:10" x14ac:dyDescent="0.25">
      <c r="J505" t="str">
        <f>""</f>
        <v/>
      </c>
    </row>
    <row r="506" spans="10:10" x14ac:dyDescent="0.25">
      <c r="J506" t="str">
        <f>""</f>
        <v/>
      </c>
    </row>
    <row r="507" spans="10:10" x14ac:dyDescent="0.25">
      <c r="J507" t="str">
        <f>""</f>
        <v/>
      </c>
    </row>
    <row r="508" spans="10:10" x14ac:dyDescent="0.25">
      <c r="J508" t="str">
        <f>""</f>
        <v/>
      </c>
    </row>
    <row r="509" spans="10:10" x14ac:dyDescent="0.25">
      <c r="J509" t="str">
        <f>""</f>
        <v/>
      </c>
    </row>
    <row r="510" spans="10:10" x14ac:dyDescent="0.25">
      <c r="J510" t="str">
        <f>""</f>
        <v/>
      </c>
    </row>
    <row r="511" spans="10:10" x14ac:dyDescent="0.25">
      <c r="J511" t="str">
        <f>""</f>
        <v/>
      </c>
    </row>
    <row r="512" spans="10:10" x14ac:dyDescent="0.25">
      <c r="J512" t="str">
        <f>""</f>
        <v/>
      </c>
    </row>
    <row r="513" spans="10:10" x14ac:dyDescent="0.25">
      <c r="J513" t="str">
        <f>""</f>
        <v/>
      </c>
    </row>
    <row r="514" spans="10:10" x14ac:dyDescent="0.25">
      <c r="J514" t="str">
        <f>""</f>
        <v/>
      </c>
    </row>
    <row r="515" spans="10:10" x14ac:dyDescent="0.25">
      <c r="J515" t="str">
        <f>""</f>
        <v/>
      </c>
    </row>
    <row r="516" spans="10:10" x14ac:dyDescent="0.25">
      <c r="J516" t="str">
        <f>""</f>
        <v/>
      </c>
    </row>
    <row r="517" spans="10:10" x14ac:dyDescent="0.25">
      <c r="J517" t="str">
        <f>""</f>
        <v/>
      </c>
    </row>
    <row r="518" spans="10:10" x14ac:dyDescent="0.25">
      <c r="J518" t="str">
        <f>""</f>
        <v/>
      </c>
    </row>
    <row r="519" spans="10:10" x14ac:dyDescent="0.25">
      <c r="J519" t="str">
        <f>""</f>
        <v/>
      </c>
    </row>
    <row r="520" spans="10:10" x14ac:dyDescent="0.25">
      <c r="J520" t="str">
        <f>""</f>
        <v/>
      </c>
    </row>
    <row r="521" spans="10:10" x14ac:dyDescent="0.25">
      <c r="J521" t="str">
        <f>""</f>
        <v/>
      </c>
    </row>
    <row r="522" spans="10:10" x14ac:dyDescent="0.25">
      <c r="J522" t="str">
        <f>""</f>
        <v/>
      </c>
    </row>
    <row r="523" spans="10:10" x14ac:dyDescent="0.25">
      <c r="J523" t="str">
        <f>""</f>
        <v/>
      </c>
    </row>
    <row r="524" spans="10:10" x14ac:dyDescent="0.25">
      <c r="J524" t="str">
        <f>""</f>
        <v/>
      </c>
    </row>
    <row r="525" spans="10:10" x14ac:dyDescent="0.25">
      <c r="J525" t="str">
        <f>""</f>
        <v/>
      </c>
    </row>
    <row r="526" spans="10:10" x14ac:dyDescent="0.25">
      <c r="J526" t="str">
        <f>""</f>
        <v/>
      </c>
    </row>
    <row r="527" spans="10:10" x14ac:dyDescent="0.25">
      <c r="J527" t="str">
        <f>""</f>
        <v/>
      </c>
    </row>
    <row r="528" spans="10:10" x14ac:dyDescent="0.25">
      <c r="J528" t="str">
        <f>""</f>
        <v/>
      </c>
    </row>
    <row r="529" spans="10:10" x14ac:dyDescent="0.25">
      <c r="J529" t="str">
        <f>""</f>
        <v/>
      </c>
    </row>
    <row r="530" spans="10:10" x14ac:dyDescent="0.25">
      <c r="J530" t="str">
        <f>""</f>
        <v/>
      </c>
    </row>
    <row r="531" spans="10:10" x14ac:dyDescent="0.25">
      <c r="J531" t="str">
        <f>""</f>
        <v/>
      </c>
    </row>
    <row r="532" spans="10:10" x14ac:dyDescent="0.25">
      <c r="J532" t="str">
        <f>""</f>
        <v/>
      </c>
    </row>
    <row r="533" spans="10:10" x14ac:dyDescent="0.25">
      <c r="J533" t="str">
        <f>""</f>
        <v/>
      </c>
    </row>
    <row r="534" spans="10:10" x14ac:dyDescent="0.25">
      <c r="J534" t="str">
        <f>""</f>
        <v/>
      </c>
    </row>
    <row r="535" spans="10:10" x14ac:dyDescent="0.25">
      <c r="J535" t="str">
        <f>""</f>
        <v/>
      </c>
    </row>
    <row r="536" spans="10:10" x14ac:dyDescent="0.25">
      <c r="J536" t="str">
        <f>""</f>
        <v/>
      </c>
    </row>
    <row r="537" spans="10:10" x14ac:dyDescent="0.25">
      <c r="J537" t="str">
        <f>""</f>
        <v/>
      </c>
    </row>
    <row r="538" spans="10:10" x14ac:dyDescent="0.25">
      <c r="J538" t="str">
        <f>""</f>
        <v/>
      </c>
    </row>
    <row r="539" spans="10:10" x14ac:dyDescent="0.25">
      <c r="J539" t="str">
        <f>""</f>
        <v/>
      </c>
    </row>
    <row r="540" spans="10:10" x14ac:dyDescent="0.25">
      <c r="J540" t="str">
        <f>""</f>
        <v/>
      </c>
    </row>
    <row r="541" spans="10:10" x14ac:dyDescent="0.25">
      <c r="J541" t="str">
        <f>""</f>
        <v/>
      </c>
    </row>
    <row r="542" spans="10:10" x14ac:dyDescent="0.25">
      <c r="J542" t="str">
        <f>""</f>
        <v/>
      </c>
    </row>
    <row r="543" spans="10:10" x14ac:dyDescent="0.25">
      <c r="J543" t="str">
        <f>""</f>
        <v/>
      </c>
    </row>
    <row r="544" spans="10:10" x14ac:dyDescent="0.25">
      <c r="J544" t="str">
        <f>""</f>
        <v/>
      </c>
    </row>
    <row r="545" spans="10:10" x14ac:dyDescent="0.25">
      <c r="J545" t="str">
        <f>""</f>
        <v/>
      </c>
    </row>
    <row r="546" spans="10:10" x14ac:dyDescent="0.25">
      <c r="J546" t="str">
        <f>""</f>
        <v/>
      </c>
    </row>
    <row r="547" spans="10:10" x14ac:dyDescent="0.25">
      <c r="J547" t="str">
        <f>""</f>
        <v/>
      </c>
    </row>
    <row r="548" spans="10:10" x14ac:dyDescent="0.25">
      <c r="J548" t="str">
        <f>""</f>
        <v/>
      </c>
    </row>
    <row r="549" spans="10:10" x14ac:dyDescent="0.25">
      <c r="J549" t="str">
        <f>""</f>
        <v/>
      </c>
    </row>
    <row r="550" spans="10:10" x14ac:dyDescent="0.25">
      <c r="J550" t="str">
        <f>""</f>
        <v/>
      </c>
    </row>
    <row r="551" spans="10:10" x14ac:dyDescent="0.25">
      <c r="J551" t="str">
        <f>""</f>
        <v/>
      </c>
    </row>
    <row r="552" spans="10:10" x14ac:dyDescent="0.25">
      <c r="J552" t="str">
        <f>""</f>
        <v/>
      </c>
    </row>
    <row r="553" spans="10:10" x14ac:dyDescent="0.25">
      <c r="J553" t="str">
        <f>""</f>
        <v/>
      </c>
    </row>
    <row r="554" spans="10:10" x14ac:dyDescent="0.25">
      <c r="J554" t="str">
        <f>""</f>
        <v/>
      </c>
    </row>
    <row r="555" spans="10:10" x14ac:dyDescent="0.25">
      <c r="J555" t="str">
        <f>""</f>
        <v/>
      </c>
    </row>
    <row r="556" spans="10:10" x14ac:dyDescent="0.25">
      <c r="J556" t="str">
        <f>""</f>
        <v/>
      </c>
    </row>
    <row r="557" spans="10:10" x14ac:dyDescent="0.25">
      <c r="J557" t="str">
        <f>""</f>
        <v/>
      </c>
    </row>
    <row r="558" spans="10:10" x14ac:dyDescent="0.25">
      <c r="J558" t="str">
        <f>""</f>
        <v/>
      </c>
    </row>
    <row r="559" spans="10:10" x14ac:dyDescent="0.25">
      <c r="J559" t="str">
        <f>""</f>
        <v/>
      </c>
    </row>
    <row r="560" spans="10:10" x14ac:dyDescent="0.25">
      <c r="J560" t="str">
        <f>""</f>
        <v/>
      </c>
    </row>
    <row r="561" spans="10:10" x14ac:dyDescent="0.25">
      <c r="J561" t="str">
        <f>""</f>
        <v/>
      </c>
    </row>
    <row r="562" spans="10:10" x14ac:dyDescent="0.25">
      <c r="J562" t="str">
        <f>""</f>
        <v/>
      </c>
    </row>
    <row r="563" spans="10:10" x14ac:dyDescent="0.25">
      <c r="J563" t="str">
        <f>""</f>
        <v/>
      </c>
    </row>
    <row r="564" spans="10:10" x14ac:dyDescent="0.25">
      <c r="J564" t="str">
        <f>""</f>
        <v/>
      </c>
    </row>
    <row r="565" spans="10:10" x14ac:dyDescent="0.25">
      <c r="J565" t="str">
        <f>""</f>
        <v/>
      </c>
    </row>
    <row r="566" spans="10:10" x14ac:dyDescent="0.25">
      <c r="J566" t="str">
        <f>""</f>
        <v/>
      </c>
    </row>
    <row r="567" spans="10:10" x14ac:dyDescent="0.25">
      <c r="J567" t="str">
        <f>""</f>
        <v/>
      </c>
    </row>
    <row r="568" spans="10:10" x14ac:dyDescent="0.25">
      <c r="J568" t="str">
        <f>""</f>
        <v/>
      </c>
    </row>
    <row r="569" spans="10:10" x14ac:dyDescent="0.25">
      <c r="J569" t="str">
        <f>""</f>
        <v/>
      </c>
    </row>
    <row r="570" spans="10:10" x14ac:dyDescent="0.25">
      <c r="J570" t="str">
        <f>""</f>
        <v/>
      </c>
    </row>
    <row r="571" spans="10:10" x14ac:dyDescent="0.25">
      <c r="J571" t="str">
        <f>""</f>
        <v/>
      </c>
    </row>
    <row r="572" spans="10:10" x14ac:dyDescent="0.25">
      <c r="J572" t="str">
        <f>""</f>
        <v/>
      </c>
    </row>
    <row r="573" spans="10:10" x14ac:dyDescent="0.25">
      <c r="J573" t="str">
        <f>""</f>
        <v/>
      </c>
    </row>
    <row r="574" spans="10:10" x14ac:dyDescent="0.25">
      <c r="J574" t="str">
        <f>""</f>
        <v/>
      </c>
    </row>
    <row r="575" spans="10:10" x14ac:dyDescent="0.25">
      <c r="J575" t="str">
        <f>""</f>
        <v/>
      </c>
    </row>
    <row r="576" spans="10:10" x14ac:dyDescent="0.25">
      <c r="J576" t="str">
        <f>""</f>
        <v/>
      </c>
    </row>
    <row r="577" spans="10:10" x14ac:dyDescent="0.25">
      <c r="J577" t="str">
        <f>""</f>
        <v/>
      </c>
    </row>
    <row r="578" spans="10:10" x14ac:dyDescent="0.25">
      <c r="J578" t="str">
        <f>""</f>
        <v/>
      </c>
    </row>
    <row r="579" spans="10:10" x14ac:dyDescent="0.25">
      <c r="J579" t="str">
        <f>""</f>
        <v/>
      </c>
    </row>
    <row r="580" spans="10:10" x14ac:dyDescent="0.25">
      <c r="J580" t="str">
        <f>""</f>
        <v/>
      </c>
    </row>
    <row r="581" spans="10:10" x14ac:dyDescent="0.25">
      <c r="J581" t="str">
        <f>""</f>
        <v/>
      </c>
    </row>
    <row r="582" spans="10:10" x14ac:dyDescent="0.25">
      <c r="J582" t="str">
        <f>""</f>
        <v/>
      </c>
    </row>
    <row r="583" spans="10:10" x14ac:dyDescent="0.25">
      <c r="J583" t="str">
        <f>""</f>
        <v/>
      </c>
    </row>
    <row r="584" spans="10:10" x14ac:dyDescent="0.25">
      <c r="J584" t="str">
        <f>""</f>
        <v/>
      </c>
    </row>
    <row r="585" spans="10:10" x14ac:dyDescent="0.25">
      <c r="J585" t="str">
        <f>""</f>
        <v/>
      </c>
    </row>
    <row r="586" spans="10:10" x14ac:dyDescent="0.25">
      <c r="J586" t="str">
        <f>""</f>
        <v/>
      </c>
    </row>
    <row r="587" spans="10:10" x14ac:dyDescent="0.25">
      <c r="J587" t="str">
        <f>""</f>
        <v/>
      </c>
    </row>
    <row r="588" spans="10:10" x14ac:dyDescent="0.25">
      <c r="J588" t="str">
        <f>""</f>
        <v/>
      </c>
    </row>
    <row r="589" spans="10:10" x14ac:dyDescent="0.25">
      <c r="J589" t="str">
        <f>""</f>
        <v/>
      </c>
    </row>
    <row r="590" spans="10:10" x14ac:dyDescent="0.25">
      <c r="J590" t="str">
        <f>""</f>
        <v/>
      </c>
    </row>
    <row r="591" spans="10:10" x14ac:dyDescent="0.25">
      <c r="J591" t="str">
        <f>""</f>
        <v/>
      </c>
    </row>
    <row r="592" spans="10:10" x14ac:dyDescent="0.25">
      <c r="J592" t="str">
        <f>""</f>
        <v/>
      </c>
    </row>
    <row r="593" spans="10:10" x14ac:dyDescent="0.25">
      <c r="J593" t="str">
        <f>""</f>
        <v/>
      </c>
    </row>
    <row r="594" spans="10:10" x14ac:dyDescent="0.25">
      <c r="J594" t="str">
        <f>""</f>
        <v/>
      </c>
    </row>
    <row r="595" spans="10:10" x14ac:dyDescent="0.25">
      <c r="J595" t="str">
        <f>""</f>
        <v/>
      </c>
    </row>
    <row r="596" spans="10:10" x14ac:dyDescent="0.25">
      <c r="J596" t="str">
        <f>""</f>
        <v/>
      </c>
    </row>
    <row r="597" spans="10:10" x14ac:dyDescent="0.25">
      <c r="J597" t="str">
        <f>""</f>
        <v/>
      </c>
    </row>
    <row r="598" spans="10:10" x14ac:dyDescent="0.25">
      <c r="J598" t="str">
        <f>""</f>
        <v/>
      </c>
    </row>
    <row r="599" spans="10:10" x14ac:dyDescent="0.25">
      <c r="J599" t="str">
        <f>""</f>
        <v/>
      </c>
    </row>
    <row r="600" spans="10:10" x14ac:dyDescent="0.25">
      <c r="J600" t="str">
        <f>""</f>
        <v/>
      </c>
    </row>
    <row r="601" spans="10:10" x14ac:dyDescent="0.25">
      <c r="J601" t="str">
        <f>""</f>
        <v/>
      </c>
    </row>
    <row r="602" spans="10:10" x14ac:dyDescent="0.25">
      <c r="J602" t="str">
        <f>""</f>
        <v/>
      </c>
    </row>
    <row r="603" spans="10:10" x14ac:dyDescent="0.25">
      <c r="J603" t="str">
        <f>""</f>
        <v/>
      </c>
    </row>
    <row r="604" spans="10:10" x14ac:dyDescent="0.25">
      <c r="J604" t="str">
        <f>""</f>
        <v/>
      </c>
    </row>
    <row r="605" spans="10:10" x14ac:dyDescent="0.25">
      <c r="J605" t="str">
        <f>""</f>
        <v/>
      </c>
    </row>
    <row r="606" spans="10:10" x14ac:dyDescent="0.25">
      <c r="J606" t="str">
        <f>""</f>
        <v/>
      </c>
    </row>
    <row r="607" spans="10:10" x14ac:dyDescent="0.25">
      <c r="J607" t="str">
        <f>""</f>
        <v/>
      </c>
    </row>
    <row r="608" spans="10:10" x14ac:dyDescent="0.25">
      <c r="J608" t="str">
        <f>""</f>
        <v/>
      </c>
    </row>
    <row r="609" spans="10:10" x14ac:dyDescent="0.25">
      <c r="J609" t="str">
        <f>""</f>
        <v/>
      </c>
    </row>
    <row r="610" spans="10:10" x14ac:dyDescent="0.25">
      <c r="J610" t="str">
        <f>""</f>
        <v/>
      </c>
    </row>
    <row r="611" spans="10:10" x14ac:dyDescent="0.25">
      <c r="J611" t="str">
        <f>""</f>
        <v/>
      </c>
    </row>
    <row r="612" spans="10:10" x14ac:dyDescent="0.25">
      <c r="J612" t="str">
        <f>""</f>
        <v/>
      </c>
    </row>
    <row r="613" spans="10:10" x14ac:dyDescent="0.25">
      <c r="J613" t="str">
        <f>""</f>
        <v/>
      </c>
    </row>
    <row r="614" spans="10:10" x14ac:dyDescent="0.25">
      <c r="J614" t="str">
        <f>""</f>
        <v/>
      </c>
    </row>
    <row r="615" spans="10:10" x14ac:dyDescent="0.25">
      <c r="J615" t="str">
        <f>""</f>
        <v/>
      </c>
    </row>
    <row r="616" spans="10:10" x14ac:dyDescent="0.25">
      <c r="J616" t="str">
        <f>""</f>
        <v/>
      </c>
    </row>
    <row r="617" spans="10:10" x14ac:dyDescent="0.25">
      <c r="J617" t="str">
        <f>""</f>
        <v/>
      </c>
    </row>
    <row r="618" spans="10:10" x14ac:dyDescent="0.25">
      <c r="J618" t="str">
        <f>""</f>
        <v/>
      </c>
    </row>
    <row r="619" spans="10:10" x14ac:dyDescent="0.25">
      <c r="J619" t="str">
        <f>""</f>
        <v/>
      </c>
    </row>
    <row r="620" spans="10:10" x14ac:dyDescent="0.25">
      <c r="J620" t="str">
        <f>""</f>
        <v/>
      </c>
    </row>
    <row r="621" spans="10:10" x14ac:dyDescent="0.25">
      <c r="J621" t="str">
        <f>""</f>
        <v/>
      </c>
    </row>
    <row r="622" spans="10:10" x14ac:dyDescent="0.25">
      <c r="J622" t="str">
        <f>""</f>
        <v/>
      </c>
    </row>
    <row r="623" spans="10:10" x14ac:dyDescent="0.25">
      <c r="J623" t="str">
        <f>""</f>
        <v/>
      </c>
    </row>
    <row r="624" spans="10:10" x14ac:dyDescent="0.25">
      <c r="J624" t="str">
        <f>""</f>
        <v/>
      </c>
    </row>
    <row r="625" spans="10:10" x14ac:dyDescent="0.25">
      <c r="J625" t="str">
        <f>""</f>
        <v/>
      </c>
    </row>
    <row r="626" spans="10:10" x14ac:dyDescent="0.25">
      <c r="J626" t="str">
        <f>""</f>
        <v/>
      </c>
    </row>
    <row r="627" spans="10:10" x14ac:dyDescent="0.25">
      <c r="J627" t="str">
        <f>""</f>
        <v/>
      </c>
    </row>
    <row r="628" spans="10:10" x14ac:dyDescent="0.25">
      <c r="J628" t="str">
        <f>""</f>
        <v/>
      </c>
    </row>
    <row r="629" spans="10:10" x14ac:dyDescent="0.25">
      <c r="J629" t="str">
        <f>""</f>
        <v/>
      </c>
    </row>
    <row r="630" spans="10:10" x14ac:dyDescent="0.25">
      <c r="J630" t="str">
        <f>""</f>
        <v/>
      </c>
    </row>
    <row r="631" spans="10:10" x14ac:dyDescent="0.25">
      <c r="J631" t="str">
        <f>""</f>
        <v/>
      </c>
    </row>
    <row r="632" spans="10:10" x14ac:dyDescent="0.25">
      <c r="J632" t="str">
        <f>""</f>
        <v/>
      </c>
    </row>
    <row r="633" spans="10:10" x14ac:dyDescent="0.25">
      <c r="J633" t="str">
        <f>""</f>
        <v/>
      </c>
    </row>
    <row r="634" spans="10:10" x14ac:dyDescent="0.25">
      <c r="J634" t="str">
        <f>""</f>
        <v/>
      </c>
    </row>
    <row r="635" spans="10:10" x14ac:dyDescent="0.25">
      <c r="J635" t="str">
        <f>""</f>
        <v/>
      </c>
    </row>
    <row r="636" spans="10:10" x14ac:dyDescent="0.25">
      <c r="J636" t="str">
        <f>""</f>
        <v/>
      </c>
    </row>
    <row r="637" spans="10:10" x14ac:dyDescent="0.25">
      <c r="J637" t="str">
        <f>""</f>
        <v/>
      </c>
    </row>
    <row r="638" spans="10:10" x14ac:dyDescent="0.25">
      <c r="J638" t="str">
        <f>""</f>
        <v/>
      </c>
    </row>
    <row r="639" spans="10:10" x14ac:dyDescent="0.25">
      <c r="J639" t="str">
        <f>""</f>
        <v/>
      </c>
    </row>
    <row r="640" spans="10:10" x14ac:dyDescent="0.25">
      <c r="J640" t="str">
        <f>""</f>
        <v/>
      </c>
    </row>
    <row r="641" spans="10:10" x14ac:dyDescent="0.25">
      <c r="J641" t="str">
        <f>""</f>
        <v/>
      </c>
    </row>
    <row r="642" spans="10:10" x14ac:dyDescent="0.25">
      <c r="J642" t="str">
        <f>""</f>
        <v/>
      </c>
    </row>
    <row r="643" spans="10:10" x14ac:dyDescent="0.25">
      <c r="J643" t="str">
        <f>""</f>
        <v/>
      </c>
    </row>
    <row r="644" spans="10:10" x14ac:dyDescent="0.25">
      <c r="J644" t="str">
        <f>""</f>
        <v/>
      </c>
    </row>
    <row r="645" spans="10:10" x14ac:dyDescent="0.25">
      <c r="J645" t="str">
        <f>""</f>
        <v/>
      </c>
    </row>
    <row r="646" spans="10:10" x14ac:dyDescent="0.25">
      <c r="J646" t="str">
        <f>""</f>
        <v/>
      </c>
    </row>
    <row r="647" spans="10:10" x14ac:dyDescent="0.25">
      <c r="J647" t="str">
        <f>""</f>
        <v/>
      </c>
    </row>
    <row r="648" spans="10:10" x14ac:dyDescent="0.25">
      <c r="J648" t="str">
        <f>""</f>
        <v/>
      </c>
    </row>
    <row r="649" spans="10:10" x14ac:dyDescent="0.25">
      <c r="J649" t="str">
        <f>""</f>
        <v/>
      </c>
    </row>
    <row r="650" spans="10:10" x14ac:dyDescent="0.25">
      <c r="J650" t="str">
        <f>""</f>
        <v/>
      </c>
    </row>
    <row r="651" spans="10:10" x14ac:dyDescent="0.25">
      <c r="J651" t="str">
        <f>""</f>
        <v/>
      </c>
    </row>
    <row r="652" spans="10:10" x14ac:dyDescent="0.25">
      <c r="J652" t="str">
        <f>""</f>
        <v/>
      </c>
    </row>
    <row r="653" spans="10:10" x14ac:dyDescent="0.25">
      <c r="J653" t="str">
        <f>""</f>
        <v/>
      </c>
    </row>
    <row r="654" spans="10:10" x14ac:dyDescent="0.25">
      <c r="J654" t="str">
        <f>""</f>
        <v/>
      </c>
    </row>
    <row r="655" spans="10:10" x14ac:dyDescent="0.25">
      <c r="J655" t="str">
        <f>""</f>
        <v/>
      </c>
    </row>
    <row r="656" spans="10:10" x14ac:dyDescent="0.25">
      <c r="J656" t="str">
        <f>""</f>
        <v/>
      </c>
    </row>
    <row r="657" spans="10:10" x14ac:dyDescent="0.25">
      <c r="J657" t="str">
        <f>""</f>
        <v/>
      </c>
    </row>
    <row r="658" spans="10:10" x14ac:dyDescent="0.25">
      <c r="J658" t="str">
        <f>""</f>
        <v/>
      </c>
    </row>
    <row r="659" spans="10:10" x14ac:dyDescent="0.25">
      <c r="J659" t="str">
        <f>""</f>
        <v/>
      </c>
    </row>
    <row r="660" spans="10:10" x14ac:dyDescent="0.25">
      <c r="J660" t="str">
        <f>""</f>
        <v/>
      </c>
    </row>
    <row r="661" spans="10:10" x14ac:dyDescent="0.25">
      <c r="J661" t="str">
        <f>""</f>
        <v/>
      </c>
    </row>
    <row r="662" spans="10:10" x14ac:dyDescent="0.25">
      <c r="J662" t="str">
        <f>""</f>
        <v/>
      </c>
    </row>
    <row r="663" spans="10:10" x14ac:dyDescent="0.25">
      <c r="J663" t="str">
        <f>""</f>
        <v/>
      </c>
    </row>
    <row r="664" spans="10:10" x14ac:dyDescent="0.25">
      <c r="J664" t="str">
        <f>""</f>
        <v/>
      </c>
    </row>
    <row r="665" spans="10:10" x14ac:dyDescent="0.25">
      <c r="J665" t="str">
        <f>""</f>
        <v/>
      </c>
    </row>
    <row r="666" spans="10:10" x14ac:dyDescent="0.25">
      <c r="J666" t="str">
        <f>""</f>
        <v/>
      </c>
    </row>
    <row r="667" spans="10:10" x14ac:dyDescent="0.25">
      <c r="J667" t="str">
        <f>""</f>
        <v/>
      </c>
    </row>
    <row r="668" spans="10:10" x14ac:dyDescent="0.25">
      <c r="J668" t="str">
        <f>""</f>
        <v/>
      </c>
    </row>
    <row r="669" spans="10:10" x14ac:dyDescent="0.25">
      <c r="J669" t="str">
        <f>""</f>
        <v/>
      </c>
    </row>
    <row r="670" spans="10:10" x14ac:dyDescent="0.25">
      <c r="J670" t="str">
        <f>""</f>
        <v/>
      </c>
    </row>
    <row r="671" spans="10:10" x14ac:dyDescent="0.25">
      <c r="J671" t="str">
        <f>""</f>
        <v/>
      </c>
    </row>
    <row r="672" spans="10:10" x14ac:dyDescent="0.25">
      <c r="J672" t="str">
        <f>""</f>
        <v/>
      </c>
    </row>
    <row r="673" spans="10:10" x14ac:dyDescent="0.25">
      <c r="J673" t="str">
        <f>""</f>
        <v/>
      </c>
    </row>
    <row r="674" spans="10:10" x14ac:dyDescent="0.25">
      <c r="J674" t="str">
        <f>""</f>
        <v/>
      </c>
    </row>
    <row r="675" spans="10:10" x14ac:dyDescent="0.25">
      <c r="J675" t="str">
        <f>""</f>
        <v/>
      </c>
    </row>
    <row r="676" spans="10:10" x14ac:dyDescent="0.25">
      <c r="J676" t="str">
        <f>""</f>
        <v/>
      </c>
    </row>
    <row r="677" spans="10:10" x14ac:dyDescent="0.25">
      <c r="J677" t="str">
        <f>""</f>
        <v/>
      </c>
    </row>
    <row r="678" spans="10:10" x14ac:dyDescent="0.25">
      <c r="J678" t="str">
        <f>""</f>
        <v/>
      </c>
    </row>
    <row r="679" spans="10:10" x14ac:dyDescent="0.25">
      <c r="J679" t="str">
        <f>""</f>
        <v/>
      </c>
    </row>
    <row r="680" spans="10:10" x14ac:dyDescent="0.25">
      <c r="J680" t="str">
        <f>""</f>
        <v/>
      </c>
    </row>
    <row r="681" spans="10:10" x14ac:dyDescent="0.25">
      <c r="J681" t="str">
        <f>""</f>
        <v/>
      </c>
    </row>
    <row r="682" spans="10:10" x14ac:dyDescent="0.25">
      <c r="J682" t="str">
        <f>""</f>
        <v/>
      </c>
    </row>
    <row r="683" spans="10:10" x14ac:dyDescent="0.25">
      <c r="J683" t="str">
        <f>""</f>
        <v/>
      </c>
    </row>
    <row r="684" spans="10:10" x14ac:dyDescent="0.25">
      <c r="J684" t="str">
        <f>""</f>
        <v/>
      </c>
    </row>
    <row r="685" spans="10:10" x14ac:dyDescent="0.25">
      <c r="J685" t="str">
        <f>""</f>
        <v/>
      </c>
    </row>
    <row r="686" spans="10:10" x14ac:dyDescent="0.25">
      <c r="J686" t="str">
        <f>""</f>
        <v/>
      </c>
    </row>
    <row r="687" spans="10:10" x14ac:dyDescent="0.25">
      <c r="J687" t="str">
        <f>""</f>
        <v/>
      </c>
    </row>
    <row r="688" spans="10:10" x14ac:dyDescent="0.25">
      <c r="J688" t="str">
        <f>""</f>
        <v/>
      </c>
    </row>
    <row r="689" spans="10:10" x14ac:dyDescent="0.25">
      <c r="J689" t="str">
        <f>""</f>
        <v/>
      </c>
    </row>
    <row r="690" spans="10:10" x14ac:dyDescent="0.25">
      <c r="J690" t="str">
        <f>""</f>
        <v/>
      </c>
    </row>
    <row r="691" spans="10:10" x14ac:dyDescent="0.25">
      <c r="J691" t="str">
        <f>""</f>
        <v/>
      </c>
    </row>
    <row r="692" spans="10:10" x14ac:dyDescent="0.25">
      <c r="J692" t="str">
        <f>""</f>
        <v/>
      </c>
    </row>
    <row r="693" spans="10:10" x14ac:dyDescent="0.25">
      <c r="J693" t="str">
        <f>""</f>
        <v/>
      </c>
    </row>
    <row r="694" spans="10:10" x14ac:dyDescent="0.25">
      <c r="J694" t="str">
        <f>""</f>
        <v/>
      </c>
    </row>
    <row r="695" spans="10:10" x14ac:dyDescent="0.25">
      <c r="J695" t="str">
        <f>""</f>
        <v/>
      </c>
    </row>
    <row r="696" spans="10:10" x14ac:dyDescent="0.25">
      <c r="J696" t="str">
        <f>""</f>
        <v/>
      </c>
    </row>
    <row r="697" spans="10:10" x14ac:dyDescent="0.25">
      <c r="J697" t="str">
        <f>""</f>
        <v/>
      </c>
    </row>
    <row r="698" spans="10:10" x14ac:dyDescent="0.25">
      <c r="J698" t="str">
        <f>""</f>
        <v/>
      </c>
    </row>
    <row r="699" spans="10:10" x14ac:dyDescent="0.25">
      <c r="J699" t="str">
        <f>""</f>
        <v/>
      </c>
    </row>
    <row r="700" spans="10:10" x14ac:dyDescent="0.25">
      <c r="J700" t="str">
        <f>""</f>
        <v/>
      </c>
    </row>
    <row r="701" spans="10:10" x14ac:dyDescent="0.25">
      <c r="J701" t="str">
        <f>""</f>
        <v/>
      </c>
    </row>
    <row r="702" spans="10:10" x14ac:dyDescent="0.25">
      <c r="J702" t="str">
        <f>""</f>
        <v/>
      </c>
    </row>
    <row r="703" spans="10:10" x14ac:dyDescent="0.25">
      <c r="J703" t="str">
        <f>""</f>
        <v/>
      </c>
    </row>
    <row r="704" spans="10:10" x14ac:dyDescent="0.25">
      <c r="J704" t="str">
        <f>""</f>
        <v/>
      </c>
    </row>
    <row r="705" spans="10:10" x14ac:dyDescent="0.25">
      <c r="J705" t="str">
        <f>""</f>
        <v/>
      </c>
    </row>
    <row r="706" spans="10:10" x14ac:dyDescent="0.25">
      <c r="J706" t="str">
        <f>""</f>
        <v/>
      </c>
    </row>
    <row r="707" spans="10:10" x14ac:dyDescent="0.25">
      <c r="J707" t="str">
        <f>""</f>
        <v/>
      </c>
    </row>
    <row r="708" spans="10:10" x14ac:dyDescent="0.25">
      <c r="J708" t="str">
        <f>""</f>
        <v/>
      </c>
    </row>
    <row r="709" spans="10:10" x14ac:dyDescent="0.25">
      <c r="J709" t="str">
        <f>""</f>
        <v/>
      </c>
    </row>
    <row r="710" spans="10:10" x14ac:dyDescent="0.25">
      <c r="J710" t="str">
        <f>""</f>
        <v/>
      </c>
    </row>
    <row r="711" spans="10:10" x14ac:dyDescent="0.25">
      <c r="J711" t="str">
        <f>""</f>
        <v/>
      </c>
    </row>
    <row r="712" spans="10:10" x14ac:dyDescent="0.25">
      <c r="J712" t="str">
        <f>""</f>
        <v/>
      </c>
    </row>
    <row r="713" spans="10:10" x14ac:dyDescent="0.25">
      <c r="J713" t="str">
        <f>""</f>
        <v/>
      </c>
    </row>
    <row r="714" spans="10:10" x14ac:dyDescent="0.25">
      <c r="J714" t="str">
        <f>""</f>
        <v/>
      </c>
    </row>
    <row r="715" spans="10:10" x14ac:dyDescent="0.25">
      <c r="J715" t="str">
        <f>""</f>
        <v/>
      </c>
    </row>
    <row r="716" spans="10:10" x14ac:dyDescent="0.25">
      <c r="J716" t="str">
        <f>""</f>
        <v/>
      </c>
    </row>
    <row r="717" spans="10:10" x14ac:dyDescent="0.25">
      <c r="J717" t="str">
        <f>""</f>
        <v/>
      </c>
    </row>
    <row r="718" spans="10:10" x14ac:dyDescent="0.25">
      <c r="J718" t="str">
        <f>""</f>
        <v/>
      </c>
    </row>
    <row r="719" spans="10:10" x14ac:dyDescent="0.25">
      <c r="J719" t="str">
        <f>""</f>
        <v/>
      </c>
    </row>
    <row r="720" spans="10:10" x14ac:dyDescent="0.25">
      <c r="J720" t="str">
        <f>""</f>
        <v/>
      </c>
    </row>
    <row r="721" spans="10:10" x14ac:dyDescent="0.25">
      <c r="J721" t="str">
        <f>""</f>
        <v/>
      </c>
    </row>
    <row r="722" spans="10:10" x14ac:dyDescent="0.25">
      <c r="J722" t="str">
        <f>""</f>
        <v/>
      </c>
    </row>
    <row r="723" spans="10:10" x14ac:dyDescent="0.25">
      <c r="J723" t="str">
        <f>""</f>
        <v/>
      </c>
    </row>
    <row r="724" spans="10:10" x14ac:dyDescent="0.25">
      <c r="J724" t="str">
        <f>""</f>
        <v/>
      </c>
    </row>
    <row r="725" spans="10:10" x14ac:dyDescent="0.25">
      <c r="J725" t="str">
        <f>""</f>
        <v/>
      </c>
    </row>
    <row r="726" spans="10:10" x14ac:dyDescent="0.25">
      <c r="J726" t="str">
        <f>""</f>
        <v/>
      </c>
    </row>
    <row r="727" spans="10:10" x14ac:dyDescent="0.25">
      <c r="J727" t="str">
        <f>""</f>
        <v/>
      </c>
    </row>
    <row r="728" spans="10:10" x14ac:dyDescent="0.25">
      <c r="J728" t="str">
        <f>""</f>
        <v/>
      </c>
    </row>
    <row r="729" spans="10:10" x14ac:dyDescent="0.25">
      <c r="J729" t="str">
        <f>""</f>
        <v/>
      </c>
    </row>
    <row r="730" spans="10:10" x14ac:dyDescent="0.25">
      <c r="J730" t="str">
        <f>""</f>
        <v/>
      </c>
    </row>
    <row r="731" spans="10:10" x14ac:dyDescent="0.25">
      <c r="J731" t="str">
        <f>""</f>
        <v/>
      </c>
    </row>
    <row r="732" spans="10:10" x14ac:dyDescent="0.25">
      <c r="J732" t="str">
        <f>""</f>
        <v/>
      </c>
    </row>
    <row r="733" spans="10:10" x14ac:dyDescent="0.25">
      <c r="J733" t="str">
        <f>""</f>
        <v/>
      </c>
    </row>
    <row r="734" spans="10:10" x14ac:dyDescent="0.25">
      <c r="J734" t="str">
        <f>""</f>
        <v/>
      </c>
    </row>
    <row r="735" spans="10:10" x14ac:dyDescent="0.25">
      <c r="J735" t="str">
        <f>""</f>
        <v/>
      </c>
    </row>
    <row r="736" spans="10:10" x14ac:dyDescent="0.25">
      <c r="J736" t="str">
        <f>""</f>
        <v/>
      </c>
    </row>
    <row r="737" spans="10:10" x14ac:dyDescent="0.25">
      <c r="J737" t="str">
        <f>""</f>
        <v/>
      </c>
    </row>
    <row r="738" spans="10:10" x14ac:dyDescent="0.25">
      <c r="J738" t="str">
        <f>""</f>
        <v/>
      </c>
    </row>
    <row r="739" spans="10:10" x14ac:dyDescent="0.25">
      <c r="J739" t="str">
        <f>""</f>
        <v/>
      </c>
    </row>
    <row r="740" spans="10:10" x14ac:dyDescent="0.25">
      <c r="J740" t="str">
        <f>""</f>
        <v/>
      </c>
    </row>
    <row r="741" spans="10:10" x14ac:dyDescent="0.25">
      <c r="J741" t="str">
        <f>""</f>
        <v/>
      </c>
    </row>
    <row r="742" spans="10:10" x14ac:dyDescent="0.25">
      <c r="J742" t="str">
        <f>""</f>
        <v/>
      </c>
    </row>
    <row r="743" spans="10:10" x14ac:dyDescent="0.25">
      <c r="J743" t="str">
        <f>""</f>
        <v/>
      </c>
    </row>
    <row r="744" spans="10:10" x14ac:dyDescent="0.25">
      <c r="J744" t="str">
        <f>""</f>
        <v/>
      </c>
    </row>
    <row r="745" spans="10:10" x14ac:dyDescent="0.25">
      <c r="J745" t="str">
        <f>""</f>
        <v/>
      </c>
    </row>
    <row r="746" spans="10:10" x14ac:dyDescent="0.25">
      <c r="J746" t="str">
        <f>""</f>
        <v/>
      </c>
    </row>
    <row r="747" spans="10:10" x14ac:dyDescent="0.25">
      <c r="J747" t="str">
        <f>""</f>
        <v/>
      </c>
    </row>
    <row r="748" spans="10:10" x14ac:dyDescent="0.25">
      <c r="J748" t="str">
        <f>""</f>
        <v/>
      </c>
    </row>
    <row r="749" spans="10:10" x14ac:dyDescent="0.25">
      <c r="J749" t="str">
        <f>""</f>
        <v/>
      </c>
    </row>
    <row r="750" spans="10:10" x14ac:dyDescent="0.25">
      <c r="J750" t="str">
        <f>""</f>
        <v/>
      </c>
    </row>
    <row r="751" spans="10:10" x14ac:dyDescent="0.25">
      <c r="J751" t="str">
        <f>""</f>
        <v/>
      </c>
    </row>
    <row r="752" spans="10:10" x14ac:dyDescent="0.25">
      <c r="J752" t="str">
        <f>""</f>
        <v/>
      </c>
    </row>
    <row r="753" spans="10:10" x14ac:dyDescent="0.25">
      <c r="J753" t="str">
        <f>""</f>
        <v/>
      </c>
    </row>
    <row r="754" spans="10:10" x14ac:dyDescent="0.25">
      <c r="J754" t="str">
        <f>""</f>
        <v/>
      </c>
    </row>
    <row r="755" spans="10:10" x14ac:dyDescent="0.25">
      <c r="J755" t="str">
        <f>""</f>
        <v/>
      </c>
    </row>
    <row r="756" spans="10:10" x14ac:dyDescent="0.25">
      <c r="J756" t="str">
        <f>""</f>
        <v/>
      </c>
    </row>
    <row r="757" spans="10:10" x14ac:dyDescent="0.25">
      <c r="J757" t="str">
        <f>""</f>
        <v/>
      </c>
    </row>
    <row r="758" spans="10:10" x14ac:dyDescent="0.25">
      <c r="J758" t="str">
        <f>""</f>
        <v/>
      </c>
    </row>
    <row r="759" spans="10:10" x14ac:dyDescent="0.25">
      <c r="J759" t="str">
        <f>""</f>
        <v/>
      </c>
    </row>
    <row r="760" spans="10:10" x14ac:dyDescent="0.25">
      <c r="J760" t="str">
        <f>""</f>
        <v/>
      </c>
    </row>
    <row r="761" spans="10:10" x14ac:dyDescent="0.25">
      <c r="J761" t="str">
        <f>""</f>
        <v/>
      </c>
    </row>
    <row r="762" spans="10:10" x14ac:dyDescent="0.25">
      <c r="J762" t="str">
        <f>""</f>
        <v/>
      </c>
    </row>
    <row r="763" spans="10:10" x14ac:dyDescent="0.25">
      <c r="J763" t="str">
        <f>""</f>
        <v/>
      </c>
    </row>
    <row r="764" spans="10:10" x14ac:dyDescent="0.25">
      <c r="J764" t="str">
        <f>""</f>
        <v/>
      </c>
    </row>
    <row r="765" spans="10:10" x14ac:dyDescent="0.25">
      <c r="J765" t="str">
        <f>""</f>
        <v/>
      </c>
    </row>
    <row r="766" spans="10:10" x14ac:dyDescent="0.25">
      <c r="J766" t="str">
        <f>""</f>
        <v/>
      </c>
    </row>
    <row r="767" spans="10:10" x14ac:dyDescent="0.25">
      <c r="J767" t="str">
        <f>""</f>
        <v/>
      </c>
    </row>
    <row r="768" spans="10:10" x14ac:dyDescent="0.25">
      <c r="J768" t="str">
        <f>""</f>
        <v/>
      </c>
    </row>
    <row r="769" spans="10:10" x14ac:dyDescent="0.25">
      <c r="J769" t="str">
        <f>""</f>
        <v/>
      </c>
    </row>
    <row r="770" spans="10:10" x14ac:dyDescent="0.25">
      <c r="J770" t="str">
        <f>""</f>
        <v/>
      </c>
    </row>
    <row r="771" spans="10:10" x14ac:dyDescent="0.25">
      <c r="J771" t="str">
        <f>""</f>
        <v/>
      </c>
    </row>
    <row r="772" spans="10:10" x14ac:dyDescent="0.25">
      <c r="J772" t="str">
        <f>""</f>
        <v/>
      </c>
    </row>
    <row r="773" spans="10:10" x14ac:dyDescent="0.25">
      <c r="J773" t="str">
        <f>""</f>
        <v/>
      </c>
    </row>
    <row r="774" spans="10:10" x14ac:dyDescent="0.25">
      <c r="J774" t="str">
        <f>""</f>
        <v/>
      </c>
    </row>
    <row r="775" spans="10:10" x14ac:dyDescent="0.25">
      <c r="J775" t="str">
        <f>""</f>
        <v/>
      </c>
    </row>
    <row r="776" spans="10:10" x14ac:dyDescent="0.25">
      <c r="J776" t="str">
        <f>""</f>
        <v/>
      </c>
    </row>
    <row r="777" spans="10:10" x14ac:dyDescent="0.25">
      <c r="J777" t="str">
        <f>""</f>
        <v/>
      </c>
    </row>
    <row r="778" spans="10:10" x14ac:dyDescent="0.25">
      <c r="J778" t="str">
        <f>""</f>
        <v/>
      </c>
    </row>
    <row r="779" spans="10:10" x14ac:dyDescent="0.25">
      <c r="J779" t="str">
        <f>""</f>
        <v/>
      </c>
    </row>
    <row r="780" spans="10:10" x14ac:dyDescent="0.25">
      <c r="J780" t="str">
        <f>""</f>
        <v/>
      </c>
    </row>
    <row r="781" spans="10:10" x14ac:dyDescent="0.25">
      <c r="J781" t="str">
        <f>""</f>
        <v/>
      </c>
    </row>
    <row r="782" spans="10:10" x14ac:dyDescent="0.25">
      <c r="J782" t="str">
        <f>""</f>
        <v/>
      </c>
    </row>
    <row r="783" spans="10:10" x14ac:dyDescent="0.25">
      <c r="J783" t="str">
        <f>""</f>
        <v/>
      </c>
    </row>
    <row r="784" spans="10:10" x14ac:dyDescent="0.25">
      <c r="J784" t="str">
        <f>""</f>
        <v/>
      </c>
    </row>
    <row r="785" spans="10:10" x14ac:dyDescent="0.25">
      <c r="J785" t="str">
        <f>""</f>
        <v/>
      </c>
    </row>
    <row r="786" spans="10:10" x14ac:dyDescent="0.25">
      <c r="J786" t="str">
        <f>""</f>
        <v/>
      </c>
    </row>
    <row r="787" spans="10:10" x14ac:dyDescent="0.25">
      <c r="J787" t="str">
        <f>""</f>
        <v/>
      </c>
    </row>
    <row r="788" spans="10:10" x14ac:dyDescent="0.25">
      <c r="J788" t="str">
        <f>""</f>
        <v/>
      </c>
    </row>
    <row r="789" spans="10:10" x14ac:dyDescent="0.25">
      <c r="J789" t="str">
        <f>""</f>
        <v/>
      </c>
    </row>
    <row r="790" spans="10:10" x14ac:dyDescent="0.25">
      <c r="J790" t="str">
        <f>""</f>
        <v/>
      </c>
    </row>
    <row r="791" spans="10:10" x14ac:dyDescent="0.25">
      <c r="J791" t="str">
        <f>""</f>
        <v/>
      </c>
    </row>
    <row r="792" spans="10:10" x14ac:dyDescent="0.25">
      <c r="J792" t="str">
        <f>""</f>
        <v/>
      </c>
    </row>
    <row r="793" spans="10:10" x14ac:dyDescent="0.25">
      <c r="J793" t="str">
        <f>""</f>
        <v/>
      </c>
    </row>
    <row r="794" spans="10:10" x14ac:dyDescent="0.25">
      <c r="J794" t="str">
        <f>""</f>
        <v/>
      </c>
    </row>
    <row r="795" spans="10:10" x14ac:dyDescent="0.25">
      <c r="J795" t="str">
        <f>""</f>
        <v/>
      </c>
    </row>
    <row r="796" spans="10:10" x14ac:dyDescent="0.25">
      <c r="J796" t="str">
        <f>""</f>
        <v/>
      </c>
    </row>
    <row r="797" spans="10:10" x14ac:dyDescent="0.25">
      <c r="J797" t="str">
        <f>""</f>
        <v/>
      </c>
    </row>
    <row r="798" spans="10:10" x14ac:dyDescent="0.25">
      <c r="J798" t="str">
        <f>""</f>
        <v/>
      </c>
    </row>
    <row r="799" spans="10:10" x14ac:dyDescent="0.25">
      <c r="J799" t="str">
        <f>""</f>
        <v/>
      </c>
    </row>
    <row r="800" spans="10:10" x14ac:dyDescent="0.25">
      <c r="J800" t="str">
        <f>""</f>
        <v/>
      </c>
    </row>
    <row r="801" spans="10:10" x14ac:dyDescent="0.25">
      <c r="J801" t="str">
        <f>""</f>
        <v/>
      </c>
    </row>
    <row r="802" spans="10:10" x14ac:dyDescent="0.25">
      <c r="J802" t="str">
        <f>""</f>
        <v/>
      </c>
    </row>
    <row r="803" spans="10:10" x14ac:dyDescent="0.25">
      <c r="J803" t="str">
        <f>""</f>
        <v/>
      </c>
    </row>
    <row r="804" spans="10:10" x14ac:dyDescent="0.25">
      <c r="J804" t="str">
        <f>""</f>
        <v/>
      </c>
    </row>
    <row r="805" spans="10:10" x14ac:dyDescent="0.25">
      <c r="J805" t="str">
        <f>""</f>
        <v/>
      </c>
    </row>
    <row r="806" spans="10:10" x14ac:dyDescent="0.25">
      <c r="J806" t="str">
        <f>""</f>
        <v/>
      </c>
    </row>
    <row r="807" spans="10:10" x14ac:dyDescent="0.25">
      <c r="J807" t="str">
        <f>""</f>
        <v/>
      </c>
    </row>
    <row r="808" spans="10:10" x14ac:dyDescent="0.25">
      <c r="J808" t="str">
        <f>""</f>
        <v/>
      </c>
    </row>
    <row r="809" spans="10:10" x14ac:dyDescent="0.25">
      <c r="J809" t="str">
        <f>""</f>
        <v/>
      </c>
    </row>
    <row r="810" spans="10:10" x14ac:dyDescent="0.25">
      <c r="J810" t="str">
        <f>""</f>
        <v/>
      </c>
    </row>
    <row r="811" spans="10:10" x14ac:dyDescent="0.25">
      <c r="J811" t="str">
        <f>""</f>
        <v/>
      </c>
    </row>
    <row r="812" spans="10:10" x14ac:dyDescent="0.25">
      <c r="J812" t="str">
        <f>""</f>
        <v/>
      </c>
    </row>
    <row r="813" spans="10:10" x14ac:dyDescent="0.25">
      <c r="J813" t="str">
        <f>""</f>
        <v/>
      </c>
    </row>
    <row r="814" spans="10:10" x14ac:dyDescent="0.25">
      <c r="J814" t="str">
        <f>""</f>
        <v/>
      </c>
    </row>
    <row r="815" spans="10:10" x14ac:dyDescent="0.25">
      <c r="J815" t="str">
        <f>""</f>
        <v/>
      </c>
    </row>
    <row r="816" spans="10:10" x14ac:dyDescent="0.25">
      <c r="J816" t="str">
        <f>""</f>
        <v/>
      </c>
    </row>
    <row r="817" spans="10:10" x14ac:dyDescent="0.25">
      <c r="J817" t="str">
        <f>""</f>
        <v/>
      </c>
    </row>
    <row r="818" spans="10:10" x14ac:dyDescent="0.25">
      <c r="J818" t="str">
        <f>""</f>
        <v/>
      </c>
    </row>
    <row r="819" spans="10:10" x14ac:dyDescent="0.25">
      <c r="J819" t="str">
        <f>""</f>
        <v/>
      </c>
    </row>
    <row r="820" spans="10:10" x14ac:dyDescent="0.25">
      <c r="J820" t="str">
        <f>""</f>
        <v/>
      </c>
    </row>
    <row r="821" spans="10:10" x14ac:dyDescent="0.25">
      <c r="J821" t="str">
        <f>""</f>
        <v/>
      </c>
    </row>
    <row r="822" spans="10:10" x14ac:dyDescent="0.25">
      <c r="J822" t="str">
        <f>""</f>
        <v/>
      </c>
    </row>
    <row r="823" spans="10:10" x14ac:dyDescent="0.25">
      <c r="J823" t="str">
        <f>""</f>
        <v/>
      </c>
    </row>
    <row r="824" spans="10:10" x14ac:dyDescent="0.25">
      <c r="J824" t="str">
        <f>""</f>
        <v/>
      </c>
    </row>
    <row r="825" spans="10:10" x14ac:dyDescent="0.25">
      <c r="J825" t="str">
        <f>""</f>
        <v/>
      </c>
    </row>
    <row r="826" spans="10:10" x14ac:dyDescent="0.25">
      <c r="J826" t="str">
        <f>""</f>
        <v/>
      </c>
    </row>
    <row r="827" spans="10:10" x14ac:dyDescent="0.25">
      <c r="J827" t="str">
        <f>""</f>
        <v/>
      </c>
    </row>
    <row r="828" spans="10:10" x14ac:dyDescent="0.25">
      <c r="J828" t="str">
        <f>""</f>
        <v/>
      </c>
    </row>
    <row r="829" spans="10:10" x14ac:dyDescent="0.25">
      <c r="J829" t="str">
        <f>""</f>
        <v/>
      </c>
    </row>
    <row r="830" spans="10:10" x14ac:dyDescent="0.25">
      <c r="J830" t="str">
        <f>""</f>
        <v/>
      </c>
    </row>
    <row r="831" spans="10:10" x14ac:dyDescent="0.25">
      <c r="J831" t="str">
        <f>""</f>
        <v/>
      </c>
    </row>
    <row r="832" spans="10:10" x14ac:dyDescent="0.25">
      <c r="J832" t="str">
        <f>""</f>
        <v/>
      </c>
    </row>
    <row r="833" spans="10:10" x14ac:dyDescent="0.25">
      <c r="J833" t="str">
        <f>""</f>
        <v/>
      </c>
    </row>
    <row r="834" spans="10:10" x14ac:dyDescent="0.25">
      <c r="J834" t="str">
        <f>""</f>
        <v/>
      </c>
    </row>
    <row r="835" spans="10:10" x14ac:dyDescent="0.25">
      <c r="J835" t="str">
        <f>""</f>
        <v/>
      </c>
    </row>
    <row r="836" spans="10:10" x14ac:dyDescent="0.25">
      <c r="J836" t="str">
        <f>""</f>
        <v/>
      </c>
    </row>
    <row r="837" spans="10:10" x14ac:dyDescent="0.25">
      <c r="J837" t="str">
        <f>""</f>
        <v/>
      </c>
    </row>
    <row r="838" spans="10:10" x14ac:dyDescent="0.25">
      <c r="J838" t="str">
        <f>""</f>
        <v/>
      </c>
    </row>
    <row r="839" spans="10:10" x14ac:dyDescent="0.25">
      <c r="J839" t="str">
        <f>""</f>
        <v/>
      </c>
    </row>
    <row r="840" spans="10:10" x14ac:dyDescent="0.25">
      <c r="J840" t="str">
        <f>""</f>
        <v/>
      </c>
    </row>
    <row r="841" spans="10:10" x14ac:dyDescent="0.25">
      <c r="J841" t="str">
        <f>""</f>
        <v/>
      </c>
    </row>
    <row r="842" spans="10:10" x14ac:dyDescent="0.25">
      <c r="J842" t="str">
        <f>""</f>
        <v/>
      </c>
    </row>
    <row r="843" spans="10:10" x14ac:dyDescent="0.25">
      <c r="J843" t="str">
        <f>""</f>
        <v/>
      </c>
    </row>
    <row r="844" spans="10:10" x14ac:dyDescent="0.25">
      <c r="J844" t="str">
        <f>""</f>
        <v/>
      </c>
    </row>
    <row r="845" spans="10:10" x14ac:dyDescent="0.25">
      <c r="J845" t="str">
        <f>""</f>
        <v/>
      </c>
    </row>
    <row r="846" spans="10:10" x14ac:dyDescent="0.25">
      <c r="J846" t="str">
        <f>""</f>
        <v/>
      </c>
    </row>
    <row r="847" spans="10:10" x14ac:dyDescent="0.25">
      <c r="J847" t="str">
        <f>""</f>
        <v/>
      </c>
    </row>
    <row r="848" spans="10:10" x14ac:dyDescent="0.25">
      <c r="J848" t="str">
        <f>""</f>
        <v/>
      </c>
    </row>
    <row r="849" spans="10:10" x14ac:dyDescent="0.25">
      <c r="J849" t="str">
        <f>""</f>
        <v/>
      </c>
    </row>
    <row r="850" spans="10:10" x14ac:dyDescent="0.25">
      <c r="J850" t="str">
        <f>""</f>
        <v/>
      </c>
    </row>
    <row r="851" spans="10:10" x14ac:dyDescent="0.25">
      <c r="J851" t="str">
        <f>""</f>
        <v/>
      </c>
    </row>
    <row r="852" spans="10:10" x14ac:dyDescent="0.25">
      <c r="J852" t="str">
        <f>""</f>
        <v/>
      </c>
    </row>
    <row r="853" spans="10:10" x14ac:dyDescent="0.25">
      <c r="J853" t="str">
        <f>""</f>
        <v/>
      </c>
    </row>
    <row r="854" spans="10:10" x14ac:dyDescent="0.25">
      <c r="J854" t="str">
        <f>""</f>
        <v/>
      </c>
    </row>
    <row r="855" spans="10:10" x14ac:dyDescent="0.25">
      <c r="J855" t="str">
        <f>""</f>
        <v/>
      </c>
    </row>
    <row r="856" spans="10:10" x14ac:dyDescent="0.25">
      <c r="J856" t="str">
        <f>""</f>
        <v/>
      </c>
    </row>
    <row r="857" spans="10:10" x14ac:dyDescent="0.25">
      <c r="J857" t="str">
        <f>""</f>
        <v/>
      </c>
    </row>
    <row r="858" spans="10:10" x14ac:dyDescent="0.25">
      <c r="J858" t="str">
        <f>""</f>
        <v/>
      </c>
    </row>
    <row r="859" spans="10:10" x14ac:dyDescent="0.25">
      <c r="J859" t="str">
        <f>""</f>
        <v/>
      </c>
    </row>
    <row r="860" spans="10:10" x14ac:dyDescent="0.25">
      <c r="J860" t="str">
        <f>""</f>
        <v/>
      </c>
    </row>
    <row r="861" spans="10:10" x14ac:dyDescent="0.25">
      <c r="J861" t="str">
        <f>""</f>
        <v/>
      </c>
    </row>
    <row r="862" spans="10:10" x14ac:dyDescent="0.25">
      <c r="J862" t="str">
        <f>""</f>
        <v/>
      </c>
    </row>
    <row r="863" spans="10:10" x14ac:dyDescent="0.25">
      <c r="J863" t="str">
        <f>""</f>
        <v/>
      </c>
    </row>
    <row r="864" spans="10:10" x14ac:dyDescent="0.25">
      <c r="J864" t="str">
        <f>""</f>
        <v/>
      </c>
    </row>
    <row r="865" spans="10:10" x14ac:dyDescent="0.25">
      <c r="J865" t="str">
        <f>""</f>
        <v/>
      </c>
    </row>
    <row r="866" spans="10:10" x14ac:dyDescent="0.25">
      <c r="J866" t="str">
        <f>""</f>
        <v/>
      </c>
    </row>
    <row r="867" spans="10:10" x14ac:dyDescent="0.25">
      <c r="J867" t="str">
        <f>""</f>
        <v/>
      </c>
    </row>
    <row r="868" spans="10:10" x14ac:dyDescent="0.25">
      <c r="J868" t="str">
        <f>""</f>
        <v/>
      </c>
    </row>
    <row r="869" spans="10:10" x14ac:dyDescent="0.25">
      <c r="J869" t="str">
        <f>""</f>
        <v/>
      </c>
    </row>
    <row r="870" spans="10:10" x14ac:dyDescent="0.25">
      <c r="J870" t="str">
        <f>""</f>
        <v/>
      </c>
    </row>
    <row r="871" spans="10:10" x14ac:dyDescent="0.25">
      <c r="J871" t="str">
        <f>""</f>
        <v/>
      </c>
    </row>
    <row r="872" spans="10:10" x14ac:dyDescent="0.25">
      <c r="J872" t="str">
        <f>""</f>
        <v/>
      </c>
    </row>
    <row r="873" spans="10:10" x14ac:dyDescent="0.25">
      <c r="J873" t="str">
        <f>""</f>
        <v/>
      </c>
    </row>
    <row r="874" spans="10:10" x14ac:dyDescent="0.25">
      <c r="J874" t="str">
        <f>""</f>
        <v/>
      </c>
    </row>
    <row r="875" spans="10:10" x14ac:dyDescent="0.25">
      <c r="J875" t="str">
        <f>""</f>
        <v/>
      </c>
    </row>
    <row r="876" spans="10:10" x14ac:dyDescent="0.25">
      <c r="J876" t="str">
        <f>""</f>
        <v/>
      </c>
    </row>
    <row r="877" spans="10:10" x14ac:dyDescent="0.25">
      <c r="J877" t="str">
        <f>""</f>
        <v/>
      </c>
    </row>
    <row r="878" spans="10:10" x14ac:dyDescent="0.25">
      <c r="J878" t="str">
        <f>""</f>
        <v/>
      </c>
    </row>
    <row r="879" spans="10:10" x14ac:dyDescent="0.25">
      <c r="J879" t="str">
        <f>""</f>
        <v/>
      </c>
    </row>
    <row r="880" spans="10:10" x14ac:dyDescent="0.25">
      <c r="J880" t="str">
        <f>""</f>
        <v/>
      </c>
    </row>
    <row r="881" spans="10:10" x14ac:dyDescent="0.25">
      <c r="J881" t="str">
        <f>""</f>
        <v/>
      </c>
    </row>
    <row r="882" spans="10:10" x14ac:dyDescent="0.25">
      <c r="J882" t="str">
        <f>""</f>
        <v/>
      </c>
    </row>
    <row r="883" spans="10:10" x14ac:dyDescent="0.25">
      <c r="J883" t="str">
        <f>""</f>
        <v/>
      </c>
    </row>
    <row r="884" spans="10:10" x14ac:dyDescent="0.25">
      <c r="J884" t="str">
        <f>""</f>
        <v/>
      </c>
    </row>
    <row r="885" spans="10:10" x14ac:dyDescent="0.25">
      <c r="J885" t="str">
        <f>""</f>
        <v/>
      </c>
    </row>
    <row r="886" spans="10:10" x14ac:dyDescent="0.25">
      <c r="J886" t="str">
        <f>""</f>
        <v/>
      </c>
    </row>
    <row r="887" spans="10:10" x14ac:dyDescent="0.25">
      <c r="J887" t="str">
        <f>""</f>
        <v/>
      </c>
    </row>
    <row r="888" spans="10:10" x14ac:dyDescent="0.25">
      <c r="J888" t="str">
        <f>""</f>
        <v/>
      </c>
    </row>
    <row r="889" spans="10:10" x14ac:dyDescent="0.25">
      <c r="J889" t="str">
        <f>""</f>
        <v/>
      </c>
    </row>
    <row r="890" spans="10:10" x14ac:dyDescent="0.25">
      <c r="J890" t="str">
        <f>""</f>
        <v/>
      </c>
    </row>
    <row r="891" spans="10:10" x14ac:dyDescent="0.25">
      <c r="J891" t="str">
        <f>""</f>
        <v/>
      </c>
    </row>
    <row r="892" spans="10:10" x14ac:dyDescent="0.25">
      <c r="J892" t="str">
        <f>""</f>
        <v/>
      </c>
    </row>
    <row r="893" spans="10:10" x14ac:dyDescent="0.25">
      <c r="J893" t="str">
        <f>""</f>
        <v/>
      </c>
    </row>
    <row r="894" spans="10:10" x14ac:dyDescent="0.25">
      <c r="J894" t="str">
        <f>""</f>
        <v/>
      </c>
    </row>
    <row r="895" spans="10:10" x14ac:dyDescent="0.25">
      <c r="J895" t="str">
        <f>""</f>
        <v/>
      </c>
    </row>
    <row r="896" spans="10:10" x14ac:dyDescent="0.25">
      <c r="J896" t="str">
        <f>""</f>
        <v/>
      </c>
    </row>
    <row r="897" spans="10:10" x14ac:dyDescent="0.25">
      <c r="J897" t="str">
        <f>""</f>
        <v/>
      </c>
    </row>
    <row r="898" spans="10:10" x14ac:dyDescent="0.25">
      <c r="J898" t="str">
        <f>""</f>
        <v/>
      </c>
    </row>
    <row r="899" spans="10:10" x14ac:dyDescent="0.25">
      <c r="J899" t="str">
        <f>""</f>
        <v/>
      </c>
    </row>
    <row r="900" spans="10:10" x14ac:dyDescent="0.25">
      <c r="J900" t="str">
        <f>""</f>
        <v/>
      </c>
    </row>
    <row r="901" spans="10:10" x14ac:dyDescent="0.25">
      <c r="J901" t="str">
        <f>""</f>
        <v/>
      </c>
    </row>
    <row r="902" spans="10:10" x14ac:dyDescent="0.25">
      <c r="J902" t="str">
        <f>""</f>
        <v/>
      </c>
    </row>
    <row r="903" spans="10:10" x14ac:dyDescent="0.25">
      <c r="J903" t="str">
        <f>""</f>
        <v/>
      </c>
    </row>
    <row r="904" spans="10:10" x14ac:dyDescent="0.25">
      <c r="J904" t="str">
        <f>""</f>
        <v/>
      </c>
    </row>
    <row r="905" spans="10:10" x14ac:dyDescent="0.25">
      <c r="J905" t="str">
        <f>""</f>
        <v/>
      </c>
    </row>
    <row r="906" spans="10:10" x14ac:dyDescent="0.25">
      <c r="J906" t="str">
        <f>""</f>
        <v/>
      </c>
    </row>
    <row r="907" spans="10:10" x14ac:dyDescent="0.25">
      <c r="J907" t="str">
        <f>""</f>
        <v/>
      </c>
    </row>
    <row r="908" spans="10:10" x14ac:dyDescent="0.25">
      <c r="J908" t="str">
        <f>""</f>
        <v/>
      </c>
    </row>
    <row r="909" spans="10:10" x14ac:dyDescent="0.25">
      <c r="J909" t="str">
        <f>""</f>
        <v/>
      </c>
    </row>
    <row r="910" spans="10:10" x14ac:dyDescent="0.25">
      <c r="J910" t="str">
        <f>""</f>
        <v/>
      </c>
    </row>
    <row r="911" spans="10:10" x14ac:dyDescent="0.25">
      <c r="J911" t="str">
        <f>""</f>
        <v/>
      </c>
    </row>
    <row r="912" spans="10:10" x14ac:dyDescent="0.25">
      <c r="J912" t="str">
        <f>""</f>
        <v/>
      </c>
    </row>
    <row r="913" spans="10:10" x14ac:dyDescent="0.25">
      <c r="J913" t="str">
        <f>""</f>
        <v/>
      </c>
    </row>
    <row r="914" spans="10:10" x14ac:dyDescent="0.25">
      <c r="J914" t="str">
        <f>""</f>
        <v/>
      </c>
    </row>
    <row r="915" spans="10:10" x14ac:dyDescent="0.25">
      <c r="J915" t="str">
        <f>""</f>
        <v/>
      </c>
    </row>
    <row r="916" spans="10:10" x14ac:dyDescent="0.25">
      <c r="J916" t="str">
        <f>""</f>
        <v/>
      </c>
    </row>
    <row r="917" spans="10:10" x14ac:dyDescent="0.25">
      <c r="J917" t="str">
        <f>""</f>
        <v/>
      </c>
    </row>
    <row r="918" spans="10:10" x14ac:dyDescent="0.25">
      <c r="J918" t="str">
        <f>""</f>
        <v/>
      </c>
    </row>
    <row r="919" spans="10:10" x14ac:dyDescent="0.25">
      <c r="J919" t="str">
        <f>""</f>
        <v/>
      </c>
    </row>
    <row r="920" spans="10:10" x14ac:dyDescent="0.25">
      <c r="J920" t="str">
        <f>""</f>
        <v/>
      </c>
    </row>
    <row r="921" spans="10:10" x14ac:dyDescent="0.25">
      <c r="J921" t="str">
        <f>""</f>
        <v/>
      </c>
    </row>
    <row r="922" spans="10:10" x14ac:dyDescent="0.25">
      <c r="J922" t="str">
        <f>""</f>
        <v/>
      </c>
    </row>
    <row r="923" spans="10:10" x14ac:dyDescent="0.25">
      <c r="J923" t="str">
        <f>""</f>
        <v/>
      </c>
    </row>
    <row r="924" spans="10:10" x14ac:dyDescent="0.25">
      <c r="J924" t="str">
        <f>""</f>
        <v/>
      </c>
    </row>
    <row r="925" spans="10:10" x14ac:dyDescent="0.25">
      <c r="J925" t="str">
        <f>""</f>
        <v/>
      </c>
    </row>
    <row r="926" spans="10:10" x14ac:dyDescent="0.25">
      <c r="J926" t="str">
        <f>""</f>
        <v/>
      </c>
    </row>
    <row r="927" spans="10:10" x14ac:dyDescent="0.25">
      <c r="J927" t="str">
        <f>""</f>
        <v/>
      </c>
    </row>
    <row r="928" spans="10:10" x14ac:dyDescent="0.25">
      <c r="J928" t="str">
        <f>""</f>
        <v/>
      </c>
    </row>
    <row r="929" spans="10:10" x14ac:dyDescent="0.25">
      <c r="J929" t="str">
        <f>""</f>
        <v/>
      </c>
    </row>
    <row r="930" spans="10:10" x14ac:dyDescent="0.25">
      <c r="J930" t="str">
        <f>""</f>
        <v/>
      </c>
    </row>
    <row r="931" spans="10:10" x14ac:dyDescent="0.25">
      <c r="J931" t="str">
        <f>""</f>
        <v/>
      </c>
    </row>
    <row r="932" spans="10:10" x14ac:dyDescent="0.25">
      <c r="J932" t="str">
        <f>""</f>
        <v/>
      </c>
    </row>
    <row r="933" spans="10:10" x14ac:dyDescent="0.25">
      <c r="J933" t="str">
        <f>""</f>
        <v/>
      </c>
    </row>
    <row r="934" spans="10:10" x14ac:dyDescent="0.25">
      <c r="J934" t="str">
        <f>""</f>
        <v/>
      </c>
    </row>
    <row r="935" spans="10:10" x14ac:dyDescent="0.25">
      <c r="J935" t="str">
        <f>""</f>
        <v/>
      </c>
    </row>
    <row r="936" spans="10:10" x14ac:dyDescent="0.25">
      <c r="J936" t="str">
        <f>""</f>
        <v/>
      </c>
    </row>
    <row r="937" spans="10:10" x14ac:dyDescent="0.25">
      <c r="J937" t="str">
        <f>""</f>
        <v/>
      </c>
    </row>
    <row r="938" spans="10:10" x14ac:dyDescent="0.25">
      <c r="J938" t="str">
        <f>""</f>
        <v/>
      </c>
    </row>
    <row r="939" spans="10:10" x14ac:dyDescent="0.25">
      <c r="J939" t="str">
        <f>""</f>
        <v/>
      </c>
    </row>
    <row r="940" spans="10:10" x14ac:dyDescent="0.25">
      <c r="J940" t="str">
        <f>""</f>
        <v/>
      </c>
    </row>
    <row r="941" spans="10:10" x14ac:dyDescent="0.25">
      <c r="J941" t="str">
        <f>""</f>
        <v/>
      </c>
    </row>
    <row r="942" spans="10:10" x14ac:dyDescent="0.25">
      <c r="J942" t="str">
        <f>""</f>
        <v/>
      </c>
    </row>
    <row r="943" spans="10:10" x14ac:dyDescent="0.25">
      <c r="J943" t="str">
        <f>""</f>
        <v/>
      </c>
    </row>
    <row r="944" spans="10:10" x14ac:dyDescent="0.25">
      <c r="J944" t="str">
        <f>""</f>
        <v/>
      </c>
    </row>
    <row r="945" spans="10:10" x14ac:dyDescent="0.25">
      <c r="J945" t="str">
        <f>""</f>
        <v/>
      </c>
    </row>
    <row r="946" spans="10:10" x14ac:dyDescent="0.25">
      <c r="J946" t="str">
        <f>""</f>
        <v/>
      </c>
    </row>
    <row r="947" spans="10:10" x14ac:dyDescent="0.25">
      <c r="J947" t="str">
        <f>""</f>
        <v/>
      </c>
    </row>
    <row r="948" spans="10:10" x14ac:dyDescent="0.25">
      <c r="J948" t="str">
        <f>""</f>
        <v/>
      </c>
    </row>
    <row r="949" spans="10:10" x14ac:dyDescent="0.25">
      <c r="J949" t="str">
        <f>""</f>
        <v/>
      </c>
    </row>
    <row r="950" spans="10:10" x14ac:dyDescent="0.25">
      <c r="J950" t="str">
        <f>""</f>
        <v/>
      </c>
    </row>
    <row r="951" spans="10:10" x14ac:dyDescent="0.25">
      <c r="J951" t="str">
        <f>""</f>
        <v/>
      </c>
    </row>
    <row r="952" spans="10:10" x14ac:dyDescent="0.25">
      <c r="J952" t="str">
        <f>""</f>
        <v/>
      </c>
    </row>
    <row r="953" spans="10:10" x14ac:dyDescent="0.25">
      <c r="J953" t="str">
        <f>""</f>
        <v/>
      </c>
    </row>
    <row r="954" spans="10:10" x14ac:dyDescent="0.25">
      <c r="J954" t="str">
        <f>""</f>
        <v/>
      </c>
    </row>
    <row r="955" spans="10:10" x14ac:dyDescent="0.25">
      <c r="J955" t="str">
        <f>""</f>
        <v/>
      </c>
    </row>
    <row r="956" spans="10:10" x14ac:dyDescent="0.25">
      <c r="J956" t="str">
        <f>""</f>
        <v/>
      </c>
    </row>
    <row r="957" spans="10:10" x14ac:dyDescent="0.25">
      <c r="J957" t="str">
        <f>""</f>
        <v/>
      </c>
    </row>
    <row r="958" spans="10:10" x14ac:dyDescent="0.25">
      <c r="J958" t="str">
        <f>""</f>
        <v/>
      </c>
    </row>
    <row r="959" spans="10:10" x14ac:dyDescent="0.25">
      <c r="J959" t="str">
        <f>""</f>
        <v/>
      </c>
    </row>
    <row r="960" spans="10:10" x14ac:dyDescent="0.25">
      <c r="J960" t="str">
        <f>""</f>
        <v/>
      </c>
    </row>
    <row r="961" spans="10:10" x14ac:dyDescent="0.25">
      <c r="J961" t="str">
        <f>""</f>
        <v/>
      </c>
    </row>
    <row r="962" spans="10:10" x14ac:dyDescent="0.25">
      <c r="J962" t="str">
        <f>""</f>
        <v/>
      </c>
    </row>
    <row r="963" spans="10:10" x14ac:dyDescent="0.25">
      <c r="J963" t="str">
        <f>""</f>
        <v/>
      </c>
    </row>
    <row r="964" spans="10:10" x14ac:dyDescent="0.25">
      <c r="J964" t="str">
        <f>""</f>
        <v/>
      </c>
    </row>
    <row r="965" spans="10:10" x14ac:dyDescent="0.25">
      <c r="J965" t="str">
        <f>""</f>
        <v/>
      </c>
    </row>
    <row r="966" spans="10:10" x14ac:dyDescent="0.25">
      <c r="J966" t="str">
        <f>""</f>
        <v/>
      </c>
    </row>
    <row r="967" spans="10:10" x14ac:dyDescent="0.25">
      <c r="J967" t="str">
        <f>""</f>
        <v/>
      </c>
    </row>
    <row r="968" spans="10:10" x14ac:dyDescent="0.25">
      <c r="J968" t="str">
        <f>""</f>
        <v/>
      </c>
    </row>
    <row r="969" spans="10:10" x14ac:dyDescent="0.25">
      <c r="J969" t="str">
        <f>""</f>
        <v/>
      </c>
    </row>
    <row r="970" spans="10:10" x14ac:dyDescent="0.25">
      <c r="J970" t="str">
        <f>""</f>
        <v/>
      </c>
    </row>
    <row r="971" spans="10:10" x14ac:dyDescent="0.25">
      <c r="J971" t="str">
        <f>""</f>
        <v/>
      </c>
    </row>
    <row r="972" spans="10:10" x14ac:dyDescent="0.25">
      <c r="J972" t="str">
        <f>""</f>
        <v/>
      </c>
    </row>
    <row r="973" spans="10:10" x14ac:dyDescent="0.25">
      <c r="J973" t="str">
        <f>""</f>
        <v/>
      </c>
    </row>
    <row r="974" spans="10:10" x14ac:dyDescent="0.25">
      <c r="J974" t="str">
        <f>""</f>
        <v/>
      </c>
    </row>
    <row r="975" spans="10:10" x14ac:dyDescent="0.25">
      <c r="J975" t="str">
        <f>""</f>
        <v/>
      </c>
    </row>
    <row r="976" spans="10:10" x14ac:dyDescent="0.25">
      <c r="J976" t="str">
        <f>""</f>
        <v/>
      </c>
    </row>
    <row r="977" spans="10:10" x14ac:dyDescent="0.25">
      <c r="J977" t="str">
        <f>""</f>
        <v/>
      </c>
    </row>
    <row r="978" spans="10:10" x14ac:dyDescent="0.25">
      <c r="J978" t="str">
        <f>""</f>
        <v/>
      </c>
    </row>
    <row r="979" spans="10:10" x14ac:dyDescent="0.25">
      <c r="J979" t="str">
        <f>""</f>
        <v/>
      </c>
    </row>
    <row r="980" spans="10:10" x14ac:dyDescent="0.25">
      <c r="J980" t="str">
        <f>""</f>
        <v/>
      </c>
    </row>
    <row r="981" spans="10:10" x14ac:dyDescent="0.25">
      <c r="J981" t="str">
        <f>""</f>
        <v/>
      </c>
    </row>
    <row r="982" spans="10:10" x14ac:dyDescent="0.25">
      <c r="J982" t="str">
        <f>""</f>
        <v/>
      </c>
    </row>
    <row r="983" spans="10:10" x14ac:dyDescent="0.25">
      <c r="J983" t="str">
        <f>""</f>
        <v/>
      </c>
    </row>
    <row r="984" spans="10:10" x14ac:dyDescent="0.25">
      <c r="J984" t="str">
        <f>""</f>
        <v/>
      </c>
    </row>
    <row r="985" spans="10:10" x14ac:dyDescent="0.25">
      <c r="J985" t="str">
        <f>""</f>
        <v/>
      </c>
    </row>
    <row r="986" spans="10:10" x14ac:dyDescent="0.25">
      <c r="J986" t="str">
        <f>""</f>
        <v/>
      </c>
    </row>
    <row r="987" spans="10:10" x14ac:dyDescent="0.25">
      <c r="J987" t="str">
        <f>""</f>
        <v/>
      </c>
    </row>
    <row r="988" spans="10:10" x14ac:dyDescent="0.25">
      <c r="J988" t="str">
        <f>""</f>
        <v/>
      </c>
    </row>
    <row r="989" spans="10:10" x14ac:dyDescent="0.25">
      <c r="J989" t="str">
        <f>""</f>
        <v/>
      </c>
    </row>
    <row r="990" spans="10:10" x14ac:dyDescent="0.25">
      <c r="J990" t="str">
        <f>""</f>
        <v/>
      </c>
    </row>
    <row r="991" spans="10:10" x14ac:dyDescent="0.25">
      <c r="J991" t="str">
        <f>""</f>
        <v/>
      </c>
    </row>
    <row r="992" spans="10:10" x14ac:dyDescent="0.25">
      <c r="J992" t="str">
        <f>""</f>
        <v/>
      </c>
    </row>
    <row r="993" spans="10:10" x14ac:dyDescent="0.25">
      <c r="J993" t="str">
        <f>""</f>
        <v/>
      </c>
    </row>
    <row r="994" spans="10:10" x14ac:dyDescent="0.25">
      <c r="J994" t="str">
        <f>""</f>
        <v/>
      </c>
    </row>
    <row r="995" spans="10:10" x14ac:dyDescent="0.25">
      <c r="J995" t="str">
        <f>""</f>
        <v/>
      </c>
    </row>
    <row r="996" spans="10:10" x14ac:dyDescent="0.25">
      <c r="J996" t="str">
        <f>""</f>
        <v/>
      </c>
    </row>
    <row r="997" spans="10:10" x14ac:dyDescent="0.25">
      <c r="J997" t="str">
        <f>""</f>
        <v/>
      </c>
    </row>
    <row r="998" spans="10:10" x14ac:dyDescent="0.25">
      <c r="J998" t="str">
        <f>""</f>
        <v/>
      </c>
    </row>
    <row r="999" spans="10:10" x14ac:dyDescent="0.25">
      <c r="J999" t="str">
        <f>""</f>
        <v/>
      </c>
    </row>
    <row r="1000" spans="10:10" x14ac:dyDescent="0.25">
      <c r="J1000" t="str">
        <f>""</f>
        <v/>
      </c>
    </row>
    <row r="1001" spans="10:10" x14ac:dyDescent="0.25">
      <c r="J1001" t="str">
        <f>""</f>
        <v/>
      </c>
    </row>
    <row r="1002" spans="10:10" x14ac:dyDescent="0.25">
      <c r="J1002" t="str">
        <f>""</f>
        <v/>
      </c>
    </row>
    <row r="1003" spans="10:10" x14ac:dyDescent="0.25">
      <c r="J1003" t="str">
        <f>""</f>
        <v/>
      </c>
    </row>
    <row r="1004" spans="10:10" x14ac:dyDescent="0.25">
      <c r="J1004" t="str">
        <f>""</f>
        <v/>
      </c>
    </row>
    <row r="1005" spans="10:10" x14ac:dyDescent="0.25">
      <c r="J1005" t="str">
        <f>""</f>
        <v/>
      </c>
    </row>
    <row r="1006" spans="10:10" x14ac:dyDescent="0.25">
      <c r="J1006" t="str">
        <f>""</f>
        <v/>
      </c>
    </row>
    <row r="1007" spans="10:10" x14ac:dyDescent="0.25">
      <c r="J1007" t="str">
        <f>""</f>
        <v/>
      </c>
    </row>
    <row r="1008" spans="10:10" x14ac:dyDescent="0.25">
      <c r="J1008" t="str">
        <f>""</f>
        <v/>
      </c>
    </row>
    <row r="1009" spans="10:10" x14ac:dyDescent="0.25">
      <c r="J1009" t="str">
        <f>""</f>
        <v/>
      </c>
    </row>
    <row r="1010" spans="10:10" x14ac:dyDescent="0.25">
      <c r="J1010" t="str">
        <f>""</f>
        <v/>
      </c>
    </row>
    <row r="1011" spans="10:10" x14ac:dyDescent="0.25">
      <c r="J1011" t="str">
        <f>""</f>
        <v/>
      </c>
    </row>
    <row r="1012" spans="10:10" x14ac:dyDescent="0.25">
      <c r="J1012" t="str">
        <f>""</f>
        <v/>
      </c>
    </row>
    <row r="1013" spans="10:10" x14ac:dyDescent="0.25">
      <c r="J1013" t="str">
        <f>""</f>
        <v/>
      </c>
    </row>
    <row r="1014" spans="10:10" x14ac:dyDescent="0.25">
      <c r="J1014" t="str">
        <f>""</f>
        <v/>
      </c>
    </row>
    <row r="1015" spans="10:10" x14ac:dyDescent="0.25">
      <c r="J1015" t="str">
        <f>""</f>
        <v/>
      </c>
    </row>
    <row r="1016" spans="10:10" x14ac:dyDescent="0.25">
      <c r="J1016" t="str">
        <f>""</f>
        <v/>
      </c>
    </row>
    <row r="1017" spans="10:10" x14ac:dyDescent="0.25">
      <c r="J1017" t="str">
        <f>""</f>
        <v/>
      </c>
    </row>
    <row r="1018" spans="10:10" x14ac:dyDescent="0.25">
      <c r="J1018" t="str">
        <f>""</f>
        <v/>
      </c>
    </row>
    <row r="1019" spans="10:10" x14ac:dyDescent="0.25">
      <c r="J1019" t="str">
        <f>""</f>
        <v/>
      </c>
    </row>
    <row r="1020" spans="10:10" x14ac:dyDescent="0.25">
      <c r="J1020" t="str">
        <f>""</f>
        <v/>
      </c>
    </row>
    <row r="1021" spans="10:10" x14ac:dyDescent="0.25">
      <c r="J1021" t="str">
        <f>""</f>
        <v/>
      </c>
    </row>
    <row r="1022" spans="10:10" x14ac:dyDescent="0.25">
      <c r="J1022" t="str">
        <f>""</f>
        <v/>
      </c>
    </row>
    <row r="1023" spans="10:10" x14ac:dyDescent="0.25">
      <c r="J1023" t="str">
        <f>""</f>
        <v/>
      </c>
    </row>
    <row r="1024" spans="10:10" x14ac:dyDescent="0.25">
      <c r="J1024" t="str">
        <f>""</f>
        <v/>
      </c>
    </row>
    <row r="1025" spans="10:10" x14ac:dyDescent="0.25">
      <c r="J1025" t="str">
        <f>""</f>
        <v/>
      </c>
    </row>
    <row r="1026" spans="10:10" x14ac:dyDescent="0.25">
      <c r="J1026" t="str">
        <f>""</f>
        <v/>
      </c>
    </row>
    <row r="1027" spans="10:10" x14ac:dyDescent="0.25">
      <c r="J1027" t="str">
        <f>""</f>
        <v/>
      </c>
    </row>
    <row r="1028" spans="10:10" x14ac:dyDescent="0.25">
      <c r="J1028" t="str">
        <f>""</f>
        <v/>
      </c>
    </row>
    <row r="1029" spans="10:10" x14ac:dyDescent="0.25">
      <c r="J1029" t="str">
        <f>""</f>
        <v/>
      </c>
    </row>
    <row r="1030" spans="10:10" x14ac:dyDescent="0.25">
      <c r="J1030" t="str">
        <f>""</f>
        <v/>
      </c>
    </row>
    <row r="1031" spans="10:10" x14ac:dyDescent="0.25">
      <c r="J1031" t="str">
        <f>""</f>
        <v/>
      </c>
    </row>
    <row r="1032" spans="10:10" x14ac:dyDescent="0.25">
      <c r="J1032" t="str">
        <f>""</f>
        <v/>
      </c>
    </row>
    <row r="1033" spans="10:10" x14ac:dyDescent="0.25">
      <c r="J1033" t="str">
        <f>""</f>
        <v/>
      </c>
    </row>
    <row r="1034" spans="10:10" x14ac:dyDescent="0.25">
      <c r="J1034" t="str">
        <f>""</f>
        <v/>
      </c>
    </row>
    <row r="1035" spans="10:10" x14ac:dyDescent="0.25">
      <c r="J1035" t="str">
        <f>""</f>
        <v/>
      </c>
    </row>
    <row r="1036" spans="10:10" x14ac:dyDescent="0.25">
      <c r="J1036" t="str">
        <f>""</f>
        <v/>
      </c>
    </row>
    <row r="1037" spans="10:10" x14ac:dyDescent="0.25">
      <c r="J1037" t="str">
        <f>""</f>
        <v/>
      </c>
    </row>
    <row r="1038" spans="10:10" x14ac:dyDescent="0.25">
      <c r="J1038" t="str">
        <f>""</f>
        <v/>
      </c>
    </row>
    <row r="1039" spans="10:10" x14ac:dyDescent="0.25">
      <c r="J1039" t="str">
        <f>""</f>
        <v/>
      </c>
    </row>
    <row r="1040" spans="10:10" x14ac:dyDescent="0.25">
      <c r="J1040" t="str">
        <f>""</f>
        <v/>
      </c>
    </row>
    <row r="1041" spans="10:10" x14ac:dyDescent="0.25">
      <c r="J1041" t="str">
        <f>""</f>
        <v/>
      </c>
    </row>
    <row r="1042" spans="10:10" x14ac:dyDescent="0.25">
      <c r="J1042" t="str">
        <f>""</f>
        <v/>
      </c>
    </row>
    <row r="1043" spans="10:10" x14ac:dyDescent="0.25">
      <c r="J1043" t="str">
        <f>""</f>
        <v/>
      </c>
    </row>
    <row r="1044" spans="10:10" x14ac:dyDescent="0.25">
      <c r="J1044" t="str">
        <f>""</f>
        <v/>
      </c>
    </row>
    <row r="1045" spans="10:10" x14ac:dyDescent="0.25">
      <c r="J1045" t="str">
        <f>""</f>
        <v/>
      </c>
    </row>
    <row r="1046" spans="10:10" x14ac:dyDescent="0.25">
      <c r="J1046" t="str">
        <f>""</f>
        <v/>
      </c>
    </row>
    <row r="1047" spans="10:10" x14ac:dyDescent="0.25">
      <c r="J1047" t="str">
        <f>""</f>
        <v/>
      </c>
    </row>
    <row r="1048" spans="10:10" x14ac:dyDescent="0.25">
      <c r="J1048" t="str">
        <f>""</f>
        <v/>
      </c>
    </row>
    <row r="1049" spans="10:10" x14ac:dyDescent="0.25">
      <c r="J1049" t="str">
        <f>""</f>
        <v/>
      </c>
    </row>
    <row r="1050" spans="10:10" x14ac:dyDescent="0.25">
      <c r="J1050" t="str">
        <f>""</f>
        <v/>
      </c>
    </row>
    <row r="1051" spans="10:10" x14ac:dyDescent="0.25">
      <c r="J1051" t="str">
        <f>""</f>
        <v/>
      </c>
    </row>
    <row r="1052" spans="10:10" x14ac:dyDescent="0.25">
      <c r="J1052" t="str">
        <f>""</f>
        <v/>
      </c>
    </row>
    <row r="1053" spans="10:10" x14ac:dyDescent="0.25">
      <c r="J1053" t="str">
        <f>""</f>
        <v/>
      </c>
    </row>
    <row r="1054" spans="10:10" x14ac:dyDescent="0.25">
      <c r="J1054" t="str">
        <f>""</f>
        <v/>
      </c>
    </row>
    <row r="1055" spans="10:10" x14ac:dyDescent="0.25">
      <c r="J1055" t="str">
        <f>""</f>
        <v/>
      </c>
    </row>
    <row r="1056" spans="10:10" x14ac:dyDescent="0.25">
      <c r="J1056" t="str">
        <f>""</f>
        <v/>
      </c>
    </row>
    <row r="1057" spans="10:10" x14ac:dyDescent="0.25">
      <c r="J1057" t="str">
        <f>""</f>
        <v/>
      </c>
    </row>
    <row r="1058" spans="10:10" x14ac:dyDescent="0.25">
      <c r="J1058" t="str">
        <f>""</f>
        <v/>
      </c>
    </row>
    <row r="1059" spans="10:10" x14ac:dyDescent="0.25">
      <c r="J1059" t="str">
        <f>""</f>
        <v/>
      </c>
    </row>
    <row r="1060" spans="10:10" x14ac:dyDescent="0.25">
      <c r="J1060" t="str">
        <f>""</f>
        <v/>
      </c>
    </row>
    <row r="1061" spans="10:10" x14ac:dyDescent="0.25">
      <c r="J1061" t="str">
        <f>""</f>
        <v/>
      </c>
    </row>
    <row r="1062" spans="10:10" x14ac:dyDescent="0.25">
      <c r="J1062" t="str">
        <f>""</f>
        <v/>
      </c>
    </row>
    <row r="1063" spans="10:10" x14ac:dyDescent="0.25">
      <c r="J1063" t="str">
        <f>""</f>
        <v/>
      </c>
    </row>
    <row r="1064" spans="10:10" x14ac:dyDescent="0.25">
      <c r="J1064" t="str">
        <f>""</f>
        <v/>
      </c>
    </row>
    <row r="1065" spans="10:10" x14ac:dyDescent="0.25">
      <c r="J1065" t="str">
        <f>""</f>
        <v/>
      </c>
    </row>
    <row r="1066" spans="10:10" x14ac:dyDescent="0.25">
      <c r="J1066" t="str">
        <f>""</f>
        <v/>
      </c>
    </row>
    <row r="1067" spans="10:10" x14ac:dyDescent="0.25">
      <c r="J1067" t="str">
        <f>""</f>
        <v/>
      </c>
    </row>
    <row r="1068" spans="10:10" x14ac:dyDescent="0.25">
      <c r="J1068" t="str">
        <f>""</f>
        <v/>
      </c>
    </row>
    <row r="1069" spans="10:10" x14ac:dyDescent="0.25">
      <c r="J1069" t="str">
        <f>""</f>
        <v/>
      </c>
    </row>
    <row r="1070" spans="10:10" x14ac:dyDescent="0.25">
      <c r="J1070" t="str">
        <f>""</f>
        <v/>
      </c>
    </row>
    <row r="1071" spans="10:10" x14ac:dyDescent="0.25">
      <c r="J1071" t="str">
        <f>""</f>
        <v/>
      </c>
    </row>
    <row r="1072" spans="10:10" x14ac:dyDescent="0.25">
      <c r="J1072" t="str">
        <f>""</f>
        <v/>
      </c>
    </row>
    <row r="1073" spans="10:10" x14ac:dyDescent="0.25">
      <c r="J1073" t="str">
        <f>""</f>
        <v/>
      </c>
    </row>
    <row r="1074" spans="10:10" x14ac:dyDescent="0.25">
      <c r="J1074" t="str">
        <f>""</f>
        <v/>
      </c>
    </row>
    <row r="1075" spans="10:10" x14ac:dyDescent="0.25">
      <c r="J1075" t="str">
        <f>""</f>
        <v/>
      </c>
    </row>
    <row r="1076" spans="10:10" x14ac:dyDescent="0.25">
      <c r="J1076" t="str">
        <f>""</f>
        <v/>
      </c>
    </row>
    <row r="1077" spans="10:10" x14ac:dyDescent="0.25">
      <c r="J1077" t="str">
        <f>""</f>
        <v/>
      </c>
    </row>
    <row r="1078" spans="10:10" x14ac:dyDescent="0.25">
      <c r="J1078" t="str">
        <f>""</f>
        <v/>
      </c>
    </row>
    <row r="1079" spans="10:10" x14ac:dyDescent="0.25">
      <c r="J1079" t="str">
        <f>""</f>
        <v/>
      </c>
    </row>
    <row r="1080" spans="10:10" x14ac:dyDescent="0.25">
      <c r="J1080" t="str">
        <f>""</f>
        <v/>
      </c>
    </row>
    <row r="1081" spans="10:10" x14ac:dyDescent="0.25">
      <c r="J1081" t="str">
        <f>""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18"/>
  <sheetViews>
    <sheetView workbookViewId="0">
      <selection activeCell="G3" sqref="G3"/>
    </sheetView>
  </sheetViews>
  <sheetFormatPr defaultRowHeight="15" x14ac:dyDescent="0.25"/>
  <cols>
    <col min="1" max="1" width="4.85546875" bestFit="1" customWidth="1"/>
    <col min="2" max="2" width="3" bestFit="1" customWidth="1"/>
    <col min="3" max="3" width="14.42578125" bestFit="1" customWidth="1"/>
    <col min="4" max="4" width="5.7109375" bestFit="1" customWidth="1"/>
  </cols>
  <sheetData>
    <row r="1" spans="1:14" x14ac:dyDescent="0.25">
      <c r="G1" s="9">
        <v>42455</v>
      </c>
      <c r="H1" s="7">
        <f>+G2+1</f>
        <v>42462</v>
      </c>
      <c r="I1" s="7">
        <f t="shared" ref="I1:L1" si="0">+H2+1</f>
        <v>42469</v>
      </c>
      <c r="J1" s="7">
        <f t="shared" si="0"/>
        <v>42476</v>
      </c>
      <c r="K1" s="7">
        <f t="shared" si="0"/>
        <v>42483</v>
      </c>
      <c r="L1" s="7">
        <f t="shared" si="0"/>
        <v>42490</v>
      </c>
      <c r="M1" s="7">
        <f>L2+1</f>
        <v>42497</v>
      </c>
      <c r="N1" t="str">
        <f>""</f>
        <v/>
      </c>
    </row>
    <row r="2" spans="1:14" x14ac:dyDescent="0.25">
      <c r="A2" t="s">
        <v>288</v>
      </c>
      <c r="B2" t="s">
        <v>853</v>
      </c>
      <c r="C2" t="s">
        <v>854</v>
      </c>
      <c r="G2" s="7">
        <f>+G1+6</f>
        <v>42461</v>
      </c>
      <c r="H2" s="7">
        <f>+H1+6</f>
        <v>42468</v>
      </c>
      <c r="I2" s="7">
        <f t="shared" ref="I2:L2" si="1">+I1+6</f>
        <v>42475</v>
      </c>
      <c r="J2" s="7">
        <f t="shared" si="1"/>
        <v>42482</v>
      </c>
      <c r="K2" s="7">
        <f t="shared" si="1"/>
        <v>42489</v>
      </c>
      <c r="L2" s="7">
        <f t="shared" si="1"/>
        <v>42496</v>
      </c>
      <c r="M2" s="7">
        <f>EOMONTH(L2,0)</f>
        <v>42521</v>
      </c>
      <c r="N2" t="str">
        <f>""</f>
        <v/>
      </c>
    </row>
    <row r="3" spans="1:14" x14ac:dyDescent="0.25">
      <c r="A3">
        <v>196</v>
      </c>
      <c r="B3">
        <v>1</v>
      </c>
      <c r="C3" t="s">
        <v>738</v>
      </c>
      <c r="D3" t="str">
        <f>A3&amp;"-T"</f>
        <v>196-T</v>
      </c>
      <c r="G3" s="13">
        <f>manut_MP($D3,DP!G$1,DP!G$2)</f>
        <v>0</v>
      </c>
      <c r="H3" s="13">
        <f>manut_MP($D3,DP!H$1,DP!H$2)</f>
        <v>0</v>
      </c>
      <c r="I3" s="13">
        <f>manut_MP($D3,DP!I$1,DP!I$2)</f>
        <v>0</v>
      </c>
      <c r="J3" s="13">
        <f>manut_MP($D3,DP!J$1,DP!J$2)</f>
        <v>0</v>
      </c>
      <c r="K3" s="13">
        <f>manut_MP($D3,DP!K$1,DP!K$2)</f>
        <v>0</v>
      </c>
      <c r="L3" s="13">
        <f>manut_MP($D3,DP!L$1,DP!L$2)</f>
        <v>0</v>
      </c>
      <c r="M3" s="13">
        <f>manut_MP($D3,DP!M$1,DP!M$2)</f>
        <v>0</v>
      </c>
    </row>
    <row r="4" spans="1:14" x14ac:dyDescent="0.25">
      <c r="A4">
        <v>65</v>
      </c>
      <c r="B4">
        <v>1</v>
      </c>
      <c r="C4" t="s">
        <v>739</v>
      </c>
      <c r="D4" t="str">
        <f t="shared" ref="D4:D67" si="2">A4&amp;"-T"</f>
        <v>65-T</v>
      </c>
      <c r="G4" s="13">
        <f>manut_MP($D4,DP!G$1,DP!G$2)</f>
        <v>0</v>
      </c>
      <c r="H4" s="13">
        <f>manut_MP($D4,DP!H$1,DP!H$2)</f>
        <v>0</v>
      </c>
      <c r="I4" s="13">
        <f>manut_MP($D4,DP!I$1,DP!I$2)</f>
        <v>0</v>
      </c>
      <c r="J4" s="13">
        <f>manut_MP($D4,DP!J$1,DP!J$2)</f>
        <v>0</v>
      </c>
      <c r="K4" s="13">
        <f>manut_MP($D4,DP!K$1,DP!K$2)</f>
        <v>0</v>
      </c>
      <c r="L4" s="13">
        <f>manut_MP($D4,DP!L$1,DP!L$2)</f>
        <v>0</v>
      </c>
      <c r="M4" s="13">
        <f>manut_MP($D4,DP!M$1,DP!M$2)</f>
        <v>0</v>
      </c>
    </row>
    <row r="5" spans="1:14" x14ac:dyDescent="0.25">
      <c r="A5">
        <v>13</v>
      </c>
      <c r="B5">
        <v>1</v>
      </c>
      <c r="C5" t="s">
        <v>740</v>
      </c>
      <c r="D5" t="str">
        <f t="shared" si="2"/>
        <v>13-T</v>
      </c>
      <c r="G5" s="13">
        <f>manut_MP($D5,DP!G$1,DP!G$2)</f>
        <v>0</v>
      </c>
      <c r="H5" s="13">
        <f>manut_MP($D5,DP!H$1,DP!H$2)</f>
        <v>0</v>
      </c>
      <c r="I5" s="13">
        <f>manut_MP($D5,DP!I$1,DP!I$2)</f>
        <v>0</v>
      </c>
      <c r="J5" s="13">
        <f>manut_MP($D5,DP!J$1,DP!J$2)</f>
        <v>0</v>
      </c>
      <c r="K5" s="13">
        <f>manut_MP($D5,DP!K$1,DP!K$2)</f>
        <v>0</v>
      </c>
      <c r="L5" s="13">
        <f>manut_MP($D5,DP!L$1,DP!L$2)</f>
        <v>0</v>
      </c>
      <c r="M5" s="13">
        <f>manut_MP($D5,DP!M$1,DP!M$2)</f>
        <v>0</v>
      </c>
    </row>
    <row r="6" spans="1:14" x14ac:dyDescent="0.25">
      <c r="A6">
        <v>1</v>
      </c>
      <c r="B6">
        <v>1</v>
      </c>
      <c r="C6" t="s">
        <v>741</v>
      </c>
      <c r="D6" t="str">
        <f t="shared" si="2"/>
        <v>1-T</v>
      </c>
      <c r="G6" s="13">
        <f>manut_MP($D6,DP!G$1,DP!G$2)</f>
        <v>0</v>
      </c>
      <c r="H6" s="13">
        <f>manut_MP($D6,DP!H$1,DP!H$2)</f>
        <v>0</v>
      </c>
      <c r="I6" s="13">
        <f>manut_MP($D6,DP!I$1,DP!I$2)</f>
        <v>0</v>
      </c>
      <c r="J6" s="13">
        <f>manut_MP($D6,DP!J$1,DP!J$2)</f>
        <v>0</v>
      </c>
      <c r="K6" s="13">
        <f>manut_MP($D6,DP!K$1,DP!K$2)</f>
        <v>0</v>
      </c>
      <c r="L6" s="13">
        <f>manut_MP($D6,DP!L$1,DP!L$2)</f>
        <v>0</v>
      </c>
      <c r="M6" s="13">
        <f>manut_MP($D6,DP!M$1,DP!M$2)</f>
        <v>0</v>
      </c>
    </row>
    <row r="7" spans="1:14" x14ac:dyDescent="0.25">
      <c r="A7">
        <v>171</v>
      </c>
      <c r="B7">
        <v>1</v>
      </c>
      <c r="C7" t="s">
        <v>742</v>
      </c>
      <c r="D7" t="str">
        <f t="shared" si="2"/>
        <v>171-T</v>
      </c>
      <c r="G7" s="13">
        <f>manut_MP($D7,DP!G$1,DP!G$2)</f>
        <v>0</v>
      </c>
      <c r="H7" s="13">
        <f>manut_MP($D7,DP!H$1,DP!H$2)</f>
        <v>0</v>
      </c>
      <c r="I7" s="13">
        <f>manut_MP($D7,DP!I$1,DP!I$2)</f>
        <v>0</v>
      </c>
      <c r="J7" s="13">
        <f>manut_MP($D7,DP!J$1,DP!J$2)</f>
        <v>0</v>
      </c>
      <c r="K7" s="13">
        <f>manut_MP($D7,DP!K$1,DP!K$2)</f>
        <v>0</v>
      </c>
      <c r="L7" s="13">
        <f>manut_MP($D7,DP!L$1,DP!L$2)</f>
        <v>0</v>
      </c>
      <c r="M7" s="13">
        <f>manut_MP($D7,DP!M$1,DP!M$2)</f>
        <v>0</v>
      </c>
    </row>
    <row r="8" spans="1:14" x14ac:dyDescent="0.25">
      <c r="A8">
        <v>172</v>
      </c>
      <c r="B8">
        <v>1</v>
      </c>
      <c r="C8" t="s">
        <v>743</v>
      </c>
      <c r="D8" t="str">
        <f t="shared" si="2"/>
        <v>172-T</v>
      </c>
      <c r="G8" s="13">
        <f>manut_MP($D8,DP!G$1,DP!G$2)</f>
        <v>0</v>
      </c>
      <c r="H8" s="13">
        <f>manut_MP($D8,DP!H$1,DP!H$2)</f>
        <v>0</v>
      </c>
      <c r="I8" s="13">
        <f>manut_MP($D8,DP!I$1,DP!I$2)</f>
        <v>0</v>
      </c>
      <c r="J8" s="13">
        <f>manut_MP($D8,DP!J$1,DP!J$2)</f>
        <v>0</v>
      </c>
      <c r="K8" s="13">
        <f>manut_MP($D8,DP!K$1,DP!K$2)</f>
        <v>0</v>
      </c>
      <c r="L8" s="13">
        <f>manut_MP($D8,DP!L$1,DP!L$2)</f>
        <v>0</v>
      </c>
      <c r="M8" s="13">
        <f>manut_MP($D8,DP!M$1,DP!M$2)</f>
        <v>0</v>
      </c>
    </row>
    <row r="9" spans="1:14" x14ac:dyDescent="0.25">
      <c r="A9">
        <v>146</v>
      </c>
      <c r="B9">
        <v>1</v>
      </c>
      <c r="C9" t="s">
        <v>744</v>
      </c>
      <c r="D9" t="str">
        <f t="shared" si="2"/>
        <v>146-T</v>
      </c>
      <c r="G9" s="13">
        <f>manut_MP($D9,DP!G$1,DP!G$2)</f>
        <v>0</v>
      </c>
      <c r="H9" s="13">
        <f>manut_MP($D9,DP!H$1,DP!H$2)</f>
        <v>0</v>
      </c>
      <c r="I9" s="13">
        <f>manut_MP($D9,DP!I$1,DP!I$2)</f>
        <v>0</v>
      </c>
      <c r="J9" s="13">
        <f>manut_MP($D9,DP!J$1,DP!J$2)</f>
        <v>0</v>
      </c>
      <c r="K9" s="13">
        <f>manut_MP($D9,DP!K$1,DP!K$2)</f>
        <v>0</v>
      </c>
      <c r="L9" s="13">
        <f>manut_MP($D9,DP!L$1,DP!L$2)</f>
        <v>0</v>
      </c>
      <c r="M9" s="13">
        <f>manut_MP($D9,DP!M$1,DP!M$2)</f>
        <v>0</v>
      </c>
    </row>
    <row r="10" spans="1:14" x14ac:dyDescent="0.25">
      <c r="A10">
        <v>211</v>
      </c>
      <c r="B10">
        <v>1</v>
      </c>
      <c r="C10" t="s">
        <v>745</v>
      </c>
      <c r="D10" t="str">
        <f t="shared" si="2"/>
        <v>211-T</v>
      </c>
      <c r="G10" s="13">
        <f>manut_MP($D10,DP!G$1,DP!G$2)</f>
        <v>0</v>
      </c>
      <c r="H10" s="13">
        <f>manut_MP($D10,DP!H$1,DP!H$2)</f>
        <v>0</v>
      </c>
      <c r="I10" s="13">
        <f>manut_MP($D10,DP!I$1,DP!I$2)</f>
        <v>0</v>
      </c>
      <c r="J10" s="13">
        <f>manut_MP($D10,DP!J$1,DP!J$2)</f>
        <v>0</v>
      </c>
      <c r="K10" s="13">
        <f>manut_MP($D10,DP!K$1,DP!K$2)</f>
        <v>0</v>
      </c>
      <c r="L10" s="13">
        <f>manut_MP($D10,DP!L$1,DP!L$2)</f>
        <v>0</v>
      </c>
      <c r="M10" s="13">
        <f>manut_MP($D10,DP!M$1,DP!M$2)</f>
        <v>0</v>
      </c>
    </row>
    <row r="11" spans="1:14" x14ac:dyDescent="0.25">
      <c r="A11">
        <v>173</v>
      </c>
      <c r="B11">
        <v>1</v>
      </c>
      <c r="C11" t="s">
        <v>746</v>
      </c>
      <c r="D11" t="str">
        <f t="shared" si="2"/>
        <v>173-T</v>
      </c>
      <c r="G11" s="13">
        <f>manut_MP($D11,DP!G$1,DP!G$2)</f>
        <v>0</v>
      </c>
      <c r="H11" s="13">
        <f>manut_MP($D11,DP!H$1,DP!H$2)</f>
        <v>0</v>
      </c>
      <c r="I11" s="13">
        <f>manut_MP($D11,DP!I$1,DP!I$2)</f>
        <v>0</v>
      </c>
      <c r="J11" s="13">
        <f>manut_MP($D11,DP!J$1,DP!J$2)</f>
        <v>0</v>
      </c>
      <c r="K11" s="13">
        <f>manut_MP($D11,DP!K$1,DP!K$2)</f>
        <v>0</v>
      </c>
      <c r="L11" s="13">
        <f>manut_MP($D11,DP!L$1,DP!L$2)</f>
        <v>0</v>
      </c>
      <c r="M11" s="13">
        <f>manut_MP($D11,DP!M$1,DP!M$2)</f>
        <v>0</v>
      </c>
    </row>
    <row r="12" spans="1:14" x14ac:dyDescent="0.25">
      <c r="A12">
        <v>183</v>
      </c>
      <c r="B12">
        <v>1</v>
      </c>
      <c r="C12" t="s">
        <v>747</v>
      </c>
      <c r="D12" t="str">
        <f t="shared" si="2"/>
        <v>183-T</v>
      </c>
      <c r="G12" s="13">
        <f>manut_MP($D12,DP!G$1,DP!G$2)</f>
        <v>0</v>
      </c>
      <c r="H12" s="13">
        <f>manut_MP($D12,DP!H$1,DP!H$2)</f>
        <v>0</v>
      </c>
      <c r="I12" s="13">
        <f>manut_MP($D12,DP!I$1,DP!I$2)</f>
        <v>0</v>
      </c>
      <c r="J12" s="13">
        <f>manut_MP($D12,DP!J$1,DP!J$2)</f>
        <v>0</v>
      </c>
      <c r="K12" s="13">
        <f>manut_MP($D12,DP!K$1,DP!K$2)</f>
        <v>0</v>
      </c>
      <c r="L12" s="13">
        <f>manut_MP($D12,DP!L$1,DP!L$2)</f>
        <v>0</v>
      </c>
      <c r="M12" s="13">
        <f>manut_MP($D12,DP!M$1,DP!M$2)</f>
        <v>0</v>
      </c>
    </row>
    <row r="13" spans="1:14" x14ac:dyDescent="0.25">
      <c r="A13">
        <v>220</v>
      </c>
      <c r="B13">
        <v>1</v>
      </c>
      <c r="C13" t="s">
        <v>748</v>
      </c>
      <c r="D13" t="str">
        <f t="shared" si="2"/>
        <v>220-T</v>
      </c>
      <c r="G13" s="13">
        <f>manut_MP($D13,DP!G$1,DP!G$2)</f>
        <v>0</v>
      </c>
      <c r="H13" s="13">
        <f>manut_MP($D13,DP!H$1,DP!H$2)</f>
        <v>0</v>
      </c>
      <c r="I13" s="13">
        <f>manut_MP($D13,DP!I$1,DP!I$2)</f>
        <v>0</v>
      </c>
      <c r="J13" s="13">
        <f>manut_MP($D13,DP!J$1,DP!J$2)</f>
        <v>0</v>
      </c>
      <c r="K13" s="13">
        <f>manut_MP($D13,DP!K$1,DP!K$2)</f>
        <v>0</v>
      </c>
      <c r="L13" s="13">
        <f>manut_MP($D13,DP!L$1,DP!L$2)</f>
        <v>0</v>
      </c>
      <c r="M13" s="13">
        <f>manut_MP($D13,DP!M$1,DP!M$2)</f>
        <v>0</v>
      </c>
    </row>
    <row r="14" spans="1:14" x14ac:dyDescent="0.25">
      <c r="A14">
        <v>217</v>
      </c>
      <c r="B14">
        <v>1</v>
      </c>
      <c r="C14" t="s">
        <v>749</v>
      </c>
      <c r="D14" t="str">
        <f t="shared" si="2"/>
        <v>217-T</v>
      </c>
      <c r="G14" s="13">
        <f>manut_MP($D14,DP!G$1,DP!G$2)</f>
        <v>0</v>
      </c>
      <c r="H14" s="13">
        <f>manut_MP($D14,DP!H$1,DP!H$2)</f>
        <v>0</v>
      </c>
      <c r="I14" s="13">
        <f>manut_MP($D14,DP!I$1,DP!I$2)</f>
        <v>0</v>
      </c>
      <c r="J14" s="13">
        <f>manut_MP($D14,DP!J$1,DP!J$2)</f>
        <v>0</v>
      </c>
      <c r="K14" s="13">
        <f>manut_MP($D14,DP!K$1,DP!K$2)</f>
        <v>0</v>
      </c>
      <c r="L14" s="13">
        <f>manut_MP($D14,DP!L$1,DP!L$2)</f>
        <v>0</v>
      </c>
      <c r="M14" s="13">
        <f>manut_MP($D14,DP!M$1,DP!M$2)</f>
        <v>0</v>
      </c>
    </row>
    <row r="15" spans="1:14" x14ac:dyDescent="0.25">
      <c r="A15">
        <v>218</v>
      </c>
      <c r="B15">
        <v>1</v>
      </c>
      <c r="C15" t="s">
        <v>750</v>
      </c>
      <c r="D15" t="str">
        <f t="shared" si="2"/>
        <v>218-T</v>
      </c>
      <c r="G15" s="13">
        <f>manut_MP($D15,DP!G$1,DP!G$2)</f>
        <v>0</v>
      </c>
      <c r="H15" s="13">
        <f>manut_MP($D15,DP!H$1,DP!H$2)</f>
        <v>0</v>
      </c>
      <c r="I15" s="13">
        <f>manut_MP($D15,DP!I$1,DP!I$2)</f>
        <v>0</v>
      </c>
      <c r="J15" s="13">
        <f>manut_MP($D15,DP!J$1,DP!J$2)</f>
        <v>0</v>
      </c>
      <c r="K15" s="13">
        <f>manut_MP($D15,DP!K$1,DP!K$2)</f>
        <v>0</v>
      </c>
      <c r="L15" s="13">
        <f>manut_MP($D15,DP!L$1,DP!L$2)</f>
        <v>0</v>
      </c>
      <c r="M15" s="13">
        <f>manut_MP($D15,DP!M$1,DP!M$2)</f>
        <v>0</v>
      </c>
    </row>
    <row r="16" spans="1:14" x14ac:dyDescent="0.25">
      <c r="A16">
        <v>63</v>
      </c>
      <c r="B16">
        <v>1</v>
      </c>
      <c r="C16" t="s">
        <v>751</v>
      </c>
      <c r="D16" t="str">
        <f t="shared" si="2"/>
        <v>63-T</v>
      </c>
      <c r="G16" s="13">
        <f>manut_MP($D16,DP!G$1,DP!G$2)</f>
        <v>0</v>
      </c>
      <c r="H16" s="13">
        <f>manut_MP($D16,DP!H$1,DP!H$2)</f>
        <v>0</v>
      </c>
      <c r="I16" s="13">
        <f>manut_MP($D16,DP!I$1,DP!I$2)</f>
        <v>0</v>
      </c>
      <c r="J16" s="13">
        <f>manut_MP($D16,DP!J$1,DP!J$2)</f>
        <v>0</v>
      </c>
      <c r="K16" s="13">
        <f>manut_MP($D16,DP!K$1,DP!K$2)</f>
        <v>0</v>
      </c>
      <c r="L16" s="13">
        <f>manut_MP($D16,DP!L$1,DP!L$2)</f>
        <v>0</v>
      </c>
      <c r="M16" s="13">
        <f>manut_MP($D16,DP!M$1,DP!M$2)</f>
        <v>0</v>
      </c>
    </row>
    <row r="17" spans="1:20" x14ac:dyDescent="0.25">
      <c r="A17">
        <v>216</v>
      </c>
      <c r="B17">
        <v>1</v>
      </c>
      <c r="C17" t="s">
        <v>752</v>
      </c>
      <c r="D17" t="str">
        <f t="shared" si="2"/>
        <v>216-T</v>
      </c>
      <c r="G17" s="13">
        <f>manut_MP($D17,DP!G$1,DP!G$2)</f>
        <v>0</v>
      </c>
      <c r="H17" s="13">
        <f>manut_MP($D17,DP!H$1,DP!H$2)</f>
        <v>0</v>
      </c>
      <c r="I17" s="13">
        <f>manut_MP($D17,DP!I$1,DP!I$2)</f>
        <v>0</v>
      </c>
      <c r="J17" s="13">
        <f>manut_MP($D17,DP!J$1,DP!J$2)</f>
        <v>0</v>
      </c>
      <c r="K17" s="13">
        <f>manut_MP($D17,DP!K$1,DP!K$2)</f>
        <v>0</v>
      </c>
      <c r="L17" s="13">
        <f>manut_MP($D17,DP!L$1,DP!L$2)</f>
        <v>0</v>
      </c>
      <c r="M17" s="13">
        <f>manut_MP($D17,DP!M$1,DP!M$2)</f>
        <v>0</v>
      </c>
    </row>
    <row r="18" spans="1:20" x14ac:dyDescent="0.25">
      <c r="A18">
        <v>214</v>
      </c>
      <c r="B18">
        <v>1</v>
      </c>
      <c r="C18" t="s">
        <v>753</v>
      </c>
      <c r="D18" t="str">
        <f t="shared" si="2"/>
        <v>214-T</v>
      </c>
      <c r="G18" s="13">
        <f>manut_MP($D18,DP!G$1,DP!G$2)</f>
        <v>0</v>
      </c>
      <c r="H18" s="13">
        <f>manut_MP($D18,DP!H$1,DP!H$2)</f>
        <v>0</v>
      </c>
      <c r="I18" s="13">
        <f>manut_MP($D18,DP!I$1,DP!I$2)</f>
        <v>0</v>
      </c>
      <c r="J18" s="13">
        <f>manut_MP($D18,DP!J$1,DP!J$2)</f>
        <v>0</v>
      </c>
      <c r="K18" s="13">
        <f>manut_MP($D18,DP!K$1,DP!K$2)</f>
        <v>0</v>
      </c>
      <c r="L18" s="13">
        <f>manut_MP($D18,DP!L$1,DP!L$2)</f>
        <v>0</v>
      </c>
      <c r="M18" s="13">
        <f>manut_MP($D18,DP!M$1,DP!M$2)</f>
        <v>0</v>
      </c>
    </row>
    <row r="19" spans="1:20" x14ac:dyDescent="0.25">
      <c r="A19">
        <v>54</v>
      </c>
      <c r="B19">
        <v>1</v>
      </c>
      <c r="C19" t="s">
        <v>754</v>
      </c>
      <c r="D19" t="str">
        <f t="shared" si="2"/>
        <v>54-T</v>
      </c>
      <c r="G19" s="13">
        <f>manut_MP($D19,DP!G$1,DP!G$2)</f>
        <v>0</v>
      </c>
      <c r="H19" s="13">
        <f>manut_MP($D19,DP!H$1,DP!H$2)</f>
        <v>0</v>
      </c>
      <c r="I19" s="13">
        <f>manut_MP($D19,DP!I$1,DP!I$2)</f>
        <v>0</v>
      </c>
      <c r="J19" s="13">
        <f>manut_MP($D19,DP!J$1,DP!J$2)</f>
        <v>0</v>
      </c>
      <c r="K19" s="13">
        <f>manut_MP($D19,DP!K$1,DP!K$2)</f>
        <v>0</v>
      </c>
      <c r="L19" s="13">
        <f>manut_MP($D19,DP!L$1,DP!L$2)</f>
        <v>0</v>
      </c>
      <c r="M19" s="13">
        <f>manut_MP($D19,DP!M$1,DP!M$2)</f>
        <v>0</v>
      </c>
    </row>
    <row r="20" spans="1:20" x14ac:dyDescent="0.25">
      <c r="A20">
        <v>225</v>
      </c>
      <c r="B20">
        <v>1</v>
      </c>
      <c r="C20" t="s">
        <v>755</v>
      </c>
      <c r="D20" t="str">
        <f t="shared" si="2"/>
        <v>225-T</v>
      </c>
      <c r="G20" s="13">
        <f>manut_MP($D20,DP!G$1,DP!G$2)</f>
        <v>0</v>
      </c>
      <c r="H20" s="13">
        <f>manut_MP($D20,DP!H$1,DP!H$2)</f>
        <v>0</v>
      </c>
      <c r="I20" s="13">
        <f>manut_MP($D20,DP!I$1,DP!I$2)</f>
        <v>0</v>
      </c>
      <c r="J20" s="13">
        <f>manut_MP($D20,DP!J$1,DP!J$2)</f>
        <v>0</v>
      </c>
      <c r="K20" s="13">
        <f>manut_MP($D20,DP!K$1,DP!K$2)</f>
        <v>0</v>
      </c>
      <c r="L20" s="13">
        <f>manut_MP($D20,DP!L$1,DP!L$2)</f>
        <v>0</v>
      </c>
      <c r="M20" s="13">
        <f>manut_MP($D20,DP!M$1,DP!M$2)</f>
        <v>0</v>
      </c>
    </row>
    <row r="21" spans="1:20" x14ac:dyDescent="0.25">
      <c r="A21">
        <v>215</v>
      </c>
      <c r="B21">
        <v>1</v>
      </c>
      <c r="C21" t="s">
        <v>756</v>
      </c>
      <c r="D21" t="str">
        <f t="shared" si="2"/>
        <v>215-T</v>
      </c>
      <c r="F21">
        <v>770</v>
      </c>
      <c r="G21" s="13">
        <f>manut_MP($D21,DP!G$1,DP!G$2)</f>
        <v>15.542857142857141</v>
      </c>
      <c r="H21" s="13">
        <f>manut_MP($D21,DP!H$1,DP!H$2)</f>
        <v>108.8</v>
      </c>
      <c r="I21" s="13">
        <f>manut_MP($D21,DP!I$1,DP!I$2)</f>
        <v>108.8</v>
      </c>
      <c r="J21" s="13">
        <f>manut_MP($D21,DP!J$1,DP!J$2)</f>
        <v>108.8</v>
      </c>
      <c r="K21" s="13">
        <f>manut_MP($D21,DP!K$1,DP!K$2)</f>
        <v>108.8</v>
      </c>
      <c r="L21" s="13">
        <f>manut_MP($D21,DP!L$1,DP!L$2)</f>
        <v>15.542857142857141</v>
      </c>
      <c r="M21" s="13">
        <f>manut_MP($D21,DP!M$1,DP!M$2)</f>
        <v>0</v>
      </c>
      <c r="O21" s="10">
        <f t="shared" ref="O21:T21" si="3">+$F21-G21</f>
        <v>754.45714285714291</v>
      </c>
      <c r="P21" s="10">
        <f t="shared" si="3"/>
        <v>661.2</v>
      </c>
      <c r="Q21" s="10">
        <f t="shared" si="3"/>
        <v>661.2</v>
      </c>
      <c r="R21" s="10">
        <f t="shared" si="3"/>
        <v>661.2</v>
      </c>
      <c r="S21" s="10">
        <f t="shared" si="3"/>
        <v>661.2</v>
      </c>
      <c r="T21" s="10">
        <f t="shared" si="3"/>
        <v>754.45714285714291</v>
      </c>
    </row>
    <row r="22" spans="1:20" x14ac:dyDescent="0.25">
      <c r="A22">
        <v>174</v>
      </c>
      <c r="B22">
        <v>1</v>
      </c>
      <c r="C22" t="s">
        <v>757</v>
      </c>
      <c r="D22" t="str">
        <f t="shared" si="2"/>
        <v>174-T</v>
      </c>
      <c r="G22" s="13">
        <f>manut_MP($D22,DP!G$1,DP!G$2)</f>
        <v>0</v>
      </c>
      <c r="H22" s="13">
        <f>manut_MP($D22,DP!H$1,DP!H$2)</f>
        <v>0</v>
      </c>
      <c r="I22" s="13">
        <f>manut_MP($D22,DP!I$1,DP!I$2)</f>
        <v>0</v>
      </c>
      <c r="J22" s="13">
        <f>manut_MP($D22,DP!J$1,DP!J$2)</f>
        <v>0</v>
      </c>
      <c r="K22" s="13">
        <f>manut_MP($D22,DP!K$1,DP!K$2)</f>
        <v>0</v>
      </c>
      <c r="L22" s="13">
        <f>manut_MP($D22,DP!L$1,DP!L$2)</f>
        <v>0</v>
      </c>
      <c r="M22" s="13">
        <f>manut_MP($D22,DP!M$1,DP!M$2)</f>
        <v>0</v>
      </c>
    </row>
    <row r="23" spans="1:20" x14ac:dyDescent="0.25">
      <c r="A23">
        <v>49</v>
      </c>
      <c r="B23">
        <v>1</v>
      </c>
      <c r="C23" t="s">
        <v>758</v>
      </c>
      <c r="D23" t="str">
        <f t="shared" si="2"/>
        <v>49-T</v>
      </c>
      <c r="G23" s="13">
        <f>manut_MP($D23,DP!G$1,DP!G$2)</f>
        <v>0</v>
      </c>
      <c r="H23" s="13">
        <f>manut_MP($D23,DP!H$1,DP!H$2)</f>
        <v>0</v>
      </c>
      <c r="I23" s="13">
        <f>manut_MP($D23,DP!I$1,DP!I$2)</f>
        <v>0</v>
      </c>
      <c r="J23" s="13">
        <f>manut_MP($D23,DP!J$1,DP!J$2)</f>
        <v>0</v>
      </c>
      <c r="K23" s="13">
        <f>manut_MP($D23,DP!K$1,DP!K$2)</f>
        <v>0</v>
      </c>
      <c r="L23" s="13">
        <f>manut_MP($D23,DP!L$1,DP!L$2)</f>
        <v>0</v>
      </c>
      <c r="M23" s="13">
        <f>manut_MP($D23,DP!M$1,DP!M$2)</f>
        <v>0</v>
      </c>
    </row>
    <row r="24" spans="1:20" x14ac:dyDescent="0.25">
      <c r="A24">
        <v>219</v>
      </c>
      <c r="B24">
        <v>1</v>
      </c>
      <c r="C24" t="s">
        <v>759</v>
      </c>
      <c r="D24" t="str">
        <f t="shared" si="2"/>
        <v>219-T</v>
      </c>
      <c r="G24" s="13">
        <f>manut_MP($D24,DP!G$1,DP!G$2)</f>
        <v>0</v>
      </c>
      <c r="H24" s="13">
        <f>manut_MP($D24,DP!H$1,DP!H$2)</f>
        <v>0</v>
      </c>
      <c r="I24" s="13">
        <f>manut_MP($D24,DP!I$1,DP!I$2)</f>
        <v>0</v>
      </c>
      <c r="J24" s="13">
        <f>manut_MP($D24,DP!J$1,DP!J$2)</f>
        <v>0</v>
      </c>
      <c r="K24" s="13">
        <f>manut_MP($D24,DP!K$1,DP!K$2)</f>
        <v>0</v>
      </c>
      <c r="L24" s="13">
        <f>manut_MP($D24,DP!L$1,DP!L$2)</f>
        <v>0</v>
      </c>
      <c r="M24" s="13">
        <f>manut_MP($D24,DP!M$1,DP!M$2)</f>
        <v>0</v>
      </c>
    </row>
    <row r="25" spans="1:20" x14ac:dyDescent="0.25">
      <c r="A25">
        <v>34</v>
      </c>
      <c r="B25">
        <v>1</v>
      </c>
      <c r="C25" t="s">
        <v>760</v>
      </c>
      <c r="D25" t="str">
        <f t="shared" si="2"/>
        <v>34-T</v>
      </c>
      <c r="G25" s="13">
        <f>manut_MP($D25,DP!G$1,DP!G$2)</f>
        <v>0</v>
      </c>
      <c r="H25" s="13">
        <f>manut_MP($D25,DP!H$1,DP!H$2)</f>
        <v>0</v>
      </c>
      <c r="I25" s="13">
        <f>manut_MP($D25,DP!I$1,DP!I$2)</f>
        <v>0</v>
      </c>
      <c r="J25" s="13">
        <f>manut_MP($D25,DP!J$1,DP!J$2)</f>
        <v>0</v>
      </c>
      <c r="K25" s="13">
        <f>manut_MP($D25,DP!K$1,DP!K$2)</f>
        <v>0</v>
      </c>
      <c r="L25" s="13">
        <f>manut_MP($D25,DP!L$1,DP!L$2)</f>
        <v>0</v>
      </c>
      <c r="M25" s="13">
        <f>manut_MP($D25,DP!M$1,DP!M$2)</f>
        <v>0</v>
      </c>
    </row>
    <row r="26" spans="1:20" x14ac:dyDescent="0.25">
      <c r="A26">
        <v>213</v>
      </c>
      <c r="B26">
        <v>1</v>
      </c>
      <c r="C26" t="s">
        <v>761</v>
      </c>
      <c r="D26" t="str">
        <f t="shared" si="2"/>
        <v>213-T</v>
      </c>
      <c r="F26">
        <v>230</v>
      </c>
      <c r="G26" s="13">
        <f>manut_MP($D26,DP!G$1,DP!G$2)</f>
        <v>192.96</v>
      </c>
      <c r="H26" s="13">
        <f>manut_MP($D26,DP!H$1,DP!H$2)</f>
        <v>192.96</v>
      </c>
      <c r="I26" s="13">
        <f>manut_MP($D26,DP!I$1,DP!I$2)</f>
        <v>192.96</v>
      </c>
      <c r="J26" s="13">
        <f>manut_MP($D26,DP!J$1,DP!J$2)</f>
        <v>192.96</v>
      </c>
      <c r="K26" s="13">
        <f>manut_MP($D26,DP!K$1,DP!K$2)</f>
        <v>192.96</v>
      </c>
      <c r="L26" s="13">
        <f>manut_MP($D26,DP!L$1,DP!L$2)</f>
        <v>27.565714285714286</v>
      </c>
      <c r="M26" s="13">
        <f>manut_MP($D26,DP!M$1,DP!M$2)</f>
        <v>0</v>
      </c>
      <c r="O26" s="10">
        <f>+$F26-G26</f>
        <v>37.039999999999992</v>
      </c>
      <c r="P26" s="10">
        <f t="shared" ref="P26:T26" si="4">+$F26-H26</f>
        <v>37.039999999999992</v>
      </c>
      <c r="Q26" s="10">
        <f t="shared" si="4"/>
        <v>37.039999999999992</v>
      </c>
      <c r="R26" s="10">
        <f t="shared" si="4"/>
        <v>37.039999999999992</v>
      </c>
      <c r="S26" s="10">
        <f t="shared" si="4"/>
        <v>37.039999999999992</v>
      </c>
      <c r="T26" s="10">
        <f t="shared" si="4"/>
        <v>202.43428571428572</v>
      </c>
    </row>
    <row r="27" spans="1:20" x14ac:dyDescent="0.25">
      <c r="A27">
        <v>4</v>
      </c>
      <c r="B27">
        <v>1</v>
      </c>
      <c r="C27" t="s">
        <v>762</v>
      </c>
      <c r="D27" t="str">
        <f t="shared" si="2"/>
        <v>4-T</v>
      </c>
      <c r="G27" s="13">
        <f>manut_MP($D27,DP!G$1,DP!G$2)</f>
        <v>0</v>
      </c>
      <c r="H27" s="13">
        <f>manut_MP($D27,DP!H$1,DP!H$2)</f>
        <v>0</v>
      </c>
      <c r="I27" s="13">
        <f>manut_MP($D27,DP!I$1,DP!I$2)</f>
        <v>0</v>
      </c>
      <c r="J27" s="13">
        <f>manut_MP($D27,DP!J$1,DP!J$2)</f>
        <v>0</v>
      </c>
      <c r="K27" s="13">
        <f>manut_MP($D27,DP!K$1,DP!K$2)</f>
        <v>0</v>
      </c>
      <c r="L27" s="13">
        <f>manut_MP($D27,DP!L$1,DP!L$2)</f>
        <v>0</v>
      </c>
      <c r="M27" s="13">
        <f>manut_MP($D27,DP!M$1,DP!M$2)</f>
        <v>0</v>
      </c>
    </row>
    <row r="28" spans="1:20" x14ac:dyDescent="0.25">
      <c r="A28">
        <v>110</v>
      </c>
      <c r="B28">
        <v>1</v>
      </c>
      <c r="C28" t="s">
        <v>763</v>
      </c>
      <c r="D28" t="str">
        <f t="shared" si="2"/>
        <v>110-T</v>
      </c>
      <c r="G28" s="13">
        <f>manut_MP($D28,DP!G$1,DP!G$2)</f>
        <v>0</v>
      </c>
      <c r="H28" s="13">
        <f>manut_MP($D28,DP!H$1,DP!H$2)</f>
        <v>0</v>
      </c>
      <c r="I28" s="13">
        <f>manut_MP($D28,DP!I$1,DP!I$2)</f>
        <v>0</v>
      </c>
      <c r="J28" s="13">
        <f>manut_MP($D28,DP!J$1,DP!J$2)</f>
        <v>0</v>
      </c>
      <c r="K28" s="13">
        <f>manut_MP($D28,DP!K$1,DP!K$2)</f>
        <v>0</v>
      </c>
      <c r="L28" s="13">
        <f>manut_MP($D28,DP!L$1,DP!L$2)</f>
        <v>0</v>
      </c>
      <c r="M28" s="13">
        <f>manut_MP($D28,DP!M$1,DP!M$2)</f>
        <v>0</v>
      </c>
    </row>
    <row r="29" spans="1:20" x14ac:dyDescent="0.25">
      <c r="A29">
        <v>9</v>
      </c>
      <c r="B29">
        <v>1</v>
      </c>
      <c r="C29" t="s">
        <v>764</v>
      </c>
      <c r="D29" t="str">
        <f t="shared" si="2"/>
        <v>9-T</v>
      </c>
      <c r="G29" s="13">
        <f>manut_MP($D29,DP!G$1,DP!G$2)</f>
        <v>0</v>
      </c>
      <c r="H29" s="13">
        <f>manut_MP($D29,DP!H$1,DP!H$2)</f>
        <v>0</v>
      </c>
      <c r="I29" s="13">
        <f>manut_MP($D29,DP!I$1,DP!I$2)</f>
        <v>0</v>
      </c>
      <c r="J29" s="13">
        <f>manut_MP($D29,DP!J$1,DP!J$2)</f>
        <v>0</v>
      </c>
      <c r="K29" s="13">
        <f>manut_MP($D29,DP!K$1,DP!K$2)</f>
        <v>0</v>
      </c>
      <c r="L29" s="13">
        <f>manut_MP($D29,DP!L$1,DP!L$2)</f>
        <v>0</v>
      </c>
      <c r="M29" s="13">
        <f>manut_MP($D29,DP!M$1,DP!M$2)</f>
        <v>0</v>
      </c>
    </row>
    <row r="30" spans="1:20" x14ac:dyDescent="0.25">
      <c r="A30">
        <v>50</v>
      </c>
      <c r="B30">
        <v>1</v>
      </c>
      <c r="C30" t="s">
        <v>765</v>
      </c>
      <c r="D30" t="str">
        <f t="shared" si="2"/>
        <v>50-T</v>
      </c>
      <c r="G30" s="13">
        <f>manut_MP($D30,DP!G$1,DP!G$2)</f>
        <v>0</v>
      </c>
      <c r="H30" s="13">
        <f>manut_MP($D30,DP!H$1,DP!H$2)</f>
        <v>0</v>
      </c>
      <c r="I30" s="13">
        <f>manut_MP($D30,DP!I$1,DP!I$2)</f>
        <v>0</v>
      </c>
      <c r="J30" s="13">
        <f>manut_MP($D30,DP!J$1,DP!J$2)</f>
        <v>0</v>
      </c>
      <c r="K30" s="13">
        <f>manut_MP($D30,DP!K$1,DP!K$2)</f>
        <v>0</v>
      </c>
      <c r="L30" s="13">
        <f>manut_MP($D30,DP!L$1,DP!L$2)</f>
        <v>0</v>
      </c>
      <c r="M30" s="13">
        <f>manut_MP($D30,DP!M$1,DP!M$2)</f>
        <v>0</v>
      </c>
    </row>
    <row r="31" spans="1:20" x14ac:dyDescent="0.25">
      <c r="A31">
        <v>12</v>
      </c>
      <c r="B31">
        <v>1</v>
      </c>
      <c r="C31" t="s">
        <v>766</v>
      </c>
      <c r="D31" t="str">
        <f t="shared" si="2"/>
        <v>12-T</v>
      </c>
      <c r="G31" s="13">
        <f>manut_MP($D31,DP!G$1,DP!G$2)</f>
        <v>0</v>
      </c>
      <c r="H31" s="13">
        <f>manut_MP($D31,DP!H$1,DP!H$2)</f>
        <v>0</v>
      </c>
      <c r="I31" s="13">
        <f>manut_MP($D31,DP!I$1,DP!I$2)</f>
        <v>0</v>
      </c>
      <c r="J31" s="13">
        <f>manut_MP($D31,DP!J$1,DP!J$2)</f>
        <v>0</v>
      </c>
      <c r="K31" s="13">
        <f>manut_MP($D31,DP!K$1,DP!K$2)</f>
        <v>0</v>
      </c>
      <c r="L31" s="13">
        <f>manut_MP($D31,DP!L$1,DP!L$2)</f>
        <v>0</v>
      </c>
      <c r="M31" s="13">
        <f>manut_MP($D31,DP!M$1,DP!M$2)</f>
        <v>0</v>
      </c>
    </row>
    <row r="32" spans="1:20" x14ac:dyDescent="0.25">
      <c r="A32">
        <v>90</v>
      </c>
      <c r="B32">
        <v>1</v>
      </c>
      <c r="C32" t="s">
        <v>767</v>
      </c>
      <c r="D32" t="str">
        <f t="shared" si="2"/>
        <v>90-T</v>
      </c>
      <c r="G32" s="13">
        <f>manut_MP($D32,DP!G$1,DP!G$2)</f>
        <v>0</v>
      </c>
      <c r="H32" s="13">
        <f>manut_MP($D32,DP!H$1,DP!H$2)</f>
        <v>0</v>
      </c>
      <c r="I32" s="13">
        <f>manut_MP($D32,DP!I$1,DP!I$2)</f>
        <v>0</v>
      </c>
      <c r="J32" s="13">
        <f>manut_MP($D32,DP!J$1,DP!J$2)</f>
        <v>0</v>
      </c>
      <c r="K32" s="13">
        <f>manut_MP($D32,DP!K$1,DP!K$2)</f>
        <v>0</v>
      </c>
      <c r="L32" s="13">
        <f>manut_MP($D32,DP!L$1,DP!L$2)</f>
        <v>0</v>
      </c>
      <c r="M32" s="13">
        <f>manut_MP($D32,DP!M$1,DP!M$2)</f>
        <v>0</v>
      </c>
    </row>
    <row r="33" spans="1:13" x14ac:dyDescent="0.25">
      <c r="A33">
        <v>2</v>
      </c>
      <c r="B33">
        <v>1</v>
      </c>
      <c r="C33" t="s">
        <v>768</v>
      </c>
      <c r="D33" t="str">
        <f t="shared" si="2"/>
        <v>2-T</v>
      </c>
      <c r="G33" s="13">
        <f>manut_MP($D33,DP!G$1,DP!G$2)</f>
        <v>0</v>
      </c>
      <c r="H33" s="13">
        <f>manut_MP($D33,DP!H$1,DP!H$2)</f>
        <v>0</v>
      </c>
      <c r="I33" s="13">
        <f>manut_MP($D33,DP!I$1,DP!I$2)</f>
        <v>0</v>
      </c>
      <c r="J33" s="13">
        <f>manut_MP($D33,DP!J$1,DP!J$2)</f>
        <v>0</v>
      </c>
      <c r="K33" s="13">
        <f>manut_MP($D33,DP!K$1,DP!K$2)</f>
        <v>0</v>
      </c>
      <c r="L33" s="13">
        <f>manut_MP($D33,DP!L$1,DP!L$2)</f>
        <v>0</v>
      </c>
      <c r="M33" s="13">
        <f>manut_MP($D33,DP!M$1,DP!M$2)</f>
        <v>0</v>
      </c>
    </row>
    <row r="34" spans="1:13" x14ac:dyDescent="0.25">
      <c r="A34">
        <v>194</v>
      </c>
      <c r="B34">
        <v>1</v>
      </c>
      <c r="C34" t="s">
        <v>769</v>
      </c>
      <c r="D34" t="str">
        <f t="shared" si="2"/>
        <v>194-T</v>
      </c>
      <c r="G34" s="13">
        <f>manut_MP($D34,DP!G$1,DP!G$2)</f>
        <v>0</v>
      </c>
      <c r="H34" s="13">
        <f>manut_MP($D34,DP!H$1,DP!H$2)</f>
        <v>0</v>
      </c>
      <c r="I34" s="13">
        <f>manut_MP($D34,DP!I$1,DP!I$2)</f>
        <v>0</v>
      </c>
      <c r="J34" s="13">
        <f>manut_MP($D34,DP!J$1,DP!J$2)</f>
        <v>0</v>
      </c>
      <c r="K34" s="13">
        <f>manut_MP($D34,DP!K$1,DP!K$2)</f>
        <v>0</v>
      </c>
      <c r="L34" s="13">
        <f>manut_MP($D34,DP!L$1,DP!L$2)</f>
        <v>0</v>
      </c>
      <c r="M34" s="13">
        <f>manut_MP($D34,DP!M$1,DP!M$2)</f>
        <v>0</v>
      </c>
    </row>
    <row r="35" spans="1:13" x14ac:dyDescent="0.25">
      <c r="A35">
        <v>182</v>
      </c>
      <c r="B35">
        <v>1</v>
      </c>
      <c r="C35" t="s">
        <v>770</v>
      </c>
      <c r="D35" t="str">
        <f t="shared" si="2"/>
        <v>182-T</v>
      </c>
      <c r="F35">
        <v>173</v>
      </c>
      <c r="G35" s="13">
        <f>manut_MP($D35,DP!G$1,DP!G$2)</f>
        <v>88.22</v>
      </c>
      <c r="H35" s="13">
        <f>manut_MP($D35,DP!H$1,DP!H$2)</f>
        <v>25.205714285714283</v>
      </c>
      <c r="I35" s="13">
        <f>manut_MP($D35,DP!I$1,DP!I$2)</f>
        <v>0</v>
      </c>
      <c r="J35" s="13">
        <f>manut_MP($D35,DP!J$1,DP!J$2)</f>
        <v>0</v>
      </c>
      <c r="K35" s="13">
        <f>manut_MP($D35,DP!K$1,DP!K$2)</f>
        <v>0</v>
      </c>
      <c r="L35" s="13">
        <f>manut_MP($D35,DP!L$1,DP!L$2)</f>
        <v>0</v>
      </c>
      <c r="M35" s="13">
        <f>manut_MP($D35,DP!M$1,DP!M$2)</f>
        <v>0</v>
      </c>
    </row>
    <row r="36" spans="1:13" x14ac:dyDescent="0.25">
      <c r="A36">
        <v>153</v>
      </c>
      <c r="B36">
        <v>1</v>
      </c>
      <c r="C36" t="s">
        <v>771</v>
      </c>
      <c r="D36" t="str">
        <f t="shared" si="2"/>
        <v>153-T</v>
      </c>
      <c r="G36" s="13">
        <f>manut_MP($D36,DP!G$1,DP!G$2)</f>
        <v>0</v>
      </c>
      <c r="H36" s="13">
        <f>manut_MP($D36,DP!H$1,DP!H$2)</f>
        <v>0</v>
      </c>
      <c r="I36" s="13">
        <f>manut_MP($D36,DP!I$1,DP!I$2)</f>
        <v>0</v>
      </c>
      <c r="J36" s="13">
        <f>manut_MP($D36,DP!J$1,DP!J$2)</f>
        <v>0</v>
      </c>
      <c r="K36" s="13">
        <f>manut_MP($D36,DP!K$1,DP!K$2)</f>
        <v>0</v>
      </c>
      <c r="L36" s="13">
        <f>manut_MP($D36,DP!L$1,DP!L$2)</f>
        <v>0</v>
      </c>
      <c r="M36" s="13">
        <f>manut_MP($D36,DP!M$1,DP!M$2)</f>
        <v>0</v>
      </c>
    </row>
    <row r="37" spans="1:13" x14ac:dyDescent="0.25">
      <c r="A37">
        <v>155</v>
      </c>
      <c r="B37">
        <v>1</v>
      </c>
      <c r="C37" t="s">
        <v>772</v>
      </c>
      <c r="D37" t="str">
        <f t="shared" si="2"/>
        <v>155-T</v>
      </c>
      <c r="G37" s="13">
        <f>manut_MP($D37,DP!G$1,DP!G$2)</f>
        <v>0</v>
      </c>
      <c r="H37" s="13">
        <f>manut_MP($D37,DP!H$1,DP!H$2)</f>
        <v>0</v>
      </c>
      <c r="I37" s="13">
        <f>manut_MP($D37,DP!I$1,DP!I$2)</f>
        <v>0</v>
      </c>
      <c r="J37" s="13">
        <f>manut_MP($D37,DP!J$1,DP!J$2)</f>
        <v>0</v>
      </c>
      <c r="K37" s="13">
        <f>manut_MP($D37,DP!K$1,DP!K$2)</f>
        <v>0</v>
      </c>
      <c r="L37" s="13">
        <f>manut_MP($D37,DP!L$1,DP!L$2)</f>
        <v>0</v>
      </c>
      <c r="M37" s="13">
        <f>manut_MP($D37,DP!M$1,DP!M$2)</f>
        <v>0</v>
      </c>
    </row>
    <row r="38" spans="1:13" x14ac:dyDescent="0.25">
      <c r="A38">
        <v>7</v>
      </c>
      <c r="B38">
        <v>1</v>
      </c>
      <c r="C38" t="s">
        <v>773</v>
      </c>
      <c r="D38" t="str">
        <f t="shared" si="2"/>
        <v>7-T</v>
      </c>
      <c r="G38" s="13">
        <f>manut_MP($D38,DP!G$1,DP!G$2)</f>
        <v>0</v>
      </c>
      <c r="H38" s="13">
        <f>manut_MP($D38,DP!H$1,DP!H$2)</f>
        <v>0</v>
      </c>
      <c r="I38" s="13">
        <f>manut_MP($D38,DP!I$1,DP!I$2)</f>
        <v>0</v>
      </c>
      <c r="J38" s="13">
        <f>manut_MP($D38,DP!J$1,DP!J$2)</f>
        <v>0</v>
      </c>
      <c r="K38" s="13">
        <f>manut_MP($D38,DP!K$1,DP!K$2)</f>
        <v>0</v>
      </c>
      <c r="L38" s="13">
        <f>manut_MP($D38,DP!L$1,DP!L$2)</f>
        <v>0</v>
      </c>
      <c r="M38" s="13">
        <f>manut_MP($D38,DP!M$1,DP!M$2)</f>
        <v>0</v>
      </c>
    </row>
    <row r="39" spans="1:13" x14ac:dyDescent="0.25">
      <c r="A39">
        <v>19</v>
      </c>
      <c r="B39">
        <v>1</v>
      </c>
      <c r="C39" t="s">
        <v>774</v>
      </c>
      <c r="D39" t="str">
        <f t="shared" si="2"/>
        <v>19-T</v>
      </c>
      <c r="G39" s="13">
        <f>manut_MP($D39,DP!G$1,DP!G$2)</f>
        <v>0</v>
      </c>
      <c r="H39" s="13">
        <f>manut_MP($D39,DP!H$1,DP!H$2)</f>
        <v>0</v>
      </c>
      <c r="I39" s="13">
        <f>manut_MP($D39,DP!I$1,DP!I$2)</f>
        <v>0</v>
      </c>
      <c r="J39" s="13">
        <f>manut_MP($D39,DP!J$1,DP!J$2)</f>
        <v>0</v>
      </c>
      <c r="K39" s="13">
        <f>manut_MP($D39,DP!K$1,DP!K$2)</f>
        <v>0</v>
      </c>
      <c r="L39" s="13">
        <f>manut_MP($D39,DP!L$1,DP!L$2)</f>
        <v>0</v>
      </c>
      <c r="M39" s="13">
        <f>manut_MP($D39,DP!M$1,DP!M$2)</f>
        <v>0</v>
      </c>
    </row>
    <row r="40" spans="1:13" x14ac:dyDescent="0.25">
      <c r="A40">
        <v>108</v>
      </c>
      <c r="B40">
        <v>1</v>
      </c>
      <c r="C40" t="s">
        <v>775</v>
      </c>
      <c r="D40" t="str">
        <f t="shared" si="2"/>
        <v>108-T</v>
      </c>
      <c r="G40" s="13">
        <f>manut_MP($D40,DP!G$1,DP!G$2)</f>
        <v>0</v>
      </c>
      <c r="H40" s="13">
        <f>manut_MP($D40,DP!H$1,DP!H$2)</f>
        <v>0</v>
      </c>
      <c r="I40" s="13">
        <f>manut_MP($D40,DP!I$1,DP!I$2)</f>
        <v>0</v>
      </c>
      <c r="J40" s="13">
        <f>manut_MP($D40,DP!J$1,DP!J$2)</f>
        <v>0</v>
      </c>
      <c r="K40" s="13">
        <f>manut_MP($D40,DP!K$1,DP!K$2)</f>
        <v>0</v>
      </c>
      <c r="L40" s="13">
        <f>manut_MP($D40,DP!L$1,DP!L$2)</f>
        <v>0</v>
      </c>
      <c r="M40" s="13">
        <f>manut_MP($D40,DP!M$1,DP!M$2)</f>
        <v>0</v>
      </c>
    </row>
    <row r="41" spans="1:13" x14ac:dyDescent="0.25">
      <c r="A41">
        <v>156</v>
      </c>
      <c r="B41">
        <v>2</v>
      </c>
      <c r="C41" t="s">
        <v>776</v>
      </c>
      <c r="D41" t="str">
        <f t="shared" si="2"/>
        <v>156-T</v>
      </c>
      <c r="G41" s="13">
        <f>manut_MP($D41,DP!G$1,DP!G$2)</f>
        <v>0</v>
      </c>
      <c r="H41" s="13">
        <f>manut_MP($D41,DP!H$1,DP!H$2)</f>
        <v>0</v>
      </c>
      <c r="I41" s="13">
        <f>manut_MP($D41,DP!I$1,DP!I$2)</f>
        <v>0</v>
      </c>
      <c r="J41" s="13">
        <f>manut_MP($D41,DP!J$1,DP!J$2)</f>
        <v>0</v>
      </c>
      <c r="K41" s="13">
        <f>manut_MP($D41,DP!K$1,DP!K$2)</f>
        <v>0</v>
      </c>
      <c r="L41" s="13">
        <f>manut_MP($D41,DP!L$1,DP!L$2)</f>
        <v>0</v>
      </c>
      <c r="M41" s="13">
        <f>manut_MP($D41,DP!M$1,DP!M$2)</f>
        <v>0</v>
      </c>
    </row>
    <row r="42" spans="1:13" x14ac:dyDescent="0.25">
      <c r="A42">
        <v>22</v>
      </c>
      <c r="B42">
        <v>2</v>
      </c>
      <c r="C42" t="s">
        <v>777</v>
      </c>
      <c r="D42" t="str">
        <f t="shared" si="2"/>
        <v>22-T</v>
      </c>
      <c r="G42" s="13">
        <f>manut_MP($D42,DP!G$1,DP!G$2)</f>
        <v>0</v>
      </c>
      <c r="H42" s="13">
        <f>manut_MP($D42,DP!H$1,DP!H$2)</f>
        <v>0</v>
      </c>
      <c r="I42" s="13">
        <f>manut_MP($D42,DP!I$1,DP!I$2)</f>
        <v>0</v>
      </c>
      <c r="J42" s="13">
        <f>manut_MP($D42,DP!J$1,DP!J$2)</f>
        <v>0</v>
      </c>
      <c r="K42" s="13">
        <f>manut_MP($D42,DP!K$1,DP!K$2)</f>
        <v>0</v>
      </c>
      <c r="L42" s="13">
        <f>manut_MP($D42,DP!L$1,DP!L$2)</f>
        <v>0</v>
      </c>
      <c r="M42" s="13">
        <f>manut_MP($D42,DP!M$1,DP!M$2)</f>
        <v>0</v>
      </c>
    </row>
    <row r="43" spans="1:13" x14ac:dyDescent="0.25">
      <c r="A43">
        <v>23</v>
      </c>
      <c r="B43">
        <v>2</v>
      </c>
      <c r="C43" t="s">
        <v>778</v>
      </c>
      <c r="D43" t="str">
        <f t="shared" si="2"/>
        <v>23-T</v>
      </c>
      <c r="G43" s="13">
        <f>manut_MP($D43,DP!G$1,DP!G$2)</f>
        <v>0</v>
      </c>
      <c r="H43" s="13">
        <f>manut_MP($D43,DP!H$1,DP!H$2)</f>
        <v>0</v>
      </c>
      <c r="I43" s="13">
        <f>manut_MP($D43,DP!I$1,DP!I$2)</f>
        <v>0</v>
      </c>
      <c r="J43" s="13">
        <f>manut_MP($D43,DP!J$1,DP!J$2)</f>
        <v>0</v>
      </c>
      <c r="K43" s="13">
        <f>manut_MP($D43,DP!K$1,DP!K$2)</f>
        <v>0</v>
      </c>
      <c r="L43" s="13">
        <f>manut_MP($D43,DP!L$1,DP!L$2)</f>
        <v>0</v>
      </c>
      <c r="M43" s="13">
        <f>manut_MP($D43,DP!M$1,DP!M$2)</f>
        <v>0</v>
      </c>
    </row>
    <row r="44" spans="1:13" x14ac:dyDescent="0.25">
      <c r="A44">
        <v>24</v>
      </c>
      <c r="B44">
        <v>2</v>
      </c>
      <c r="C44" t="s">
        <v>779</v>
      </c>
      <c r="D44" t="str">
        <f t="shared" si="2"/>
        <v>24-T</v>
      </c>
      <c r="G44" s="13">
        <f>manut_MP($D44,DP!G$1,DP!G$2)</f>
        <v>0</v>
      </c>
      <c r="H44" s="13">
        <f>manut_MP($D44,DP!H$1,DP!H$2)</f>
        <v>0</v>
      </c>
      <c r="I44" s="13">
        <f>manut_MP($D44,DP!I$1,DP!I$2)</f>
        <v>0</v>
      </c>
      <c r="J44" s="13">
        <f>manut_MP($D44,DP!J$1,DP!J$2)</f>
        <v>0</v>
      </c>
      <c r="K44" s="13">
        <f>manut_MP($D44,DP!K$1,DP!K$2)</f>
        <v>0</v>
      </c>
      <c r="L44" s="13">
        <f>manut_MP($D44,DP!L$1,DP!L$2)</f>
        <v>0</v>
      </c>
      <c r="M44" s="13">
        <f>manut_MP($D44,DP!M$1,DP!M$2)</f>
        <v>0</v>
      </c>
    </row>
    <row r="45" spans="1:13" x14ac:dyDescent="0.25">
      <c r="A45">
        <v>25</v>
      </c>
      <c r="B45">
        <v>2</v>
      </c>
      <c r="C45" t="s">
        <v>780</v>
      </c>
      <c r="D45" t="str">
        <f t="shared" si="2"/>
        <v>25-T</v>
      </c>
      <c r="G45" s="13">
        <f>manut_MP($D45,DP!G$1,DP!G$2)</f>
        <v>0</v>
      </c>
      <c r="H45" s="13">
        <f>manut_MP($D45,DP!H$1,DP!H$2)</f>
        <v>0</v>
      </c>
      <c r="I45" s="13">
        <f>manut_MP($D45,DP!I$1,DP!I$2)</f>
        <v>0</v>
      </c>
      <c r="J45" s="13">
        <f>manut_MP($D45,DP!J$1,DP!J$2)</f>
        <v>0</v>
      </c>
      <c r="K45" s="13">
        <f>manut_MP($D45,DP!K$1,DP!K$2)</f>
        <v>0</v>
      </c>
      <c r="L45" s="13">
        <f>manut_MP($D45,DP!L$1,DP!L$2)</f>
        <v>0</v>
      </c>
      <c r="M45" s="13">
        <f>manut_MP($D45,DP!M$1,DP!M$2)</f>
        <v>0</v>
      </c>
    </row>
    <row r="46" spans="1:13" x14ac:dyDescent="0.25">
      <c r="A46">
        <v>27</v>
      </c>
      <c r="B46">
        <v>2</v>
      </c>
      <c r="C46" t="s">
        <v>781</v>
      </c>
      <c r="D46" t="str">
        <f t="shared" si="2"/>
        <v>27-T</v>
      </c>
      <c r="G46" s="13">
        <f>manut_MP($D46,DP!G$1,DP!G$2)</f>
        <v>0</v>
      </c>
      <c r="H46" s="13">
        <f>manut_MP($D46,DP!H$1,DP!H$2)</f>
        <v>0</v>
      </c>
      <c r="I46" s="13">
        <f>manut_MP($D46,DP!I$1,DP!I$2)</f>
        <v>0</v>
      </c>
      <c r="J46" s="13">
        <f>manut_MP($D46,DP!J$1,DP!J$2)</f>
        <v>0</v>
      </c>
      <c r="K46" s="13">
        <f>manut_MP($D46,DP!K$1,DP!K$2)</f>
        <v>0</v>
      </c>
      <c r="L46" s="13">
        <f>manut_MP($D46,DP!L$1,DP!L$2)</f>
        <v>0</v>
      </c>
      <c r="M46" s="13">
        <f>manut_MP($D46,DP!M$1,DP!M$2)</f>
        <v>0</v>
      </c>
    </row>
    <row r="47" spans="1:13" x14ac:dyDescent="0.25">
      <c r="A47">
        <v>29</v>
      </c>
      <c r="B47">
        <v>2</v>
      </c>
      <c r="C47" t="s">
        <v>782</v>
      </c>
      <c r="D47" t="str">
        <f t="shared" si="2"/>
        <v>29-T</v>
      </c>
      <c r="G47" s="13">
        <f>manut_MP($D47,DP!G$1,DP!G$2)</f>
        <v>0</v>
      </c>
      <c r="H47" s="13">
        <f>manut_MP($D47,DP!H$1,DP!H$2)</f>
        <v>0</v>
      </c>
      <c r="I47" s="13">
        <f>manut_MP($D47,DP!I$1,DP!I$2)</f>
        <v>0</v>
      </c>
      <c r="J47" s="13">
        <f>manut_MP($D47,DP!J$1,DP!J$2)</f>
        <v>0</v>
      </c>
      <c r="K47" s="13">
        <f>manut_MP($D47,DP!K$1,DP!K$2)</f>
        <v>0</v>
      </c>
      <c r="L47" s="13">
        <f>manut_MP($D47,DP!L$1,DP!L$2)</f>
        <v>0</v>
      </c>
      <c r="M47" s="13">
        <f>manut_MP($D47,DP!M$1,DP!M$2)</f>
        <v>0</v>
      </c>
    </row>
    <row r="48" spans="1:13" x14ac:dyDescent="0.25">
      <c r="A48">
        <v>32</v>
      </c>
      <c r="B48">
        <v>2</v>
      </c>
      <c r="C48" t="s">
        <v>783</v>
      </c>
      <c r="D48" t="str">
        <f t="shared" si="2"/>
        <v>32-T</v>
      </c>
      <c r="G48" s="13">
        <f>manut_MP($D48,DP!G$1,DP!G$2)</f>
        <v>0</v>
      </c>
      <c r="H48" s="13">
        <f>manut_MP($D48,DP!H$1,DP!H$2)</f>
        <v>0</v>
      </c>
      <c r="I48" s="13">
        <f>manut_MP($D48,DP!I$1,DP!I$2)</f>
        <v>0</v>
      </c>
      <c r="J48" s="13">
        <f>manut_MP($D48,DP!J$1,DP!J$2)</f>
        <v>0</v>
      </c>
      <c r="K48" s="13">
        <f>manut_MP($D48,DP!K$1,DP!K$2)</f>
        <v>0</v>
      </c>
      <c r="L48" s="13">
        <f>manut_MP($D48,DP!L$1,DP!L$2)</f>
        <v>0</v>
      </c>
      <c r="M48" s="13">
        <f>manut_MP($D48,DP!M$1,DP!M$2)</f>
        <v>0</v>
      </c>
    </row>
    <row r="49" spans="1:13" x14ac:dyDescent="0.25">
      <c r="A49">
        <v>169</v>
      </c>
      <c r="B49">
        <v>2</v>
      </c>
      <c r="C49" t="s">
        <v>784</v>
      </c>
      <c r="D49" t="str">
        <f t="shared" si="2"/>
        <v>169-T</v>
      </c>
      <c r="G49" s="13">
        <f>manut_MP($D49,DP!G$1,DP!G$2)</f>
        <v>0</v>
      </c>
      <c r="H49" s="13">
        <f>manut_MP($D49,DP!H$1,DP!H$2)</f>
        <v>0</v>
      </c>
      <c r="I49" s="13">
        <f>manut_MP($D49,DP!I$1,DP!I$2)</f>
        <v>0</v>
      </c>
      <c r="J49" s="13">
        <f>manut_MP($D49,DP!J$1,DP!J$2)</f>
        <v>0</v>
      </c>
      <c r="K49" s="13">
        <f>manut_MP($D49,DP!K$1,DP!K$2)</f>
        <v>0</v>
      </c>
      <c r="L49" s="13">
        <f>manut_MP($D49,DP!L$1,DP!L$2)</f>
        <v>0</v>
      </c>
      <c r="M49" s="13">
        <f>manut_MP($D49,DP!M$1,DP!M$2)</f>
        <v>0</v>
      </c>
    </row>
    <row r="50" spans="1:13" x14ac:dyDescent="0.25">
      <c r="A50">
        <v>26</v>
      </c>
      <c r="B50">
        <v>2</v>
      </c>
      <c r="C50" t="s">
        <v>785</v>
      </c>
      <c r="D50" t="str">
        <f t="shared" si="2"/>
        <v>26-T</v>
      </c>
      <c r="G50" s="13">
        <f>manut_MP($D50,DP!G$1,DP!G$2)</f>
        <v>0</v>
      </c>
      <c r="H50" s="13">
        <f>manut_MP($D50,DP!H$1,DP!H$2)</f>
        <v>0</v>
      </c>
      <c r="I50" s="13">
        <f>manut_MP($D50,DP!I$1,DP!I$2)</f>
        <v>0</v>
      </c>
      <c r="J50" s="13">
        <f>manut_MP($D50,DP!J$1,DP!J$2)</f>
        <v>0</v>
      </c>
      <c r="K50" s="13">
        <f>manut_MP($D50,DP!K$1,DP!K$2)</f>
        <v>0</v>
      </c>
      <c r="L50" s="13">
        <f>manut_MP($D50,DP!L$1,DP!L$2)</f>
        <v>0</v>
      </c>
      <c r="M50" s="13">
        <f>manut_MP($D50,DP!M$1,DP!M$2)</f>
        <v>0</v>
      </c>
    </row>
    <row r="51" spans="1:13" x14ac:dyDescent="0.25">
      <c r="A51">
        <v>28</v>
      </c>
      <c r="B51">
        <v>2</v>
      </c>
      <c r="C51" t="s">
        <v>786</v>
      </c>
      <c r="D51" t="str">
        <f t="shared" si="2"/>
        <v>28-T</v>
      </c>
      <c r="G51" s="13">
        <f>manut_MP($D51,DP!G$1,DP!G$2)</f>
        <v>0</v>
      </c>
      <c r="H51" s="13">
        <f>manut_MP($D51,DP!H$1,DP!H$2)</f>
        <v>0</v>
      </c>
      <c r="I51" s="13">
        <f>manut_MP($D51,DP!I$1,DP!I$2)</f>
        <v>0</v>
      </c>
      <c r="J51" s="13">
        <f>manut_MP($D51,DP!J$1,DP!J$2)</f>
        <v>0</v>
      </c>
      <c r="K51" s="13">
        <f>manut_MP($D51,DP!K$1,DP!K$2)</f>
        <v>0</v>
      </c>
      <c r="L51" s="13">
        <f>manut_MP($D51,DP!L$1,DP!L$2)</f>
        <v>0</v>
      </c>
      <c r="M51" s="13">
        <f>manut_MP($D51,DP!M$1,DP!M$2)</f>
        <v>0</v>
      </c>
    </row>
    <row r="52" spans="1:13" x14ac:dyDescent="0.25">
      <c r="A52">
        <v>35</v>
      </c>
      <c r="B52">
        <v>2</v>
      </c>
      <c r="C52" t="s">
        <v>787</v>
      </c>
      <c r="D52" t="str">
        <f t="shared" si="2"/>
        <v>35-T</v>
      </c>
      <c r="G52" s="13">
        <f>manut_MP($D52,DP!G$1,DP!G$2)</f>
        <v>0</v>
      </c>
      <c r="H52" s="13">
        <f>manut_MP($D52,DP!H$1,DP!H$2)</f>
        <v>0</v>
      </c>
      <c r="I52" s="13">
        <f>manut_MP($D52,DP!I$1,DP!I$2)</f>
        <v>0</v>
      </c>
      <c r="J52" s="13">
        <f>manut_MP($D52,DP!J$1,DP!J$2)</f>
        <v>0</v>
      </c>
      <c r="K52" s="13">
        <f>manut_MP($D52,DP!K$1,DP!K$2)</f>
        <v>0</v>
      </c>
      <c r="L52" s="13">
        <f>manut_MP($D52,DP!L$1,DP!L$2)</f>
        <v>0</v>
      </c>
      <c r="M52" s="13">
        <f>manut_MP($D52,DP!M$1,DP!M$2)</f>
        <v>0</v>
      </c>
    </row>
    <row r="53" spans="1:13" x14ac:dyDescent="0.25">
      <c r="A53">
        <v>64</v>
      </c>
      <c r="B53">
        <v>2</v>
      </c>
      <c r="C53" t="s">
        <v>788</v>
      </c>
      <c r="D53" t="str">
        <f t="shared" si="2"/>
        <v>64-T</v>
      </c>
      <c r="G53" s="13">
        <f>manut_MP($D53,DP!G$1,DP!G$2)</f>
        <v>0</v>
      </c>
      <c r="H53" s="13">
        <f>manut_MP($D53,DP!H$1,DP!H$2)</f>
        <v>0</v>
      </c>
      <c r="I53" s="13">
        <f>manut_MP($D53,DP!I$1,DP!I$2)</f>
        <v>0</v>
      </c>
      <c r="J53" s="13">
        <f>manut_MP($D53,DP!J$1,DP!J$2)</f>
        <v>0</v>
      </c>
      <c r="K53" s="13">
        <f>manut_MP($D53,DP!K$1,DP!K$2)</f>
        <v>0</v>
      </c>
      <c r="L53" s="13">
        <f>manut_MP($D53,DP!L$1,DP!L$2)</f>
        <v>0</v>
      </c>
      <c r="M53" s="13">
        <f>manut_MP($D53,DP!M$1,DP!M$2)</f>
        <v>0</v>
      </c>
    </row>
    <row r="54" spans="1:13" x14ac:dyDescent="0.25">
      <c r="A54">
        <v>48</v>
      </c>
      <c r="B54">
        <v>2</v>
      </c>
      <c r="C54" t="s">
        <v>789</v>
      </c>
      <c r="D54" t="str">
        <f t="shared" si="2"/>
        <v>48-T</v>
      </c>
      <c r="G54" s="13">
        <f>manut_MP($D54,DP!G$1,DP!G$2)</f>
        <v>0</v>
      </c>
      <c r="H54" s="13">
        <f>manut_MP($D54,DP!H$1,DP!H$2)</f>
        <v>0</v>
      </c>
      <c r="I54" s="13">
        <f>manut_MP($D54,DP!I$1,DP!I$2)</f>
        <v>0</v>
      </c>
      <c r="J54" s="13">
        <f>manut_MP($D54,DP!J$1,DP!J$2)</f>
        <v>0</v>
      </c>
      <c r="K54" s="13">
        <f>manut_MP($D54,DP!K$1,DP!K$2)</f>
        <v>0</v>
      </c>
      <c r="L54" s="13">
        <f>manut_MP($D54,DP!L$1,DP!L$2)</f>
        <v>0</v>
      </c>
      <c r="M54" s="13">
        <f>manut_MP($D54,DP!M$1,DP!M$2)</f>
        <v>0</v>
      </c>
    </row>
    <row r="55" spans="1:13" x14ac:dyDescent="0.25">
      <c r="A55">
        <v>30</v>
      </c>
      <c r="B55">
        <v>2</v>
      </c>
      <c r="C55" t="s">
        <v>790</v>
      </c>
      <c r="D55" t="str">
        <f t="shared" si="2"/>
        <v>30-T</v>
      </c>
      <c r="G55" s="13">
        <f>manut_MP($D55,DP!G$1,DP!G$2)</f>
        <v>0</v>
      </c>
      <c r="H55" s="13">
        <f>manut_MP($D55,DP!H$1,DP!H$2)</f>
        <v>0</v>
      </c>
      <c r="I55" s="13">
        <f>manut_MP($D55,DP!I$1,DP!I$2)</f>
        <v>0</v>
      </c>
      <c r="J55" s="13">
        <f>manut_MP($D55,DP!J$1,DP!J$2)</f>
        <v>0</v>
      </c>
      <c r="K55" s="13">
        <f>manut_MP($D55,DP!K$1,DP!K$2)</f>
        <v>0</v>
      </c>
      <c r="L55" s="13">
        <f>manut_MP($D55,DP!L$1,DP!L$2)</f>
        <v>0</v>
      </c>
      <c r="M55" s="13">
        <f>manut_MP($D55,DP!M$1,DP!M$2)</f>
        <v>0</v>
      </c>
    </row>
    <row r="56" spans="1:13" x14ac:dyDescent="0.25">
      <c r="A56">
        <v>96</v>
      </c>
      <c r="B56">
        <v>3</v>
      </c>
      <c r="C56" t="s">
        <v>791</v>
      </c>
      <c r="D56" t="str">
        <f t="shared" si="2"/>
        <v>96-T</v>
      </c>
      <c r="G56" s="13">
        <f>manut_MP($D56,DP!G$1,DP!G$2)</f>
        <v>0</v>
      </c>
      <c r="H56" s="13">
        <f>manut_MP($D56,DP!H$1,DP!H$2)</f>
        <v>0</v>
      </c>
      <c r="I56" s="13">
        <f>manut_MP($D56,DP!I$1,DP!I$2)</f>
        <v>0</v>
      </c>
      <c r="J56" s="13">
        <f>manut_MP($D56,DP!J$1,DP!J$2)</f>
        <v>0</v>
      </c>
      <c r="K56" s="13">
        <f>manut_MP($D56,DP!K$1,DP!K$2)</f>
        <v>0</v>
      </c>
      <c r="L56" s="13">
        <f>manut_MP($D56,DP!L$1,DP!L$2)</f>
        <v>0</v>
      </c>
      <c r="M56" s="13">
        <f>manut_MP($D56,DP!M$1,DP!M$2)</f>
        <v>0</v>
      </c>
    </row>
    <row r="57" spans="1:13" x14ac:dyDescent="0.25">
      <c r="A57">
        <v>106</v>
      </c>
      <c r="B57">
        <v>3</v>
      </c>
      <c r="C57" t="s">
        <v>792</v>
      </c>
      <c r="D57" t="str">
        <f t="shared" si="2"/>
        <v>106-T</v>
      </c>
      <c r="G57" s="13">
        <f>manut_MP($D57,DP!G$1,DP!G$2)</f>
        <v>0</v>
      </c>
      <c r="H57" s="13">
        <f>manut_MP($D57,DP!H$1,DP!H$2)</f>
        <v>0</v>
      </c>
      <c r="I57" s="13">
        <f>manut_MP($D57,DP!I$1,DP!I$2)</f>
        <v>0</v>
      </c>
      <c r="J57" s="13">
        <f>manut_MP($D57,DP!J$1,DP!J$2)</f>
        <v>0</v>
      </c>
      <c r="K57" s="13">
        <f>manut_MP($D57,DP!K$1,DP!K$2)</f>
        <v>0</v>
      </c>
      <c r="L57" s="13">
        <f>manut_MP($D57,DP!L$1,DP!L$2)</f>
        <v>0</v>
      </c>
      <c r="M57" s="13">
        <f>manut_MP($D57,DP!M$1,DP!M$2)</f>
        <v>0</v>
      </c>
    </row>
    <row r="58" spans="1:13" x14ac:dyDescent="0.25">
      <c r="A58">
        <v>167</v>
      </c>
      <c r="B58">
        <v>3</v>
      </c>
      <c r="C58" t="s">
        <v>793</v>
      </c>
      <c r="D58" t="str">
        <f t="shared" si="2"/>
        <v>167-T</v>
      </c>
      <c r="G58" s="13">
        <f>manut_MP($D58,DP!G$1,DP!G$2)</f>
        <v>0</v>
      </c>
      <c r="H58" s="13">
        <f>manut_MP($D58,DP!H$1,DP!H$2)</f>
        <v>0</v>
      </c>
      <c r="I58" s="13">
        <f>manut_MP($D58,DP!I$1,DP!I$2)</f>
        <v>0</v>
      </c>
      <c r="J58" s="13">
        <f>manut_MP($D58,DP!J$1,DP!J$2)</f>
        <v>0</v>
      </c>
      <c r="K58" s="13">
        <f>manut_MP($D58,DP!K$1,DP!K$2)</f>
        <v>0</v>
      </c>
      <c r="L58" s="13">
        <f>manut_MP($D58,DP!L$1,DP!L$2)</f>
        <v>0</v>
      </c>
      <c r="M58" s="13">
        <f>manut_MP($D58,DP!M$1,DP!M$2)</f>
        <v>0</v>
      </c>
    </row>
    <row r="59" spans="1:13" x14ac:dyDescent="0.25">
      <c r="A59">
        <v>163</v>
      </c>
      <c r="B59">
        <v>3</v>
      </c>
      <c r="C59" t="s">
        <v>794</v>
      </c>
      <c r="D59" t="str">
        <f t="shared" si="2"/>
        <v>163-T</v>
      </c>
      <c r="G59" s="13">
        <f>manut_MP($D59,DP!G$1,DP!G$2)</f>
        <v>0</v>
      </c>
      <c r="H59" s="13">
        <f>manut_MP($D59,DP!H$1,DP!H$2)</f>
        <v>0</v>
      </c>
      <c r="I59" s="13">
        <f>manut_MP($D59,DP!I$1,DP!I$2)</f>
        <v>0</v>
      </c>
      <c r="J59" s="13">
        <f>manut_MP($D59,DP!J$1,DP!J$2)</f>
        <v>0</v>
      </c>
      <c r="K59" s="13">
        <f>manut_MP($D59,DP!K$1,DP!K$2)</f>
        <v>0</v>
      </c>
      <c r="L59" s="13">
        <f>manut_MP($D59,DP!L$1,DP!L$2)</f>
        <v>0</v>
      </c>
      <c r="M59" s="13">
        <f>manut_MP($D59,DP!M$1,DP!M$2)</f>
        <v>0</v>
      </c>
    </row>
    <row r="60" spans="1:13" x14ac:dyDescent="0.25">
      <c r="A60">
        <v>42</v>
      </c>
      <c r="B60">
        <v>3</v>
      </c>
      <c r="C60" t="s">
        <v>795</v>
      </c>
      <c r="D60" t="str">
        <f t="shared" si="2"/>
        <v>42-T</v>
      </c>
      <c r="G60" s="13">
        <f>manut_MP($D60,DP!G$1,DP!G$2)</f>
        <v>0</v>
      </c>
      <c r="H60" s="13">
        <f>manut_MP($D60,DP!H$1,DP!H$2)</f>
        <v>0</v>
      </c>
      <c r="I60" s="13">
        <f>manut_MP($D60,DP!I$1,DP!I$2)</f>
        <v>0</v>
      </c>
      <c r="J60" s="13">
        <f>manut_MP($D60,DP!J$1,DP!J$2)</f>
        <v>0</v>
      </c>
      <c r="K60" s="13">
        <f>manut_MP($D60,DP!K$1,DP!K$2)</f>
        <v>0</v>
      </c>
      <c r="L60" s="13">
        <f>manut_MP($D60,DP!L$1,DP!L$2)</f>
        <v>0</v>
      </c>
      <c r="M60" s="13">
        <f>manut_MP($D60,DP!M$1,DP!M$2)</f>
        <v>0</v>
      </c>
    </row>
    <row r="61" spans="1:13" x14ac:dyDescent="0.25">
      <c r="A61">
        <v>74</v>
      </c>
      <c r="B61">
        <v>3</v>
      </c>
      <c r="C61" t="s">
        <v>796</v>
      </c>
      <c r="D61" t="str">
        <f t="shared" si="2"/>
        <v>74-T</v>
      </c>
      <c r="G61" s="13">
        <f>manut_MP($D61,DP!G$1,DP!G$2)</f>
        <v>0</v>
      </c>
      <c r="H61" s="13">
        <f>manut_MP($D61,DP!H$1,DP!H$2)</f>
        <v>0</v>
      </c>
      <c r="I61" s="13">
        <f>manut_MP($D61,DP!I$1,DP!I$2)</f>
        <v>0</v>
      </c>
      <c r="J61" s="13">
        <f>manut_MP($D61,DP!J$1,DP!J$2)</f>
        <v>0</v>
      </c>
      <c r="K61" s="13">
        <f>manut_MP($D61,DP!K$1,DP!K$2)</f>
        <v>0</v>
      </c>
      <c r="L61" s="13">
        <f>manut_MP($D61,DP!L$1,DP!L$2)</f>
        <v>0</v>
      </c>
      <c r="M61" s="13">
        <f>manut_MP($D61,DP!M$1,DP!M$2)</f>
        <v>0</v>
      </c>
    </row>
    <row r="62" spans="1:13" x14ac:dyDescent="0.25">
      <c r="A62">
        <v>98</v>
      </c>
      <c r="B62">
        <v>3</v>
      </c>
      <c r="C62" t="s">
        <v>797</v>
      </c>
      <c r="D62" t="str">
        <f t="shared" si="2"/>
        <v>98-T</v>
      </c>
      <c r="G62" s="13">
        <f>manut_MP($D62,DP!G$1,DP!G$2)</f>
        <v>0</v>
      </c>
      <c r="H62" s="13">
        <f>manut_MP($D62,DP!H$1,DP!H$2)</f>
        <v>0</v>
      </c>
      <c r="I62" s="13">
        <f>manut_MP($D62,DP!I$1,DP!I$2)</f>
        <v>0</v>
      </c>
      <c r="J62" s="13">
        <f>manut_MP($D62,DP!J$1,DP!J$2)</f>
        <v>0</v>
      </c>
      <c r="K62" s="13">
        <f>manut_MP($D62,DP!K$1,DP!K$2)</f>
        <v>0</v>
      </c>
      <c r="L62" s="13">
        <f>manut_MP($D62,DP!L$1,DP!L$2)</f>
        <v>0</v>
      </c>
      <c r="M62" s="13">
        <f>manut_MP($D62,DP!M$1,DP!M$2)</f>
        <v>0</v>
      </c>
    </row>
    <row r="63" spans="1:13" x14ac:dyDescent="0.25">
      <c r="A63">
        <v>43</v>
      </c>
      <c r="B63">
        <v>3</v>
      </c>
      <c r="C63" t="s">
        <v>798</v>
      </c>
      <c r="D63" t="str">
        <f t="shared" si="2"/>
        <v>43-T</v>
      </c>
      <c r="G63" s="13">
        <f>manut_MP($D63,DP!G$1,DP!G$2)</f>
        <v>0</v>
      </c>
      <c r="H63" s="13">
        <f>manut_MP($D63,DP!H$1,DP!H$2)</f>
        <v>0</v>
      </c>
      <c r="I63" s="13">
        <f>manut_MP($D63,DP!I$1,DP!I$2)</f>
        <v>0</v>
      </c>
      <c r="J63" s="13">
        <f>manut_MP($D63,DP!J$1,DP!J$2)</f>
        <v>0</v>
      </c>
      <c r="K63" s="13">
        <f>manut_MP($D63,DP!K$1,DP!K$2)</f>
        <v>0</v>
      </c>
      <c r="L63" s="13">
        <f>manut_MP($D63,DP!L$1,DP!L$2)</f>
        <v>0</v>
      </c>
      <c r="M63" s="13">
        <f>manut_MP($D63,DP!M$1,DP!M$2)</f>
        <v>0</v>
      </c>
    </row>
    <row r="64" spans="1:13" x14ac:dyDescent="0.25">
      <c r="A64">
        <v>57</v>
      </c>
      <c r="B64">
        <v>3</v>
      </c>
      <c r="C64" t="s">
        <v>799</v>
      </c>
      <c r="D64" t="str">
        <f t="shared" si="2"/>
        <v>57-T</v>
      </c>
      <c r="G64" s="13">
        <f>manut_MP($D64,DP!G$1,DP!G$2)</f>
        <v>0</v>
      </c>
      <c r="H64" s="13">
        <f>manut_MP($D64,DP!H$1,DP!H$2)</f>
        <v>0</v>
      </c>
      <c r="I64" s="13">
        <f>manut_MP($D64,DP!I$1,DP!I$2)</f>
        <v>0</v>
      </c>
      <c r="J64" s="13">
        <f>manut_MP($D64,DP!J$1,DP!J$2)</f>
        <v>0</v>
      </c>
      <c r="K64" s="13">
        <f>manut_MP($D64,DP!K$1,DP!K$2)</f>
        <v>0</v>
      </c>
      <c r="L64" s="13">
        <f>manut_MP($D64,DP!L$1,DP!L$2)</f>
        <v>0</v>
      </c>
      <c r="M64" s="13">
        <f>manut_MP($D64,DP!M$1,DP!M$2)</f>
        <v>0</v>
      </c>
    </row>
    <row r="65" spans="1:13" x14ac:dyDescent="0.25">
      <c r="A65">
        <v>170</v>
      </c>
      <c r="B65">
        <v>3</v>
      </c>
      <c r="C65" t="s">
        <v>800</v>
      </c>
      <c r="D65" t="str">
        <f t="shared" si="2"/>
        <v>170-T</v>
      </c>
      <c r="G65" s="13">
        <f>manut_MP($D65,DP!G$1,DP!G$2)</f>
        <v>0</v>
      </c>
      <c r="H65" s="13">
        <f>manut_MP($D65,DP!H$1,DP!H$2)</f>
        <v>0</v>
      </c>
      <c r="I65" s="13">
        <f>manut_MP($D65,DP!I$1,DP!I$2)</f>
        <v>0</v>
      </c>
      <c r="J65" s="13">
        <f>manut_MP($D65,DP!J$1,DP!J$2)</f>
        <v>0</v>
      </c>
      <c r="K65" s="13">
        <f>manut_MP($D65,DP!K$1,DP!K$2)</f>
        <v>0</v>
      </c>
      <c r="L65" s="13">
        <f>manut_MP($D65,DP!L$1,DP!L$2)</f>
        <v>0</v>
      </c>
      <c r="M65" s="13">
        <f>manut_MP($D65,DP!M$1,DP!M$2)</f>
        <v>0</v>
      </c>
    </row>
    <row r="66" spans="1:13" x14ac:dyDescent="0.25">
      <c r="A66">
        <v>152</v>
      </c>
      <c r="B66">
        <v>3</v>
      </c>
      <c r="C66" t="s">
        <v>273</v>
      </c>
      <c r="D66" t="str">
        <f t="shared" si="2"/>
        <v>152-T</v>
      </c>
      <c r="F66">
        <v>49.7</v>
      </c>
      <c r="G66" s="13">
        <f>manut_MP($D66,DP!G$1,DP!G$2)</f>
        <v>16.574999999999999</v>
      </c>
      <c r="H66" s="13">
        <f>manut_MP($D66,DP!H$1,DP!H$2)</f>
        <v>16.574999999999999</v>
      </c>
      <c r="I66" s="13">
        <f>manut_MP($D66,DP!I$1,DP!I$2)</f>
        <v>14.207142857142856</v>
      </c>
      <c r="J66" s="13">
        <f>manut_MP($D66,DP!J$1,DP!J$2)</f>
        <v>0</v>
      </c>
      <c r="K66" s="13">
        <f>manut_MP($D66,DP!K$1,DP!K$2)</f>
        <v>0</v>
      </c>
      <c r="L66" s="13">
        <f>manut_MP($D66,DP!L$1,DP!L$2)</f>
        <v>0</v>
      </c>
      <c r="M66" s="13">
        <f>manut_MP($D66,DP!M$1,DP!M$2)</f>
        <v>0</v>
      </c>
    </row>
    <row r="67" spans="1:13" x14ac:dyDescent="0.25">
      <c r="A67">
        <v>52</v>
      </c>
      <c r="B67">
        <v>3</v>
      </c>
      <c r="C67" t="s">
        <v>801</v>
      </c>
      <c r="D67" t="str">
        <f t="shared" si="2"/>
        <v>52-T</v>
      </c>
      <c r="G67" s="13">
        <f>manut_MP($D67,DP!G$1,DP!G$2)</f>
        <v>0</v>
      </c>
      <c r="H67" s="13">
        <f>manut_MP($D67,DP!H$1,DP!H$2)</f>
        <v>0</v>
      </c>
      <c r="I67" s="13">
        <f>manut_MP($D67,DP!I$1,DP!I$2)</f>
        <v>0</v>
      </c>
      <c r="J67" s="13">
        <f>manut_MP($D67,DP!J$1,DP!J$2)</f>
        <v>0</v>
      </c>
      <c r="K67" s="13">
        <f>manut_MP($D67,DP!K$1,DP!K$2)</f>
        <v>0</v>
      </c>
      <c r="L67" s="13">
        <f>manut_MP($D67,DP!L$1,DP!L$2)</f>
        <v>0</v>
      </c>
      <c r="M67" s="13">
        <f>manut_MP($D67,DP!M$1,DP!M$2)</f>
        <v>0</v>
      </c>
    </row>
    <row r="68" spans="1:13" x14ac:dyDescent="0.25">
      <c r="A68">
        <v>67</v>
      </c>
      <c r="B68">
        <v>3</v>
      </c>
      <c r="C68" t="s">
        <v>802</v>
      </c>
      <c r="D68" t="str">
        <f t="shared" ref="D68:D118" si="5">A68&amp;"-T"</f>
        <v>67-T</v>
      </c>
      <c r="G68" s="13">
        <f>manut_MP($D68,DP!G$1,DP!G$2)</f>
        <v>0</v>
      </c>
      <c r="H68" s="13">
        <f>manut_MP($D68,DP!H$1,DP!H$2)</f>
        <v>0</v>
      </c>
      <c r="I68" s="13">
        <f>manut_MP($D68,DP!I$1,DP!I$2)</f>
        <v>0</v>
      </c>
      <c r="J68" s="13">
        <f>manut_MP($D68,DP!J$1,DP!J$2)</f>
        <v>0</v>
      </c>
      <c r="K68" s="13">
        <f>manut_MP($D68,DP!K$1,DP!K$2)</f>
        <v>0</v>
      </c>
      <c r="L68" s="13">
        <f>manut_MP($D68,DP!L$1,DP!L$2)</f>
        <v>0</v>
      </c>
      <c r="M68" s="13">
        <f>manut_MP($D68,DP!M$1,DP!M$2)</f>
        <v>0</v>
      </c>
    </row>
    <row r="69" spans="1:13" x14ac:dyDescent="0.25">
      <c r="A69">
        <v>69</v>
      </c>
      <c r="B69">
        <v>3</v>
      </c>
      <c r="C69" t="s">
        <v>803</v>
      </c>
      <c r="D69" t="str">
        <f t="shared" si="5"/>
        <v>69-T</v>
      </c>
      <c r="G69" s="13">
        <f>manut_MP($D69,DP!G$1,DP!G$2)</f>
        <v>0</v>
      </c>
      <c r="H69" s="13">
        <f>manut_MP($D69,DP!H$1,DP!H$2)</f>
        <v>0</v>
      </c>
      <c r="I69" s="13">
        <f>manut_MP($D69,DP!I$1,DP!I$2)</f>
        <v>0</v>
      </c>
      <c r="J69" s="13">
        <f>manut_MP($D69,DP!J$1,DP!J$2)</f>
        <v>0</v>
      </c>
      <c r="K69" s="13">
        <f>manut_MP($D69,DP!K$1,DP!K$2)</f>
        <v>0</v>
      </c>
      <c r="L69" s="13">
        <f>manut_MP($D69,DP!L$1,DP!L$2)</f>
        <v>0</v>
      </c>
      <c r="M69" s="13">
        <f>manut_MP($D69,DP!M$1,DP!M$2)</f>
        <v>0</v>
      </c>
    </row>
    <row r="70" spans="1:13" x14ac:dyDescent="0.25">
      <c r="A70">
        <v>53</v>
      </c>
      <c r="B70">
        <v>3</v>
      </c>
      <c r="C70" t="s">
        <v>804</v>
      </c>
      <c r="D70" t="str">
        <f t="shared" si="5"/>
        <v>53-T</v>
      </c>
      <c r="G70" s="13">
        <f>manut_MP($D70,DP!G$1,DP!G$2)</f>
        <v>0</v>
      </c>
      <c r="H70" s="13">
        <f>manut_MP($D70,DP!H$1,DP!H$2)</f>
        <v>0</v>
      </c>
      <c r="I70" s="13">
        <f>manut_MP($D70,DP!I$1,DP!I$2)</f>
        <v>0</v>
      </c>
      <c r="J70" s="13">
        <f>manut_MP($D70,DP!J$1,DP!J$2)</f>
        <v>0</v>
      </c>
      <c r="K70" s="13">
        <f>manut_MP($D70,DP!K$1,DP!K$2)</f>
        <v>0</v>
      </c>
      <c r="L70" s="13">
        <f>manut_MP($D70,DP!L$1,DP!L$2)</f>
        <v>0</v>
      </c>
      <c r="M70" s="13">
        <f>manut_MP($D70,DP!M$1,DP!M$2)</f>
        <v>0</v>
      </c>
    </row>
    <row r="71" spans="1:13" x14ac:dyDescent="0.25">
      <c r="A71">
        <v>55</v>
      </c>
      <c r="B71">
        <v>3</v>
      </c>
      <c r="C71" t="s">
        <v>805</v>
      </c>
      <c r="D71" t="str">
        <f t="shared" si="5"/>
        <v>55-T</v>
      </c>
      <c r="G71" s="13">
        <f>manut_MP($D71,DP!G$1,DP!G$2)</f>
        <v>0</v>
      </c>
      <c r="H71" s="13">
        <f>manut_MP($D71,DP!H$1,DP!H$2)</f>
        <v>0</v>
      </c>
      <c r="I71" s="13">
        <f>manut_MP($D71,DP!I$1,DP!I$2)</f>
        <v>0</v>
      </c>
      <c r="J71" s="13">
        <f>manut_MP($D71,DP!J$1,DP!J$2)</f>
        <v>0</v>
      </c>
      <c r="K71" s="13">
        <f>manut_MP($D71,DP!K$1,DP!K$2)</f>
        <v>0</v>
      </c>
      <c r="L71" s="13">
        <f>manut_MP($D71,DP!L$1,DP!L$2)</f>
        <v>0</v>
      </c>
      <c r="M71" s="13">
        <f>manut_MP($D71,DP!M$1,DP!M$2)</f>
        <v>0</v>
      </c>
    </row>
    <row r="72" spans="1:13" x14ac:dyDescent="0.25">
      <c r="A72">
        <v>58</v>
      </c>
      <c r="B72">
        <v>3</v>
      </c>
      <c r="C72" t="s">
        <v>806</v>
      </c>
      <c r="D72" t="str">
        <f t="shared" si="5"/>
        <v>58-T</v>
      </c>
      <c r="G72" s="13">
        <f>manut_MP($D72,DP!G$1,DP!G$2)</f>
        <v>0</v>
      </c>
      <c r="H72" s="13">
        <f>manut_MP($D72,DP!H$1,DP!H$2)</f>
        <v>0</v>
      </c>
      <c r="I72" s="13">
        <f>manut_MP($D72,DP!I$1,DP!I$2)</f>
        <v>0</v>
      </c>
      <c r="J72" s="13">
        <f>manut_MP($D72,DP!J$1,DP!J$2)</f>
        <v>0</v>
      </c>
      <c r="K72" s="13">
        <f>manut_MP($D72,DP!K$1,DP!K$2)</f>
        <v>0</v>
      </c>
      <c r="L72" s="13">
        <f>manut_MP($D72,DP!L$1,DP!L$2)</f>
        <v>0</v>
      </c>
      <c r="M72" s="13">
        <f>manut_MP($D72,DP!M$1,DP!M$2)</f>
        <v>0</v>
      </c>
    </row>
    <row r="73" spans="1:13" x14ac:dyDescent="0.25">
      <c r="A73">
        <v>83</v>
      </c>
      <c r="B73">
        <v>3</v>
      </c>
      <c r="C73" t="s">
        <v>807</v>
      </c>
      <c r="D73" t="str">
        <f t="shared" si="5"/>
        <v>83-T</v>
      </c>
      <c r="G73" s="13">
        <f>manut_MP($D73,DP!G$1,DP!G$2)</f>
        <v>0</v>
      </c>
      <c r="H73" s="13">
        <f>manut_MP($D73,DP!H$1,DP!H$2)</f>
        <v>0</v>
      </c>
      <c r="I73" s="13">
        <f>manut_MP($D73,DP!I$1,DP!I$2)</f>
        <v>0</v>
      </c>
      <c r="J73" s="13">
        <f>manut_MP($D73,DP!J$1,DP!J$2)</f>
        <v>0</v>
      </c>
      <c r="K73" s="13">
        <f>manut_MP($D73,DP!K$1,DP!K$2)</f>
        <v>0</v>
      </c>
      <c r="L73" s="13">
        <f>manut_MP($D73,DP!L$1,DP!L$2)</f>
        <v>0</v>
      </c>
      <c r="M73" s="13">
        <f>manut_MP($D73,DP!M$1,DP!M$2)</f>
        <v>0</v>
      </c>
    </row>
    <row r="74" spans="1:13" x14ac:dyDescent="0.25">
      <c r="A74">
        <v>221</v>
      </c>
      <c r="B74">
        <v>3</v>
      </c>
      <c r="C74" t="s">
        <v>808</v>
      </c>
      <c r="D74" t="str">
        <f t="shared" si="5"/>
        <v>221-T</v>
      </c>
      <c r="G74" s="13">
        <f>manut_MP($D74,DP!G$1,DP!G$2)</f>
        <v>0</v>
      </c>
      <c r="H74" s="13">
        <f>manut_MP($D74,DP!H$1,DP!H$2)</f>
        <v>0</v>
      </c>
      <c r="I74" s="13">
        <f>manut_MP($D74,DP!I$1,DP!I$2)</f>
        <v>0</v>
      </c>
      <c r="J74" s="13">
        <f>manut_MP($D74,DP!J$1,DP!J$2)</f>
        <v>0</v>
      </c>
      <c r="K74" s="13">
        <f>manut_MP($D74,DP!K$1,DP!K$2)</f>
        <v>0</v>
      </c>
      <c r="L74" s="13">
        <f>manut_MP($D74,DP!L$1,DP!L$2)</f>
        <v>0</v>
      </c>
      <c r="M74" s="13">
        <f>manut_MP($D74,DP!M$1,DP!M$2)</f>
        <v>0</v>
      </c>
    </row>
    <row r="75" spans="1:13" x14ac:dyDescent="0.25">
      <c r="A75">
        <v>112</v>
      </c>
      <c r="B75">
        <v>3</v>
      </c>
      <c r="C75" t="s">
        <v>809</v>
      </c>
      <c r="D75" t="str">
        <f t="shared" si="5"/>
        <v>112-T</v>
      </c>
      <c r="F75">
        <v>31</v>
      </c>
      <c r="G75" s="13">
        <f>manut_MP($D75,DP!G$1,DP!G$2)</f>
        <v>3.0285714285714285</v>
      </c>
      <c r="H75" s="13">
        <f>manut_MP($D75,DP!H$1,DP!H$2)</f>
        <v>0</v>
      </c>
      <c r="I75" s="13">
        <f>manut_MP($D75,DP!I$1,DP!I$2)</f>
        <v>0</v>
      </c>
      <c r="J75" s="13">
        <f>manut_MP($D75,DP!J$1,DP!J$2)</f>
        <v>0</v>
      </c>
      <c r="K75" s="13">
        <f>manut_MP($D75,DP!K$1,DP!K$2)</f>
        <v>0</v>
      </c>
      <c r="L75" s="13">
        <f>manut_MP($D75,DP!L$1,DP!L$2)</f>
        <v>0</v>
      </c>
      <c r="M75" s="13">
        <f>manut_MP($D75,DP!M$1,DP!M$2)</f>
        <v>0</v>
      </c>
    </row>
    <row r="76" spans="1:13" x14ac:dyDescent="0.25">
      <c r="A76">
        <v>164</v>
      </c>
      <c r="B76">
        <v>3</v>
      </c>
      <c r="C76" t="s">
        <v>810</v>
      </c>
      <c r="D76" t="str">
        <f t="shared" si="5"/>
        <v>164-T</v>
      </c>
      <c r="F76">
        <v>148.80000000000001</v>
      </c>
      <c r="G76" s="13">
        <f>manut_MP($D76,DP!G$1,DP!G$2)</f>
        <v>15.742885714285713</v>
      </c>
      <c r="H76" s="13">
        <f>manut_MP($D76,DP!H$1,DP!H$2)</f>
        <v>13.187428571428571</v>
      </c>
      <c r="I76" s="13">
        <f>manut_MP($D76,DP!I$1,DP!I$2)</f>
        <v>0</v>
      </c>
      <c r="J76" s="13">
        <f>manut_MP($D76,DP!J$1,DP!J$2)</f>
        <v>0</v>
      </c>
      <c r="K76" s="13">
        <f>manut_MP($D76,DP!K$1,DP!K$2)</f>
        <v>0</v>
      </c>
      <c r="L76" s="13">
        <f>manut_MP($D76,DP!L$1,DP!L$2)</f>
        <v>0</v>
      </c>
      <c r="M76" s="13">
        <f>manut_MP($D76,DP!M$1,DP!M$2)</f>
        <v>0</v>
      </c>
    </row>
    <row r="77" spans="1:13" x14ac:dyDescent="0.25">
      <c r="A77">
        <v>166</v>
      </c>
      <c r="B77">
        <v>3</v>
      </c>
      <c r="C77" t="s">
        <v>811</v>
      </c>
      <c r="D77" t="str">
        <f t="shared" si="5"/>
        <v>166-T</v>
      </c>
      <c r="F77">
        <v>150</v>
      </c>
      <c r="G77" s="13">
        <f>manut_MP($D77,DP!G$1,DP!G$2)</f>
        <v>150</v>
      </c>
      <c r="H77" s="13">
        <f>manut_MP($D77,DP!H$1,DP!H$2)</f>
        <v>150</v>
      </c>
      <c r="I77" s="13">
        <f>manut_MP($D77,DP!I$1,DP!I$2)</f>
        <v>150</v>
      </c>
      <c r="J77" s="13">
        <f>manut_MP($D77,DP!J$1,DP!J$2)</f>
        <v>150</v>
      </c>
      <c r="K77" s="13">
        <f>manut_MP($D77,DP!K$1,DP!K$2)</f>
        <v>150</v>
      </c>
      <c r="L77" s="13">
        <f>manut_MP($D77,DP!L$1,DP!L$2)</f>
        <v>21.428571428571427</v>
      </c>
      <c r="M77" s="13">
        <f>manut_MP($D77,DP!M$1,DP!M$2)</f>
        <v>0</v>
      </c>
    </row>
    <row r="78" spans="1:13" x14ac:dyDescent="0.25">
      <c r="A78">
        <v>144</v>
      </c>
      <c r="B78">
        <v>3</v>
      </c>
      <c r="C78" t="s">
        <v>812</v>
      </c>
      <c r="D78" t="str">
        <f t="shared" si="5"/>
        <v>144-T</v>
      </c>
      <c r="G78" s="13">
        <f>manut_MP($D78,DP!G$1,DP!G$2)</f>
        <v>0</v>
      </c>
      <c r="H78" s="13">
        <f>manut_MP($D78,DP!H$1,DP!H$2)</f>
        <v>0</v>
      </c>
      <c r="I78" s="13">
        <f>manut_MP($D78,DP!I$1,DP!I$2)</f>
        <v>0</v>
      </c>
      <c r="J78" s="13">
        <f>manut_MP($D78,DP!J$1,DP!J$2)</f>
        <v>0</v>
      </c>
      <c r="K78" s="13">
        <f>manut_MP($D78,DP!K$1,DP!K$2)</f>
        <v>0</v>
      </c>
      <c r="L78" s="13">
        <f>manut_MP($D78,DP!L$1,DP!L$2)</f>
        <v>0</v>
      </c>
      <c r="M78" s="13">
        <f>manut_MP($D78,DP!M$1,DP!M$2)</f>
        <v>0</v>
      </c>
    </row>
    <row r="79" spans="1:13" x14ac:dyDescent="0.25">
      <c r="A79">
        <v>109</v>
      </c>
      <c r="B79">
        <v>3</v>
      </c>
      <c r="C79" t="s">
        <v>813</v>
      </c>
      <c r="D79" t="str">
        <f t="shared" si="5"/>
        <v>109-T</v>
      </c>
      <c r="F79">
        <v>13.1</v>
      </c>
      <c r="G79" s="13">
        <f>manut_MP($D79,DP!G$1,DP!G$2)</f>
        <v>13.12</v>
      </c>
      <c r="H79" s="13">
        <f>manut_MP($D79,DP!H$1,DP!H$2)</f>
        <v>13.12</v>
      </c>
      <c r="I79" s="13">
        <f>manut_MP($D79,DP!I$1,DP!I$2)</f>
        <v>13.12</v>
      </c>
      <c r="J79" s="13">
        <f>manut_MP($D79,DP!J$1,DP!J$2)</f>
        <v>13.12</v>
      </c>
      <c r="K79" s="13">
        <f>manut_MP($D79,DP!K$1,DP!K$2)</f>
        <v>13.12</v>
      </c>
      <c r="L79" s="13">
        <f>manut_MP($D79,DP!L$1,DP!L$2)</f>
        <v>1.8742857142857141</v>
      </c>
      <c r="M79" s="13">
        <f>manut_MP($D79,DP!M$1,DP!M$2)</f>
        <v>0</v>
      </c>
    </row>
    <row r="80" spans="1:13" x14ac:dyDescent="0.25">
      <c r="A80">
        <v>111</v>
      </c>
      <c r="B80">
        <v>3</v>
      </c>
      <c r="C80" t="s">
        <v>814</v>
      </c>
      <c r="D80" t="str">
        <f t="shared" si="5"/>
        <v>111-T</v>
      </c>
      <c r="F80">
        <v>11.5</v>
      </c>
      <c r="G80" s="13">
        <f>manut_MP($D80,DP!G$1,DP!G$2)</f>
        <v>11.48</v>
      </c>
      <c r="H80" s="13">
        <f>manut_MP($D80,DP!H$1,DP!H$2)</f>
        <v>11.48</v>
      </c>
      <c r="I80" s="13">
        <f>manut_MP($D80,DP!I$1,DP!I$2)</f>
        <v>11.48</v>
      </c>
      <c r="J80" s="13">
        <f>manut_MP($D80,DP!J$1,DP!J$2)</f>
        <v>11.48</v>
      </c>
      <c r="K80" s="13">
        <f>manut_MP($D80,DP!K$1,DP!K$2)</f>
        <v>11.48</v>
      </c>
      <c r="L80" s="13">
        <f>manut_MP($D80,DP!L$1,DP!L$2)</f>
        <v>1.64</v>
      </c>
      <c r="M80" s="13">
        <f>manut_MP($D80,DP!M$1,DP!M$2)</f>
        <v>0</v>
      </c>
    </row>
    <row r="81" spans="1:13" x14ac:dyDescent="0.25">
      <c r="A81">
        <v>113</v>
      </c>
      <c r="B81">
        <v>3</v>
      </c>
      <c r="C81" t="s">
        <v>815</v>
      </c>
      <c r="D81" t="str">
        <f t="shared" si="5"/>
        <v>113-T</v>
      </c>
      <c r="F81">
        <v>11.5</v>
      </c>
      <c r="G81" s="13">
        <f>manut_MP($D81,DP!G$1,DP!G$2)</f>
        <v>11.48</v>
      </c>
      <c r="H81" s="13">
        <f>manut_MP($D81,DP!H$1,DP!H$2)</f>
        <v>11.48</v>
      </c>
      <c r="I81" s="13">
        <f>manut_MP($D81,DP!I$1,DP!I$2)</f>
        <v>11.48</v>
      </c>
      <c r="J81" s="13">
        <f>manut_MP($D81,DP!J$1,DP!J$2)</f>
        <v>11.48</v>
      </c>
      <c r="K81" s="13">
        <f>manut_MP($D81,DP!K$1,DP!K$2)</f>
        <v>11.48</v>
      </c>
      <c r="L81" s="13">
        <f>manut_MP($D81,DP!L$1,DP!L$2)</f>
        <v>1.64</v>
      </c>
      <c r="M81" s="13">
        <f>manut_MP($D81,DP!M$1,DP!M$2)</f>
        <v>0</v>
      </c>
    </row>
    <row r="82" spans="1:13" x14ac:dyDescent="0.25">
      <c r="A82">
        <v>117</v>
      </c>
      <c r="B82">
        <v>3</v>
      </c>
      <c r="C82" t="s">
        <v>816</v>
      </c>
      <c r="D82" t="str">
        <f t="shared" si="5"/>
        <v>117-T</v>
      </c>
      <c r="F82">
        <v>13.1</v>
      </c>
      <c r="G82" s="13">
        <f>manut_MP($D82,DP!G$1,DP!G$2)</f>
        <v>13.12</v>
      </c>
      <c r="H82" s="13">
        <f>manut_MP($D82,DP!H$1,DP!H$2)</f>
        <v>13.12</v>
      </c>
      <c r="I82" s="13">
        <f>manut_MP($D82,DP!I$1,DP!I$2)</f>
        <v>13.12</v>
      </c>
      <c r="J82" s="13">
        <f>manut_MP($D82,DP!J$1,DP!J$2)</f>
        <v>13.12</v>
      </c>
      <c r="K82" s="13">
        <f>manut_MP($D82,DP!K$1,DP!K$2)</f>
        <v>13.12</v>
      </c>
      <c r="L82" s="13">
        <f>manut_MP($D82,DP!L$1,DP!L$2)</f>
        <v>1.8742857142857141</v>
      </c>
      <c r="M82" s="13">
        <f>manut_MP($D82,DP!M$1,DP!M$2)</f>
        <v>0</v>
      </c>
    </row>
    <row r="83" spans="1:13" x14ac:dyDescent="0.25">
      <c r="A83">
        <v>119</v>
      </c>
      <c r="B83">
        <v>3</v>
      </c>
      <c r="C83" t="s">
        <v>817</v>
      </c>
      <c r="D83" t="str">
        <f t="shared" si="5"/>
        <v>119-T</v>
      </c>
      <c r="F83">
        <v>14.8</v>
      </c>
      <c r="G83" s="13">
        <f>manut_MP($D83,DP!G$1,DP!G$2)</f>
        <v>14.76</v>
      </c>
      <c r="H83" s="13">
        <f>manut_MP($D83,DP!H$1,DP!H$2)</f>
        <v>14.76</v>
      </c>
      <c r="I83" s="13">
        <f>manut_MP($D83,DP!I$1,DP!I$2)</f>
        <v>14.76</v>
      </c>
      <c r="J83" s="13">
        <f>manut_MP($D83,DP!J$1,DP!J$2)</f>
        <v>14.76</v>
      </c>
      <c r="K83" s="13">
        <f>manut_MP($D83,DP!K$1,DP!K$2)</f>
        <v>14.76</v>
      </c>
      <c r="L83" s="13">
        <f>manut_MP($D83,DP!L$1,DP!L$2)</f>
        <v>2.1085714285714285</v>
      </c>
      <c r="M83" s="13">
        <f>manut_MP($D83,DP!M$1,DP!M$2)</f>
        <v>0</v>
      </c>
    </row>
    <row r="84" spans="1:13" x14ac:dyDescent="0.25">
      <c r="A84">
        <v>121</v>
      </c>
      <c r="B84">
        <v>3</v>
      </c>
      <c r="C84" t="s">
        <v>818</v>
      </c>
      <c r="D84" t="str">
        <f t="shared" si="5"/>
        <v>121-T</v>
      </c>
      <c r="F84">
        <v>13.1</v>
      </c>
      <c r="G84" s="13">
        <f>manut_MP($D84,DP!G$1,DP!G$2)</f>
        <v>13.12</v>
      </c>
      <c r="H84" s="13">
        <f>manut_MP($D84,DP!H$1,DP!H$2)</f>
        <v>13.12</v>
      </c>
      <c r="I84" s="13">
        <f>manut_MP($D84,DP!I$1,DP!I$2)</f>
        <v>13.12</v>
      </c>
      <c r="J84" s="13">
        <f>manut_MP($D84,DP!J$1,DP!J$2)</f>
        <v>13.12</v>
      </c>
      <c r="K84" s="13">
        <f>manut_MP($D84,DP!K$1,DP!K$2)</f>
        <v>13.12</v>
      </c>
      <c r="L84" s="13">
        <f>manut_MP($D84,DP!L$1,DP!L$2)</f>
        <v>1.8742857142857141</v>
      </c>
      <c r="M84" s="13">
        <f>manut_MP($D84,DP!M$1,DP!M$2)</f>
        <v>0</v>
      </c>
    </row>
    <row r="85" spans="1:13" x14ac:dyDescent="0.25">
      <c r="A85">
        <v>125</v>
      </c>
      <c r="B85">
        <v>3</v>
      </c>
      <c r="C85" t="s">
        <v>819</v>
      </c>
      <c r="D85" t="str">
        <f t="shared" si="5"/>
        <v>125-T</v>
      </c>
      <c r="F85">
        <v>14.8</v>
      </c>
      <c r="G85" s="13">
        <f>manut_MP($D85,DP!G$1,DP!G$2)</f>
        <v>14.76</v>
      </c>
      <c r="H85" s="13">
        <f>manut_MP($D85,DP!H$1,DP!H$2)</f>
        <v>14.76</v>
      </c>
      <c r="I85" s="13">
        <f>manut_MP($D85,DP!I$1,DP!I$2)</f>
        <v>14.76</v>
      </c>
      <c r="J85" s="13">
        <f>manut_MP($D85,DP!J$1,DP!J$2)</f>
        <v>14.76</v>
      </c>
      <c r="K85" s="13">
        <f>manut_MP($D85,DP!K$1,DP!K$2)</f>
        <v>14.76</v>
      </c>
      <c r="L85" s="13">
        <f>manut_MP($D85,DP!L$1,DP!L$2)</f>
        <v>2.1085714285714285</v>
      </c>
      <c r="M85" s="13">
        <f>manut_MP($D85,DP!M$1,DP!M$2)</f>
        <v>0</v>
      </c>
    </row>
    <row r="86" spans="1:13" x14ac:dyDescent="0.25">
      <c r="A86">
        <v>127</v>
      </c>
      <c r="B86">
        <v>3</v>
      </c>
      <c r="C86" t="s">
        <v>820</v>
      </c>
      <c r="D86" t="str">
        <f t="shared" si="5"/>
        <v>127-T</v>
      </c>
      <c r="F86">
        <v>14.8</v>
      </c>
      <c r="G86" s="13">
        <f>manut_MP($D86,DP!G$1,DP!G$2)</f>
        <v>14.76</v>
      </c>
      <c r="H86" s="13">
        <f>manut_MP($D86,DP!H$1,DP!H$2)</f>
        <v>14.76</v>
      </c>
      <c r="I86" s="13">
        <f>manut_MP($D86,DP!I$1,DP!I$2)</f>
        <v>14.76</v>
      </c>
      <c r="J86" s="13">
        <f>manut_MP($D86,DP!J$1,DP!J$2)</f>
        <v>14.76</v>
      </c>
      <c r="K86" s="13">
        <f>manut_MP($D86,DP!K$1,DP!K$2)</f>
        <v>14.76</v>
      </c>
      <c r="L86" s="13">
        <f>manut_MP($D86,DP!L$1,DP!L$2)</f>
        <v>2.1085714285714285</v>
      </c>
      <c r="M86" s="13">
        <f>manut_MP($D86,DP!M$1,DP!M$2)</f>
        <v>0</v>
      </c>
    </row>
    <row r="87" spans="1:13" x14ac:dyDescent="0.25">
      <c r="A87">
        <v>133</v>
      </c>
      <c r="B87">
        <v>3</v>
      </c>
      <c r="C87" t="s">
        <v>821</v>
      </c>
      <c r="D87" t="str">
        <f t="shared" si="5"/>
        <v>133-T</v>
      </c>
      <c r="F87">
        <v>14.8</v>
      </c>
      <c r="G87" s="13">
        <f>manut_MP($D87,DP!G$1,DP!G$2)</f>
        <v>14.76</v>
      </c>
      <c r="H87" s="13">
        <f>manut_MP($D87,DP!H$1,DP!H$2)</f>
        <v>14.76</v>
      </c>
      <c r="I87" s="13">
        <f>manut_MP($D87,DP!I$1,DP!I$2)</f>
        <v>14.76</v>
      </c>
      <c r="J87" s="13">
        <f>manut_MP($D87,DP!J$1,DP!J$2)</f>
        <v>14.76</v>
      </c>
      <c r="K87" s="13">
        <f>manut_MP($D87,DP!K$1,DP!K$2)</f>
        <v>14.76</v>
      </c>
      <c r="L87" s="13">
        <f>manut_MP($D87,DP!L$1,DP!L$2)</f>
        <v>2.1085714285714285</v>
      </c>
      <c r="M87" s="13">
        <f>manut_MP($D87,DP!M$1,DP!M$2)</f>
        <v>0</v>
      </c>
    </row>
    <row r="88" spans="1:13" x14ac:dyDescent="0.25">
      <c r="A88">
        <v>135</v>
      </c>
      <c r="B88">
        <v>3</v>
      </c>
      <c r="C88" t="s">
        <v>822</v>
      </c>
      <c r="D88" t="str">
        <f t="shared" si="5"/>
        <v>135-T</v>
      </c>
      <c r="F88">
        <v>13.1</v>
      </c>
      <c r="G88" s="13">
        <f>manut_MP($D88,DP!G$1,DP!G$2)</f>
        <v>13.12</v>
      </c>
      <c r="H88" s="13">
        <f>manut_MP($D88,DP!H$1,DP!H$2)</f>
        <v>13.12</v>
      </c>
      <c r="I88" s="13">
        <f>manut_MP($D88,DP!I$1,DP!I$2)</f>
        <v>13.12</v>
      </c>
      <c r="J88" s="13">
        <f>manut_MP($D88,DP!J$1,DP!J$2)</f>
        <v>13.12</v>
      </c>
      <c r="K88" s="13">
        <f>manut_MP($D88,DP!K$1,DP!K$2)</f>
        <v>13.12</v>
      </c>
      <c r="L88" s="13">
        <f>manut_MP($D88,DP!L$1,DP!L$2)</f>
        <v>1.8742857142857141</v>
      </c>
      <c r="M88" s="13">
        <f>manut_MP($D88,DP!M$1,DP!M$2)</f>
        <v>0</v>
      </c>
    </row>
    <row r="89" spans="1:13" x14ac:dyDescent="0.25">
      <c r="A89">
        <v>138</v>
      </c>
      <c r="B89">
        <v>3</v>
      </c>
      <c r="C89" t="s">
        <v>823</v>
      </c>
      <c r="D89" t="str">
        <f t="shared" si="5"/>
        <v>138-T</v>
      </c>
      <c r="F89">
        <v>13.1</v>
      </c>
      <c r="G89" s="13">
        <f>manut_MP($D89,DP!G$1,DP!G$2)</f>
        <v>13.12</v>
      </c>
      <c r="H89" s="13">
        <f>manut_MP($D89,DP!H$1,DP!H$2)</f>
        <v>13.12</v>
      </c>
      <c r="I89" s="13">
        <f>manut_MP($D89,DP!I$1,DP!I$2)</f>
        <v>13.12</v>
      </c>
      <c r="J89" s="13">
        <f>manut_MP($D89,DP!J$1,DP!J$2)</f>
        <v>13.12</v>
      </c>
      <c r="K89" s="13">
        <f>manut_MP($D89,DP!K$1,DP!K$2)</f>
        <v>13.12</v>
      </c>
      <c r="L89" s="13">
        <f>manut_MP($D89,DP!L$1,DP!L$2)</f>
        <v>1.8742857142857141</v>
      </c>
      <c r="M89" s="13">
        <f>manut_MP($D89,DP!M$1,DP!M$2)</f>
        <v>0</v>
      </c>
    </row>
    <row r="90" spans="1:13" x14ac:dyDescent="0.25">
      <c r="A90">
        <v>161</v>
      </c>
      <c r="B90">
        <v>3</v>
      </c>
      <c r="C90" t="s">
        <v>824</v>
      </c>
      <c r="D90" t="str">
        <f t="shared" si="5"/>
        <v>161-T</v>
      </c>
      <c r="G90" s="13">
        <f>manut_MP($D90,DP!G$1,DP!G$2)</f>
        <v>0</v>
      </c>
      <c r="H90" s="13">
        <f>manut_MP($D90,DP!H$1,DP!H$2)</f>
        <v>0</v>
      </c>
      <c r="I90" s="13">
        <f>manut_MP($D90,DP!I$1,DP!I$2)</f>
        <v>0</v>
      </c>
      <c r="J90" s="13">
        <f>manut_MP($D90,DP!J$1,DP!J$2)</f>
        <v>0</v>
      </c>
      <c r="K90" s="13">
        <f>manut_MP($D90,DP!K$1,DP!K$2)</f>
        <v>0</v>
      </c>
      <c r="L90" s="13">
        <f>manut_MP($D90,DP!L$1,DP!L$2)</f>
        <v>0</v>
      </c>
      <c r="M90" s="13">
        <f>manut_MP($D90,DP!M$1,DP!M$2)</f>
        <v>0</v>
      </c>
    </row>
    <row r="91" spans="1:13" x14ac:dyDescent="0.25">
      <c r="A91">
        <v>151</v>
      </c>
      <c r="B91">
        <v>3</v>
      </c>
      <c r="C91" t="s">
        <v>825</v>
      </c>
      <c r="D91" t="str">
        <f t="shared" si="5"/>
        <v>151-T</v>
      </c>
      <c r="G91" s="13">
        <f>manut_MP($D91,DP!G$1,DP!G$2)</f>
        <v>0</v>
      </c>
      <c r="H91" s="13">
        <f>manut_MP($D91,DP!H$1,DP!H$2)</f>
        <v>0</v>
      </c>
      <c r="I91" s="13">
        <f>manut_MP($D91,DP!I$1,DP!I$2)</f>
        <v>0</v>
      </c>
      <c r="J91" s="13">
        <f>manut_MP($D91,DP!J$1,DP!J$2)</f>
        <v>0</v>
      </c>
      <c r="K91" s="13">
        <f>manut_MP($D91,DP!K$1,DP!K$2)</f>
        <v>0</v>
      </c>
      <c r="L91" s="13">
        <f>manut_MP($D91,DP!L$1,DP!L$2)</f>
        <v>0</v>
      </c>
      <c r="M91" s="13">
        <f>manut_MP($D91,DP!M$1,DP!M$2)</f>
        <v>0</v>
      </c>
    </row>
    <row r="92" spans="1:13" x14ac:dyDescent="0.25">
      <c r="A92">
        <v>93</v>
      </c>
      <c r="B92">
        <v>3</v>
      </c>
      <c r="C92" t="s">
        <v>826</v>
      </c>
      <c r="D92" t="str">
        <f t="shared" si="5"/>
        <v>93-T</v>
      </c>
      <c r="G92" s="13">
        <f>manut_MP($D92,DP!G$1,DP!G$2)</f>
        <v>0</v>
      </c>
      <c r="H92" s="13">
        <f>manut_MP($D92,DP!H$1,DP!H$2)</f>
        <v>0</v>
      </c>
      <c r="I92" s="13">
        <f>manut_MP($D92,DP!I$1,DP!I$2)</f>
        <v>0</v>
      </c>
      <c r="J92" s="13">
        <f>manut_MP($D92,DP!J$1,DP!J$2)</f>
        <v>0</v>
      </c>
      <c r="K92" s="13">
        <f>manut_MP($D92,DP!K$1,DP!K$2)</f>
        <v>0</v>
      </c>
      <c r="L92" s="13">
        <f>manut_MP($D92,DP!L$1,DP!L$2)</f>
        <v>0</v>
      </c>
      <c r="M92" s="13">
        <f>manut_MP($D92,DP!M$1,DP!M$2)</f>
        <v>0</v>
      </c>
    </row>
    <row r="93" spans="1:13" x14ac:dyDescent="0.25">
      <c r="A93">
        <v>159</v>
      </c>
      <c r="B93">
        <v>3</v>
      </c>
      <c r="C93" t="s">
        <v>827</v>
      </c>
      <c r="D93" t="str">
        <f t="shared" si="5"/>
        <v>159-T</v>
      </c>
      <c r="G93" s="13">
        <f>manut_MP($D93,DP!G$1,DP!G$2)</f>
        <v>0</v>
      </c>
      <c r="H93" s="13">
        <f>manut_MP($D93,DP!H$1,DP!H$2)</f>
        <v>0</v>
      </c>
      <c r="I93" s="13">
        <f>manut_MP($D93,DP!I$1,DP!I$2)</f>
        <v>0</v>
      </c>
      <c r="J93" s="13">
        <f>manut_MP($D93,DP!J$1,DP!J$2)</f>
        <v>0</v>
      </c>
      <c r="K93" s="13">
        <f>manut_MP($D93,DP!K$1,DP!K$2)</f>
        <v>0</v>
      </c>
      <c r="L93" s="13">
        <f>manut_MP($D93,DP!L$1,DP!L$2)</f>
        <v>0</v>
      </c>
      <c r="M93" s="13">
        <f>manut_MP($D93,DP!M$1,DP!M$2)</f>
        <v>0</v>
      </c>
    </row>
    <row r="94" spans="1:13" x14ac:dyDescent="0.25">
      <c r="A94">
        <v>160</v>
      </c>
      <c r="B94">
        <v>3</v>
      </c>
      <c r="C94" t="s">
        <v>828</v>
      </c>
      <c r="D94" t="str">
        <f t="shared" si="5"/>
        <v>160-T</v>
      </c>
      <c r="G94" s="13">
        <f>manut_MP($D94,DP!G$1,DP!G$2)</f>
        <v>0</v>
      </c>
      <c r="H94" s="13">
        <f>manut_MP($D94,DP!H$1,DP!H$2)</f>
        <v>0</v>
      </c>
      <c r="I94" s="13">
        <f>manut_MP($D94,DP!I$1,DP!I$2)</f>
        <v>0</v>
      </c>
      <c r="J94" s="13">
        <f>manut_MP($D94,DP!J$1,DP!J$2)</f>
        <v>0</v>
      </c>
      <c r="K94" s="13">
        <f>manut_MP($D94,DP!K$1,DP!K$2)</f>
        <v>0</v>
      </c>
      <c r="L94" s="13">
        <f>manut_MP($D94,DP!L$1,DP!L$2)</f>
        <v>0</v>
      </c>
      <c r="M94" s="13">
        <f>manut_MP($D94,DP!M$1,DP!M$2)</f>
        <v>0</v>
      </c>
    </row>
    <row r="95" spans="1:13" x14ac:dyDescent="0.25">
      <c r="A95">
        <v>209</v>
      </c>
      <c r="B95">
        <v>4</v>
      </c>
      <c r="C95" t="s">
        <v>829</v>
      </c>
      <c r="D95" t="str">
        <f t="shared" si="5"/>
        <v>209-T</v>
      </c>
      <c r="G95" s="13">
        <f>manut_MP($D95,DP!G$1,DP!G$2)</f>
        <v>0</v>
      </c>
      <c r="H95" s="13">
        <f>manut_MP($D95,DP!H$1,DP!H$2)</f>
        <v>0</v>
      </c>
      <c r="I95" s="13">
        <f>manut_MP($D95,DP!I$1,DP!I$2)</f>
        <v>0</v>
      </c>
      <c r="J95" s="13">
        <f>manut_MP($D95,DP!J$1,DP!J$2)</f>
        <v>0</v>
      </c>
      <c r="K95" s="13">
        <f>manut_MP($D95,DP!K$1,DP!K$2)</f>
        <v>0</v>
      </c>
      <c r="L95" s="13">
        <f>manut_MP($D95,DP!L$1,DP!L$2)</f>
        <v>0</v>
      </c>
      <c r="M95" s="13">
        <f>manut_MP($D95,DP!M$1,DP!M$2)</f>
        <v>0</v>
      </c>
    </row>
    <row r="96" spans="1:13" x14ac:dyDescent="0.25">
      <c r="A96">
        <v>204</v>
      </c>
      <c r="B96">
        <v>4</v>
      </c>
      <c r="C96" t="s">
        <v>830</v>
      </c>
      <c r="D96" t="str">
        <f t="shared" si="5"/>
        <v>204-T</v>
      </c>
      <c r="G96" s="13">
        <f>manut_MP($D96,DP!G$1,DP!G$2)</f>
        <v>0</v>
      </c>
      <c r="H96" s="13">
        <f>manut_MP($D96,DP!H$1,DP!H$2)</f>
        <v>0</v>
      </c>
      <c r="I96" s="13">
        <f>manut_MP($D96,DP!I$1,DP!I$2)</f>
        <v>0</v>
      </c>
      <c r="J96" s="13">
        <f>manut_MP($D96,DP!J$1,DP!J$2)</f>
        <v>0</v>
      </c>
      <c r="K96" s="13">
        <f>manut_MP($D96,DP!K$1,DP!K$2)</f>
        <v>0</v>
      </c>
      <c r="L96" s="13">
        <f>manut_MP($D96,DP!L$1,DP!L$2)</f>
        <v>0</v>
      </c>
      <c r="M96" s="13">
        <f>manut_MP($D96,DP!M$1,DP!M$2)</f>
        <v>0</v>
      </c>
    </row>
    <row r="97" spans="1:13" x14ac:dyDescent="0.25">
      <c r="A97">
        <v>205</v>
      </c>
      <c r="B97">
        <v>4</v>
      </c>
      <c r="C97" t="s">
        <v>831</v>
      </c>
      <c r="D97" t="str">
        <f t="shared" si="5"/>
        <v>205-T</v>
      </c>
      <c r="G97" s="13">
        <f>manut_MP($D97,DP!G$1,DP!G$2)</f>
        <v>0</v>
      </c>
      <c r="H97" s="13">
        <f>manut_MP($D97,DP!H$1,DP!H$2)</f>
        <v>0</v>
      </c>
      <c r="I97" s="13">
        <f>manut_MP($D97,DP!I$1,DP!I$2)</f>
        <v>0</v>
      </c>
      <c r="J97" s="13">
        <f>manut_MP($D97,DP!J$1,DP!J$2)</f>
        <v>0</v>
      </c>
      <c r="K97" s="13">
        <f>manut_MP($D97,DP!K$1,DP!K$2)</f>
        <v>0</v>
      </c>
      <c r="L97" s="13">
        <f>manut_MP($D97,DP!L$1,DP!L$2)</f>
        <v>0</v>
      </c>
      <c r="M97" s="13">
        <f>manut_MP($D97,DP!M$1,DP!M$2)</f>
        <v>0</v>
      </c>
    </row>
    <row r="98" spans="1:13" x14ac:dyDescent="0.25">
      <c r="A98">
        <v>207</v>
      </c>
      <c r="B98">
        <v>4</v>
      </c>
      <c r="C98" t="s">
        <v>832</v>
      </c>
      <c r="D98" t="str">
        <f t="shared" si="5"/>
        <v>207-T</v>
      </c>
      <c r="G98" s="13">
        <f>manut_MP($D98,DP!G$1,DP!G$2)</f>
        <v>0</v>
      </c>
      <c r="H98" s="13">
        <f>manut_MP($D98,DP!H$1,DP!H$2)</f>
        <v>0</v>
      </c>
      <c r="I98" s="13">
        <f>manut_MP($D98,DP!I$1,DP!I$2)</f>
        <v>0</v>
      </c>
      <c r="J98" s="13">
        <f>manut_MP($D98,DP!J$1,DP!J$2)</f>
        <v>0</v>
      </c>
      <c r="K98" s="13">
        <f>manut_MP($D98,DP!K$1,DP!K$2)</f>
        <v>0</v>
      </c>
      <c r="L98" s="13">
        <f>manut_MP($D98,DP!L$1,DP!L$2)</f>
        <v>0</v>
      </c>
      <c r="M98" s="13">
        <f>manut_MP($D98,DP!M$1,DP!M$2)</f>
        <v>0</v>
      </c>
    </row>
    <row r="99" spans="1:13" x14ac:dyDescent="0.25">
      <c r="A99">
        <v>203</v>
      </c>
      <c r="B99">
        <v>4</v>
      </c>
      <c r="C99" t="s">
        <v>833</v>
      </c>
      <c r="D99" t="str">
        <f t="shared" si="5"/>
        <v>203-T</v>
      </c>
      <c r="G99" s="13">
        <f>manut_MP($D99,DP!G$1,DP!G$2)</f>
        <v>0</v>
      </c>
      <c r="H99" s="13">
        <f>manut_MP($D99,DP!H$1,DP!H$2)</f>
        <v>0</v>
      </c>
      <c r="I99" s="13">
        <f>manut_MP($D99,DP!I$1,DP!I$2)</f>
        <v>0</v>
      </c>
      <c r="J99" s="13">
        <f>manut_MP($D99,DP!J$1,DP!J$2)</f>
        <v>0</v>
      </c>
      <c r="K99" s="13">
        <f>manut_MP($D99,DP!K$1,DP!K$2)</f>
        <v>0</v>
      </c>
      <c r="L99" s="13">
        <f>manut_MP($D99,DP!L$1,DP!L$2)</f>
        <v>0</v>
      </c>
      <c r="M99" s="13">
        <f>manut_MP($D99,DP!M$1,DP!M$2)</f>
        <v>0</v>
      </c>
    </row>
    <row r="100" spans="1:13" x14ac:dyDescent="0.25">
      <c r="A100">
        <v>136</v>
      </c>
      <c r="B100">
        <v>4</v>
      </c>
      <c r="C100" t="s">
        <v>834</v>
      </c>
      <c r="D100" t="str">
        <f t="shared" si="5"/>
        <v>136-T</v>
      </c>
      <c r="G100" s="13">
        <f>manut_MP($D100,DP!G$1,DP!G$2)</f>
        <v>0</v>
      </c>
      <c r="H100" s="13">
        <f>manut_MP($D100,DP!H$1,DP!H$2)</f>
        <v>0</v>
      </c>
      <c r="I100" s="13">
        <f>manut_MP($D100,DP!I$1,DP!I$2)</f>
        <v>0</v>
      </c>
      <c r="J100" s="13">
        <f>manut_MP($D100,DP!J$1,DP!J$2)</f>
        <v>0</v>
      </c>
      <c r="K100" s="13">
        <f>manut_MP($D100,DP!K$1,DP!K$2)</f>
        <v>0</v>
      </c>
      <c r="L100" s="13">
        <f>manut_MP($D100,DP!L$1,DP!L$2)</f>
        <v>0</v>
      </c>
      <c r="M100" s="13">
        <f>manut_MP($D100,DP!M$1,DP!M$2)</f>
        <v>0</v>
      </c>
    </row>
    <row r="101" spans="1:13" x14ac:dyDescent="0.25">
      <c r="A101">
        <v>116</v>
      </c>
      <c r="B101">
        <v>4</v>
      </c>
      <c r="C101" t="s">
        <v>835</v>
      </c>
      <c r="D101" t="str">
        <f t="shared" si="5"/>
        <v>116-T</v>
      </c>
      <c r="G101" s="13">
        <f>manut_MP($D101,DP!G$1,DP!G$2)</f>
        <v>0</v>
      </c>
      <c r="H101" s="13">
        <f>manut_MP($D101,DP!H$1,DP!H$2)</f>
        <v>0</v>
      </c>
      <c r="I101" s="13">
        <f>manut_MP($D101,DP!I$1,DP!I$2)</f>
        <v>0</v>
      </c>
      <c r="J101" s="13">
        <f>manut_MP($D101,DP!J$1,DP!J$2)</f>
        <v>0</v>
      </c>
      <c r="K101" s="13">
        <f>manut_MP($D101,DP!K$1,DP!K$2)</f>
        <v>0</v>
      </c>
      <c r="L101" s="13">
        <f>manut_MP($D101,DP!L$1,DP!L$2)</f>
        <v>0</v>
      </c>
      <c r="M101" s="13">
        <f>manut_MP($D101,DP!M$1,DP!M$2)</f>
        <v>0</v>
      </c>
    </row>
    <row r="102" spans="1:13" x14ac:dyDescent="0.25">
      <c r="A102">
        <v>36</v>
      </c>
      <c r="B102">
        <v>4</v>
      </c>
      <c r="C102" t="s">
        <v>836</v>
      </c>
      <c r="D102" t="str">
        <f t="shared" si="5"/>
        <v>36-T</v>
      </c>
      <c r="G102" s="13">
        <f>manut_MP($D102,DP!G$1,DP!G$2)</f>
        <v>0</v>
      </c>
      <c r="H102" s="13">
        <f>manut_MP($D102,DP!H$1,DP!H$2)</f>
        <v>0</v>
      </c>
      <c r="I102" s="13">
        <f>manut_MP($D102,DP!I$1,DP!I$2)</f>
        <v>0</v>
      </c>
      <c r="J102" s="13">
        <f>manut_MP($D102,DP!J$1,DP!J$2)</f>
        <v>0</v>
      </c>
      <c r="K102" s="13">
        <f>manut_MP($D102,DP!K$1,DP!K$2)</f>
        <v>0</v>
      </c>
      <c r="L102" s="13">
        <f>manut_MP($D102,DP!L$1,DP!L$2)</f>
        <v>0</v>
      </c>
      <c r="M102" s="13">
        <f>manut_MP($D102,DP!M$1,DP!M$2)</f>
        <v>0</v>
      </c>
    </row>
    <row r="103" spans="1:13" x14ac:dyDescent="0.25">
      <c r="A103">
        <v>21</v>
      </c>
      <c r="B103">
        <v>4</v>
      </c>
      <c r="C103" t="s">
        <v>837</v>
      </c>
      <c r="D103" t="str">
        <f t="shared" si="5"/>
        <v>21-T</v>
      </c>
      <c r="G103" s="13">
        <f>manut_MP($D103,DP!G$1,DP!G$2)</f>
        <v>0</v>
      </c>
      <c r="H103" s="13">
        <f>manut_MP($D103,DP!H$1,DP!H$2)</f>
        <v>0</v>
      </c>
      <c r="I103" s="13">
        <f>manut_MP($D103,DP!I$1,DP!I$2)</f>
        <v>0</v>
      </c>
      <c r="J103" s="13">
        <f>manut_MP($D103,DP!J$1,DP!J$2)</f>
        <v>0</v>
      </c>
      <c r="K103" s="13">
        <f>manut_MP($D103,DP!K$1,DP!K$2)</f>
        <v>0</v>
      </c>
      <c r="L103" s="13">
        <f>manut_MP($D103,DP!L$1,DP!L$2)</f>
        <v>0</v>
      </c>
      <c r="M103" s="13">
        <f>manut_MP($D103,DP!M$1,DP!M$2)</f>
        <v>0</v>
      </c>
    </row>
    <row r="104" spans="1:13" x14ac:dyDescent="0.25">
      <c r="A104">
        <v>176</v>
      </c>
      <c r="B104">
        <v>4</v>
      </c>
      <c r="C104" t="s">
        <v>838</v>
      </c>
      <c r="D104" t="str">
        <f t="shared" si="5"/>
        <v>176-T</v>
      </c>
      <c r="G104" s="13">
        <f>manut_MP($D104,DP!G$1,DP!G$2)</f>
        <v>0</v>
      </c>
      <c r="H104" s="13">
        <f>manut_MP($D104,DP!H$1,DP!H$2)</f>
        <v>0</v>
      </c>
      <c r="I104" s="13">
        <f>manut_MP($D104,DP!I$1,DP!I$2)</f>
        <v>0</v>
      </c>
      <c r="J104" s="13">
        <f>manut_MP($D104,DP!J$1,DP!J$2)</f>
        <v>0</v>
      </c>
      <c r="K104" s="13">
        <f>manut_MP($D104,DP!K$1,DP!K$2)</f>
        <v>0</v>
      </c>
      <c r="L104" s="13">
        <f>manut_MP($D104,DP!L$1,DP!L$2)</f>
        <v>0</v>
      </c>
      <c r="M104" s="13">
        <f>manut_MP($D104,DP!M$1,DP!M$2)</f>
        <v>0</v>
      </c>
    </row>
    <row r="105" spans="1:13" x14ac:dyDescent="0.25">
      <c r="A105">
        <v>46</v>
      </c>
      <c r="B105">
        <v>4</v>
      </c>
      <c r="C105" t="s">
        <v>839</v>
      </c>
      <c r="D105" t="str">
        <f t="shared" si="5"/>
        <v>46-T</v>
      </c>
      <c r="G105" s="13">
        <f>manut_MP($D105,DP!G$1,DP!G$2)</f>
        <v>0</v>
      </c>
      <c r="H105" s="13">
        <f>manut_MP($D105,DP!H$1,DP!H$2)</f>
        <v>0</v>
      </c>
      <c r="I105" s="13">
        <f>manut_MP($D105,DP!I$1,DP!I$2)</f>
        <v>0</v>
      </c>
      <c r="J105" s="13">
        <f>manut_MP($D105,DP!J$1,DP!J$2)</f>
        <v>0</v>
      </c>
      <c r="K105" s="13">
        <f>manut_MP($D105,DP!K$1,DP!K$2)</f>
        <v>0</v>
      </c>
      <c r="L105" s="13">
        <f>manut_MP($D105,DP!L$1,DP!L$2)</f>
        <v>0</v>
      </c>
      <c r="M105" s="13">
        <f>manut_MP($D105,DP!M$1,DP!M$2)</f>
        <v>0</v>
      </c>
    </row>
    <row r="106" spans="1:13" x14ac:dyDescent="0.25">
      <c r="A106">
        <v>73</v>
      </c>
      <c r="B106">
        <v>4</v>
      </c>
      <c r="C106" t="s">
        <v>840</v>
      </c>
      <c r="D106" t="str">
        <f t="shared" si="5"/>
        <v>73-T</v>
      </c>
      <c r="G106" s="13">
        <f>manut_MP($D106,DP!G$1,DP!G$2)</f>
        <v>0</v>
      </c>
      <c r="H106" s="13">
        <f>manut_MP($D106,DP!H$1,DP!H$2)</f>
        <v>0</v>
      </c>
      <c r="I106" s="13">
        <f>manut_MP($D106,DP!I$1,DP!I$2)</f>
        <v>0</v>
      </c>
      <c r="J106" s="13">
        <f>manut_MP($D106,DP!J$1,DP!J$2)</f>
        <v>0</v>
      </c>
      <c r="K106" s="13">
        <f>manut_MP($D106,DP!K$1,DP!K$2)</f>
        <v>0</v>
      </c>
      <c r="L106" s="13">
        <f>manut_MP($D106,DP!L$1,DP!L$2)</f>
        <v>0</v>
      </c>
      <c r="M106" s="13">
        <f>manut_MP($D106,DP!M$1,DP!M$2)</f>
        <v>0</v>
      </c>
    </row>
    <row r="107" spans="1:13" x14ac:dyDescent="0.25">
      <c r="A107">
        <v>70</v>
      </c>
      <c r="B107">
        <v>4</v>
      </c>
      <c r="C107" t="s">
        <v>841</v>
      </c>
      <c r="D107" t="str">
        <f t="shared" si="5"/>
        <v>70-T</v>
      </c>
      <c r="G107" s="13">
        <f>manut_MP($D107,DP!G$1,DP!G$2)</f>
        <v>0</v>
      </c>
      <c r="H107" s="13">
        <f>manut_MP($D107,DP!H$1,DP!H$2)</f>
        <v>0</v>
      </c>
      <c r="I107" s="13">
        <f>manut_MP($D107,DP!I$1,DP!I$2)</f>
        <v>0</v>
      </c>
      <c r="J107" s="13">
        <f>manut_MP($D107,DP!J$1,DP!J$2)</f>
        <v>0</v>
      </c>
      <c r="K107" s="13">
        <f>manut_MP($D107,DP!K$1,DP!K$2)</f>
        <v>0</v>
      </c>
      <c r="L107" s="13">
        <f>manut_MP($D107,DP!L$1,DP!L$2)</f>
        <v>0</v>
      </c>
      <c r="M107" s="13">
        <f>manut_MP($D107,DP!M$1,DP!M$2)</f>
        <v>0</v>
      </c>
    </row>
    <row r="108" spans="1:13" x14ac:dyDescent="0.25">
      <c r="A108">
        <v>201</v>
      </c>
      <c r="B108">
        <v>4</v>
      </c>
      <c r="C108" t="s">
        <v>842</v>
      </c>
      <c r="D108" t="str">
        <f t="shared" si="5"/>
        <v>201-T</v>
      </c>
      <c r="F108">
        <v>152</v>
      </c>
      <c r="G108" s="13">
        <f>manut_MP($D108,DP!G$1,DP!G$2)</f>
        <v>46.142857142857139</v>
      </c>
      <c r="H108" s="13">
        <f>manut_MP($D108,DP!H$1,DP!H$2)</f>
        <v>40</v>
      </c>
      <c r="I108" s="13">
        <f>manut_MP($D108,DP!I$1,DP!I$2)</f>
        <v>40</v>
      </c>
      <c r="J108" s="13">
        <f>manut_MP($D108,DP!J$1,DP!J$2)</f>
        <v>40</v>
      </c>
      <c r="K108" s="13">
        <f>manut_MP($D108,DP!K$1,DP!K$2)</f>
        <v>40</v>
      </c>
      <c r="L108" s="13">
        <f>manut_MP($D108,DP!L$1,DP!L$2)</f>
        <v>5.7142857142857135</v>
      </c>
      <c r="M108" s="13">
        <f>manut_MP($D108,DP!M$1,DP!M$2)</f>
        <v>0</v>
      </c>
    </row>
    <row r="109" spans="1:13" x14ac:dyDescent="0.25">
      <c r="A109">
        <v>206</v>
      </c>
      <c r="B109">
        <v>4</v>
      </c>
      <c r="C109" t="s">
        <v>843</v>
      </c>
      <c r="D109" t="str">
        <f t="shared" si="5"/>
        <v>206-T</v>
      </c>
      <c r="G109" s="13">
        <f>manut_MP($D109,DP!G$1,DP!G$2)</f>
        <v>0</v>
      </c>
      <c r="H109" s="13">
        <f>manut_MP($D109,DP!H$1,DP!H$2)</f>
        <v>15.714285714285714</v>
      </c>
      <c r="I109" s="13">
        <f>manut_MP($D109,DP!I$1,DP!I$2)</f>
        <v>0</v>
      </c>
      <c r="J109" s="13">
        <f>manut_MP($D109,DP!J$1,DP!J$2)</f>
        <v>0</v>
      </c>
      <c r="K109" s="13">
        <f>manut_MP($D109,DP!K$1,DP!K$2)</f>
        <v>0</v>
      </c>
      <c r="L109" s="13">
        <f>manut_MP($D109,DP!L$1,DP!L$2)</f>
        <v>0</v>
      </c>
      <c r="M109" s="13">
        <f>manut_MP($D109,DP!M$1,DP!M$2)</f>
        <v>0</v>
      </c>
    </row>
    <row r="110" spans="1:13" x14ac:dyDescent="0.25">
      <c r="A110">
        <v>141</v>
      </c>
      <c r="B110">
        <v>4</v>
      </c>
      <c r="C110" t="s">
        <v>844</v>
      </c>
      <c r="D110" t="str">
        <f t="shared" si="5"/>
        <v>141-T</v>
      </c>
      <c r="F110">
        <v>14</v>
      </c>
      <c r="G110" s="13">
        <f>manut_MP($D110,DP!G$1,DP!G$2)</f>
        <v>130.71428571428572</v>
      </c>
      <c r="H110" s="13">
        <f>manut_MP($D110,DP!H$1,DP!H$2)</f>
        <v>15</v>
      </c>
      <c r="I110" s="13">
        <f>manut_MP($D110,DP!I$1,DP!I$2)</f>
        <v>15</v>
      </c>
      <c r="J110" s="13">
        <f>manut_MP($D110,DP!J$1,DP!J$2)</f>
        <v>15</v>
      </c>
      <c r="K110" s="13">
        <f>manut_MP($D110,DP!K$1,DP!K$2)</f>
        <v>15</v>
      </c>
      <c r="L110" s="13">
        <f>manut_MP($D110,DP!L$1,DP!L$2)</f>
        <v>2.1428571428571428</v>
      </c>
      <c r="M110" s="13">
        <f>manut_MP($D110,DP!M$1,DP!M$2)</f>
        <v>0</v>
      </c>
    </row>
    <row r="111" spans="1:13" x14ac:dyDescent="0.25">
      <c r="A111">
        <v>208</v>
      </c>
      <c r="B111">
        <v>4</v>
      </c>
      <c r="C111" t="s">
        <v>845</v>
      </c>
      <c r="D111" t="str">
        <f t="shared" si="5"/>
        <v>208-T</v>
      </c>
      <c r="F111">
        <v>0</v>
      </c>
      <c r="G111" s="13">
        <f>manut_MP($D111,DP!G$1,DP!G$2)</f>
        <v>43.589999999999996</v>
      </c>
      <c r="H111" s="13">
        <f>manut_MP($D111,DP!H$1,DP!H$2)</f>
        <v>43.589999999999996</v>
      </c>
      <c r="I111" s="13">
        <f>manut_MP($D111,DP!I$1,DP!I$2)</f>
        <v>43.589999999999996</v>
      </c>
      <c r="J111" s="13">
        <f>manut_MP($D111,DP!J$1,DP!J$2)</f>
        <v>43.589999999999996</v>
      </c>
      <c r="K111" s="13">
        <f>manut_MP($D111,DP!K$1,DP!K$2)</f>
        <v>43.589999999999996</v>
      </c>
      <c r="L111" s="13">
        <f>manut_MP($D111,DP!L$1,DP!L$2)</f>
        <v>6.2271428571428569</v>
      </c>
      <c r="M111" s="13">
        <f>manut_MP($D111,DP!M$1,DP!M$2)</f>
        <v>0</v>
      </c>
    </row>
    <row r="112" spans="1:13" x14ac:dyDescent="0.25">
      <c r="A112">
        <v>300</v>
      </c>
      <c r="B112">
        <v>4</v>
      </c>
      <c r="C112" t="s">
        <v>846</v>
      </c>
      <c r="D112" t="str">
        <f t="shared" si="5"/>
        <v>300-T</v>
      </c>
      <c r="G112" s="13">
        <f>manut_MP($D112,DP!G$1,DP!G$2)</f>
        <v>0</v>
      </c>
      <c r="H112" s="13">
        <f>manut_MP($D112,DP!H$1,DP!H$2)</f>
        <v>0</v>
      </c>
      <c r="I112" s="13">
        <f>manut_MP($D112,DP!I$1,DP!I$2)</f>
        <v>0</v>
      </c>
      <c r="J112" s="13">
        <f>manut_MP($D112,DP!J$1,DP!J$2)</f>
        <v>0</v>
      </c>
      <c r="K112" s="13">
        <f>manut_MP($D112,DP!K$1,DP!K$2)</f>
        <v>0</v>
      </c>
      <c r="L112" s="13">
        <f>manut_MP($D112,DP!L$1,DP!L$2)</f>
        <v>0</v>
      </c>
      <c r="M112" s="13">
        <f>manut_MP($D112,DP!M$1,DP!M$2)</f>
        <v>0</v>
      </c>
    </row>
    <row r="113" spans="1:13" x14ac:dyDescent="0.25">
      <c r="A113">
        <v>312</v>
      </c>
      <c r="B113">
        <v>4</v>
      </c>
      <c r="C113" t="s">
        <v>847</v>
      </c>
      <c r="D113" t="str">
        <f t="shared" si="5"/>
        <v>312-T</v>
      </c>
      <c r="G113" s="13">
        <f>manut_MP($D113,DP!G$1,DP!G$2)</f>
        <v>0</v>
      </c>
      <c r="H113" s="13">
        <f>manut_MP($D113,DP!H$1,DP!H$2)</f>
        <v>0</v>
      </c>
      <c r="I113" s="13">
        <f>manut_MP($D113,DP!I$1,DP!I$2)</f>
        <v>0</v>
      </c>
      <c r="J113" s="13">
        <f>manut_MP($D113,DP!J$1,DP!J$2)</f>
        <v>0</v>
      </c>
      <c r="K113" s="13">
        <f>manut_MP($D113,DP!K$1,DP!K$2)</f>
        <v>0</v>
      </c>
      <c r="L113" s="13">
        <f>manut_MP($D113,DP!L$1,DP!L$2)</f>
        <v>0</v>
      </c>
      <c r="M113" s="13">
        <f>manut_MP($D113,DP!M$1,DP!M$2)</f>
        <v>0</v>
      </c>
    </row>
    <row r="114" spans="1:13" x14ac:dyDescent="0.25">
      <c r="A114">
        <v>317</v>
      </c>
      <c r="B114">
        <v>4</v>
      </c>
      <c r="C114" t="s">
        <v>848</v>
      </c>
      <c r="D114" t="str">
        <f t="shared" si="5"/>
        <v>317-T</v>
      </c>
      <c r="G114" s="13">
        <f>manut_MP($D114,DP!G$1,DP!G$2)</f>
        <v>0</v>
      </c>
      <c r="H114" s="13">
        <f>manut_MP($D114,DP!H$1,DP!H$2)</f>
        <v>0</v>
      </c>
      <c r="I114" s="13">
        <f>manut_MP($D114,DP!I$1,DP!I$2)</f>
        <v>0</v>
      </c>
      <c r="J114" s="13">
        <f>manut_MP($D114,DP!J$1,DP!J$2)</f>
        <v>0</v>
      </c>
      <c r="K114" s="13">
        <f>manut_MP($D114,DP!K$1,DP!K$2)</f>
        <v>0</v>
      </c>
      <c r="L114" s="13">
        <f>manut_MP($D114,DP!L$1,DP!L$2)</f>
        <v>0</v>
      </c>
      <c r="M114" s="13">
        <f>manut_MP($D114,DP!M$1,DP!M$2)</f>
        <v>0</v>
      </c>
    </row>
    <row r="115" spans="1:13" x14ac:dyDescent="0.25">
      <c r="A115">
        <v>303</v>
      </c>
      <c r="B115">
        <v>4</v>
      </c>
      <c r="C115" t="s">
        <v>849</v>
      </c>
      <c r="D115" t="str">
        <f t="shared" si="5"/>
        <v>303-T</v>
      </c>
      <c r="G115" s="13">
        <f>manut_MP($D115,DP!G$1,DP!G$2)</f>
        <v>0</v>
      </c>
      <c r="H115" s="13">
        <f>manut_MP($D115,DP!H$1,DP!H$2)</f>
        <v>0</v>
      </c>
      <c r="I115" s="13">
        <f>manut_MP($D115,DP!I$1,DP!I$2)</f>
        <v>0</v>
      </c>
      <c r="J115" s="13">
        <f>manut_MP($D115,DP!J$1,DP!J$2)</f>
        <v>0</v>
      </c>
      <c r="K115" s="13">
        <f>manut_MP($D115,DP!K$1,DP!K$2)</f>
        <v>0</v>
      </c>
      <c r="L115" s="13">
        <f>manut_MP($D115,DP!L$1,DP!L$2)</f>
        <v>0</v>
      </c>
      <c r="M115" s="13">
        <f>manut_MP($D115,DP!M$1,DP!M$2)</f>
        <v>0</v>
      </c>
    </row>
    <row r="116" spans="1:13" x14ac:dyDescent="0.25">
      <c r="A116">
        <v>310</v>
      </c>
      <c r="B116">
        <v>4</v>
      </c>
      <c r="C116" t="s">
        <v>850</v>
      </c>
      <c r="D116" t="str">
        <f t="shared" si="5"/>
        <v>310-T</v>
      </c>
      <c r="G116" s="13">
        <f>manut_MP($D116,DP!G$1,DP!G$2)</f>
        <v>0</v>
      </c>
      <c r="H116" s="13">
        <f>manut_MP($D116,DP!H$1,DP!H$2)</f>
        <v>0</v>
      </c>
      <c r="I116" s="13">
        <f>manut_MP($D116,DP!I$1,DP!I$2)</f>
        <v>0</v>
      </c>
      <c r="J116" s="13">
        <f>manut_MP($D116,DP!J$1,DP!J$2)</f>
        <v>0</v>
      </c>
      <c r="K116" s="13">
        <f>manut_MP($D116,DP!K$1,DP!K$2)</f>
        <v>0</v>
      </c>
      <c r="L116" s="13">
        <f>manut_MP($D116,DP!L$1,DP!L$2)</f>
        <v>0</v>
      </c>
      <c r="M116" s="13">
        <f>manut_MP($D116,DP!M$1,DP!M$2)</f>
        <v>0</v>
      </c>
    </row>
    <row r="117" spans="1:13" x14ac:dyDescent="0.25">
      <c r="A117">
        <v>94</v>
      </c>
      <c r="B117">
        <v>4</v>
      </c>
      <c r="C117" t="s">
        <v>851</v>
      </c>
      <c r="D117" t="str">
        <f t="shared" si="5"/>
        <v>94-T</v>
      </c>
      <c r="G117" s="13">
        <f>manut_MP($D117,DP!G$1,DP!G$2)</f>
        <v>0</v>
      </c>
      <c r="H117" s="13">
        <f>manut_MP($D117,DP!H$1,DP!H$2)</f>
        <v>0</v>
      </c>
      <c r="I117" s="13">
        <f>manut_MP($D117,DP!I$1,DP!I$2)</f>
        <v>0</v>
      </c>
      <c r="J117" s="13">
        <f>manut_MP($D117,DP!J$1,DP!J$2)</f>
        <v>0</v>
      </c>
      <c r="K117" s="13">
        <f>manut_MP($D117,DP!K$1,DP!K$2)</f>
        <v>0</v>
      </c>
      <c r="L117" s="13">
        <f>manut_MP($D117,DP!L$1,DP!L$2)</f>
        <v>0</v>
      </c>
      <c r="M117" s="13">
        <f>manut_MP($D117,DP!M$1,DP!M$2)</f>
        <v>0</v>
      </c>
    </row>
    <row r="118" spans="1:13" x14ac:dyDescent="0.25">
      <c r="A118">
        <v>302</v>
      </c>
      <c r="B118">
        <v>4</v>
      </c>
      <c r="C118" t="s">
        <v>852</v>
      </c>
      <c r="D118" t="str">
        <f t="shared" si="5"/>
        <v>302-T</v>
      </c>
      <c r="G118" s="13">
        <f>manut_MP($D118,DP!G$1,DP!G$2)</f>
        <v>0</v>
      </c>
      <c r="H118" s="13">
        <f>manut_MP($D118,DP!H$1,DP!H$2)</f>
        <v>0</v>
      </c>
      <c r="I118" s="13">
        <f>manut_MP($D118,DP!I$1,DP!I$2)</f>
        <v>0</v>
      </c>
      <c r="J118" s="13">
        <f>manut_MP($D118,DP!J$1,DP!J$2)</f>
        <v>0</v>
      </c>
      <c r="K118" s="13">
        <f>manut_MP($D118,DP!K$1,DP!K$2)</f>
        <v>0</v>
      </c>
      <c r="L118" s="13">
        <f>manut_MP($D118,DP!L$1,DP!L$2)</f>
        <v>0</v>
      </c>
      <c r="M118" s="13">
        <f>manut_MP($D118,DP!M$1,DP!M$2)</f>
        <v>0</v>
      </c>
    </row>
  </sheetData>
  <autoFilter ref="G1:N1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FF00"/>
  </sheetPr>
  <dimension ref="A1:R744"/>
  <sheetViews>
    <sheetView workbookViewId="0">
      <selection activeCell="D2" sqref="D2"/>
    </sheetView>
  </sheetViews>
  <sheetFormatPr defaultRowHeight="15" x14ac:dyDescent="0.25"/>
  <cols>
    <col min="1" max="1" width="5" bestFit="1" customWidth="1"/>
    <col min="2" max="2" width="4.85546875" bestFit="1" customWidth="1"/>
    <col min="3" max="3" width="8" bestFit="1" customWidth="1"/>
    <col min="4" max="4" width="15" bestFit="1" customWidth="1"/>
    <col min="5" max="6" width="10.7109375" bestFit="1" customWidth="1"/>
    <col min="7" max="7" width="9.85546875" bestFit="1" customWidth="1"/>
    <col min="8" max="8" width="9.28515625" bestFit="1" customWidth="1"/>
    <col min="13" max="13" width="10.28515625" bestFit="1" customWidth="1"/>
    <col min="14" max="14" width="9.7109375" bestFit="1" customWidth="1"/>
    <col min="16" max="16" width="9.28515625" bestFit="1" customWidth="1"/>
  </cols>
  <sheetData>
    <row r="1" spans="1:18" x14ac:dyDescent="0.25">
      <c r="A1" s="4" t="s">
        <v>0</v>
      </c>
      <c r="B1" s="4" t="s">
        <v>1</v>
      </c>
      <c r="C1" s="4" t="s">
        <v>2</v>
      </c>
      <c r="D1" s="4" t="s">
        <v>17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</row>
    <row r="2" spans="1:18" x14ac:dyDescent="0.25">
      <c r="A2">
        <v>2001</v>
      </c>
      <c r="B2">
        <v>7</v>
      </c>
      <c r="C2">
        <v>1</v>
      </c>
      <c r="D2" t="str">
        <f>"DC"&amp;A2&amp;REPT("0",2-LEN(B2))&amp;B2&amp;"-sem"&amp;C2</f>
        <v>DC200107-sem1</v>
      </c>
      <c r="E2" s="1">
        <v>37072</v>
      </c>
      <c r="F2" s="1">
        <v>37078</v>
      </c>
      <c r="G2" s="5">
        <v>684</v>
      </c>
      <c r="H2" s="5">
        <v>684</v>
      </c>
      <c r="I2" s="5">
        <v>684</v>
      </c>
      <c r="J2" s="5">
        <v>141.61000000000001</v>
      </c>
      <c r="K2" s="5">
        <v>141.61000000000001</v>
      </c>
      <c r="L2" s="5">
        <v>141.61000000000001</v>
      </c>
      <c r="M2" s="5">
        <v>684</v>
      </c>
      <c r="N2" s="5">
        <v>684</v>
      </c>
      <c r="O2" s="5">
        <v>684</v>
      </c>
      <c r="P2" s="5">
        <v>684</v>
      </c>
      <c r="Q2" s="5">
        <v>684</v>
      </c>
      <c r="R2" s="5">
        <v>684</v>
      </c>
    </row>
    <row r="3" spans="1:18" x14ac:dyDescent="0.25">
      <c r="A3">
        <v>2001</v>
      </c>
      <c r="B3">
        <v>7</v>
      </c>
      <c r="C3">
        <v>2</v>
      </c>
      <c r="D3" t="str">
        <f t="shared" ref="D3:D66" si="0">"DC"&amp;A3&amp;REPT("0",2-LEN(B3))&amp;B3&amp;"-sem"&amp;C3</f>
        <v>DC200107-sem2</v>
      </c>
      <c r="E3" s="1">
        <v>37079</v>
      </c>
      <c r="F3" s="1">
        <v>37085</v>
      </c>
      <c r="G3" s="5">
        <v>684</v>
      </c>
      <c r="H3" s="5">
        <v>684</v>
      </c>
      <c r="I3" s="5">
        <v>684</v>
      </c>
      <c r="J3" s="5">
        <v>4</v>
      </c>
      <c r="K3" s="5">
        <v>4</v>
      </c>
      <c r="L3" s="5">
        <v>4</v>
      </c>
      <c r="M3" s="5">
        <v>684</v>
      </c>
      <c r="N3" s="5">
        <v>684</v>
      </c>
      <c r="O3" s="5">
        <v>684</v>
      </c>
      <c r="P3" s="5">
        <v>684</v>
      </c>
      <c r="Q3" s="5">
        <v>684</v>
      </c>
      <c r="R3" s="5">
        <v>684</v>
      </c>
    </row>
    <row r="4" spans="1:18" x14ac:dyDescent="0.25">
      <c r="A4">
        <v>2001</v>
      </c>
      <c r="B4">
        <v>7</v>
      </c>
      <c r="C4">
        <v>3</v>
      </c>
      <c r="D4" t="str">
        <f t="shared" si="0"/>
        <v>DC200107-sem3</v>
      </c>
      <c r="E4" s="1">
        <v>37086</v>
      </c>
      <c r="F4" s="1">
        <v>37092</v>
      </c>
      <c r="G4" s="5">
        <v>684</v>
      </c>
      <c r="H4" s="5">
        <v>684</v>
      </c>
      <c r="I4" s="5">
        <v>684</v>
      </c>
      <c r="J4" s="5">
        <v>4</v>
      </c>
      <c r="K4" s="5">
        <v>4</v>
      </c>
      <c r="L4" s="5">
        <v>4</v>
      </c>
      <c r="M4" s="5">
        <v>684</v>
      </c>
      <c r="N4" s="5">
        <v>684</v>
      </c>
      <c r="O4" s="5">
        <v>684</v>
      </c>
      <c r="P4" s="5">
        <v>684</v>
      </c>
      <c r="Q4" s="5">
        <v>684</v>
      </c>
      <c r="R4" s="5">
        <v>684</v>
      </c>
    </row>
    <row r="5" spans="1:18" x14ac:dyDescent="0.25">
      <c r="A5">
        <v>2001</v>
      </c>
      <c r="B5">
        <v>7</v>
      </c>
      <c r="C5">
        <v>4</v>
      </c>
      <c r="D5" t="str">
        <f t="shared" si="0"/>
        <v>DC200107-sem4</v>
      </c>
      <c r="E5" s="1">
        <v>37093</v>
      </c>
      <c r="F5" s="1">
        <v>37099</v>
      </c>
      <c r="G5" s="5">
        <v>684</v>
      </c>
      <c r="H5" s="5">
        <v>684</v>
      </c>
      <c r="I5" s="5">
        <v>684</v>
      </c>
      <c r="J5" s="5">
        <v>86.94</v>
      </c>
      <c r="K5" s="5">
        <v>86.94</v>
      </c>
      <c r="L5" s="5">
        <v>86.94</v>
      </c>
      <c r="M5" s="5">
        <v>684</v>
      </c>
      <c r="N5" s="5">
        <v>684</v>
      </c>
      <c r="O5" s="5">
        <v>684</v>
      </c>
      <c r="P5" s="5">
        <v>684</v>
      </c>
      <c r="Q5" s="5">
        <v>684</v>
      </c>
      <c r="R5" s="5">
        <v>684</v>
      </c>
    </row>
    <row r="6" spans="1:18" x14ac:dyDescent="0.25">
      <c r="A6">
        <v>2001</v>
      </c>
      <c r="B6">
        <v>8</v>
      </c>
      <c r="C6">
        <v>1</v>
      </c>
      <c r="D6" t="str">
        <f t="shared" si="0"/>
        <v>DC200108-sem1</v>
      </c>
      <c r="E6" s="1">
        <v>37100</v>
      </c>
      <c r="F6" s="1">
        <v>37106</v>
      </c>
      <c r="G6" s="5">
        <v>684</v>
      </c>
      <c r="H6" s="5">
        <v>684</v>
      </c>
      <c r="I6" s="5">
        <v>684</v>
      </c>
      <c r="J6" s="5">
        <v>37.119999999999997</v>
      </c>
      <c r="K6" s="5">
        <v>37.119999999999997</v>
      </c>
      <c r="L6" s="5">
        <v>37.119999999999997</v>
      </c>
      <c r="M6" s="5">
        <v>684</v>
      </c>
      <c r="N6" s="5">
        <v>684</v>
      </c>
      <c r="O6" s="5">
        <v>684</v>
      </c>
      <c r="P6" s="5">
        <v>684</v>
      </c>
      <c r="Q6" s="5">
        <v>684</v>
      </c>
      <c r="R6" s="5">
        <v>684</v>
      </c>
    </row>
    <row r="7" spans="1:18" x14ac:dyDescent="0.25">
      <c r="A7">
        <v>2001</v>
      </c>
      <c r="B7">
        <v>8</v>
      </c>
      <c r="C7">
        <v>2</v>
      </c>
      <c r="D7" t="str">
        <f t="shared" si="0"/>
        <v>DC200108-sem2</v>
      </c>
      <c r="E7" s="1">
        <v>37107</v>
      </c>
      <c r="F7" s="1">
        <v>37113</v>
      </c>
      <c r="G7" s="5">
        <v>684</v>
      </c>
      <c r="H7" s="5">
        <v>684</v>
      </c>
      <c r="I7" s="5">
        <v>684</v>
      </c>
      <c r="J7" s="5">
        <v>4</v>
      </c>
      <c r="K7" s="5">
        <v>4</v>
      </c>
      <c r="L7" s="5">
        <v>4</v>
      </c>
      <c r="M7" s="5">
        <v>684</v>
      </c>
      <c r="N7" s="5">
        <v>684</v>
      </c>
      <c r="O7" s="5">
        <v>684</v>
      </c>
      <c r="P7" s="5">
        <v>684</v>
      </c>
      <c r="Q7" s="5">
        <v>684</v>
      </c>
      <c r="R7" s="5">
        <v>684</v>
      </c>
    </row>
    <row r="8" spans="1:18" x14ac:dyDescent="0.25">
      <c r="A8">
        <v>2001</v>
      </c>
      <c r="B8">
        <v>8</v>
      </c>
      <c r="C8">
        <v>3</v>
      </c>
      <c r="D8" t="str">
        <f t="shared" si="0"/>
        <v>DC200108-sem3</v>
      </c>
      <c r="E8" s="1">
        <v>37114</v>
      </c>
      <c r="F8" s="1">
        <v>37120</v>
      </c>
      <c r="G8" s="5">
        <v>684</v>
      </c>
      <c r="H8" s="5">
        <v>684</v>
      </c>
      <c r="I8" s="5">
        <v>684</v>
      </c>
      <c r="J8" s="5">
        <v>37.119999999999997</v>
      </c>
      <c r="K8" s="5">
        <v>37.119999999999997</v>
      </c>
      <c r="L8" s="5">
        <v>37.119999999999997</v>
      </c>
      <c r="M8" s="5">
        <v>684</v>
      </c>
      <c r="N8" s="5">
        <v>684</v>
      </c>
      <c r="O8" s="5">
        <v>684</v>
      </c>
      <c r="P8" s="5">
        <v>684</v>
      </c>
      <c r="Q8" s="5">
        <v>684</v>
      </c>
      <c r="R8" s="5">
        <v>684</v>
      </c>
    </row>
    <row r="9" spans="1:18" x14ac:dyDescent="0.25">
      <c r="A9">
        <v>2001</v>
      </c>
      <c r="B9">
        <v>8</v>
      </c>
      <c r="C9">
        <v>4</v>
      </c>
      <c r="D9" t="str">
        <f t="shared" si="0"/>
        <v>DC200108-sem4</v>
      </c>
      <c r="E9" s="1">
        <v>37121</v>
      </c>
      <c r="F9" s="1">
        <v>37127</v>
      </c>
      <c r="G9" s="5">
        <v>684</v>
      </c>
      <c r="H9" s="5">
        <v>684</v>
      </c>
      <c r="I9" s="5">
        <v>684</v>
      </c>
      <c r="J9" s="5">
        <v>60.62</v>
      </c>
      <c r="K9" s="5">
        <v>60.62</v>
      </c>
      <c r="L9" s="5">
        <v>60.62</v>
      </c>
      <c r="M9" s="5">
        <v>684</v>
      </c>
      <c r="N9" s="5">
        <v>684</v>
      </c>
      <c r="O9" s="5">
        <v>684</v>
      </c>
      <c r="P9" s="5">
        <v>684</v>
      </c>
      <c r="Q9" s="5">
        <v>684</v>
      </c>
      <c r="R9" s="5">
        <v>684</v>
      </c>
    </row>
    <row r="10" spans="1:18" x14ac:dyDescent="0.25">
      <c r="A10">
        <v>2001</v>
      </c>
      <c r="B10">
        <v>8</v>
      </c>
      <c r="C10">
        <v>5</v>
      </c>
      <c r="D10" t="str">
        <f t="shared" si="0"/>
        <v>DC200108-sem5</v>
      </c>
      <c r="E10" s="1">
        <v>37127</v>
      </c>
      <c r="F10" s="1">
        <v>37134</v>
      </c>
      <c r="G10" s="5">
        <v>684</v>
      </c>
      <c r="H10" s="5">
        <v>684</v>
      </c>
      <c r="I10" s="5">
        <v>684</v>
      </c>
      <c r="J10" s="5">
        <v>86.94</v>
      </c>
      <c r="K10" s="5">
        <v>86.94</v>
      </c>
      <c r="L10" s="5">
        <v>86.94</v>
      </c>
      <c r="M10" s="5">
        <v>684</v>
      </c>
      <c r="N10" s="5">
        <v>684</v>
      </c>
      <c r="O10" s="5">
        <v>684</v>
      </c>
      <c r="P10" s="5">
        <v>684</v>
      </c>
      <c r="Q10" s="5">
        <v>684</v>
      </c>
      <c r="R10" s="5">
        <v>684</v>
      </c>
    </row>
    <row r="11" spans="1:18" x14ac:dyDescent="0.25">
      <c r="A11">
        <v>2001</v>
      </c>
      <c r="B11">
        <v>9</v>
      </c>
      <c r="C11">
        <v>1</v>
      </c>
      <c r="D11" t="str">
        <f t="shared" si="0"/>
        <v>DC200109-sem1</v>
      </c>
      <c r="E11" s="1">
        <v>37135</v>
      </c>
      <c r="F11" s="1">
        <v>37141</v>
      </c>
      <c r="G11" s="5">
        <v>684</v>
      </c>
      <c r="H11" s="5">
        <v>684</v>
      </c>
      <c r="I11" s="5">
        <v>684</v>
      </c>
      <c r="J11" s="5">
        <v>93.24</v>
      </c>
      <c r="K11" s="5">
        <v>93.24</v>
      </c>
      <c r="L11" s="5">
        <v>93.24</v>
      </c>
      <c r="M11" s="5">
        <v>684</v>
      </c>
      <c r="N11" s="5">
        <v>684</v>
      </c>
      <c r="O11" s="5">
        <v>684</v>
      </c>
      <c r="P11" s="5">
        <v>684</v>
      </c>
      <c r="Q11" s="5">
        <v>684</v>
      </c>
      <c r="R11" s="5">
        <v>684</v>
      </c>
    </row>
    <row r="12" spans="1:18" x14ac:dyDescent="0.25">
      <c r="A12">
        <v>2001</v>
      </c>
      <c r="B12">
        <v>9</v>
      </c>
      <c r="C12">
        <v>2</v>
      </c>
      <c r="D12" t="str">
        <f t="shared" si="0"/>
        <v>DC200109-sem2</v>
      </c>
      <c r="E12" s="1">
        <v>37142</v>
      </c>
      <c r="F12" s="1">
        <v>37148</v>
      </c>
      <c r="G12" s="5">
        <v>684</v>
      </c>
      <c r="H12" s="5">
        <v>684</v>
      </c>
      <c r="I12" s="5">
        <v>684</v>
      </c>
      <c r="J12" s="5">
        <v>63.55</v>
      </c>
      <c r="K12" s="5">
        <v>63.55</v>
      </c>
      <c r="L12" s="5">
        <v>63.55</v>
      </c>
      <c r="M12" s="5">
        <v>684</v>
      </c>
      <c r="N12" s="5">
        <v>684</v>
      </c>
      <c r="O12" s="5">
        <v>684</v>
      </c>
      <c r="P12" s="5">
        <v>684</v>
      </c>
      <c r="Q12" s="5">
        <v>684</v>
      </c>
      <c r="R12" s="5">
        <v>684</v>
      </c>
    </row>
    <row r="13" spans="1:18" x14ac:dyDescent="0.25">
      <c r="A13">
        <v>2001</v>
      </c>
      <c r="B13">
        <v>9</v>
      </c>
      <c r="C13">
        <v>3</v>
      </c>
      <c r="D13" t="str">
        <f t="shared" si="0"/>
        <v>DC200109-sem3</v>
      </c>
      <c r="E13" s="1">
        <v>37149</v>
      </c>
      <c r="F13" s="1">
        <v>37155</v>
      </c>
      <c r="G13" s="5">
        <v>684</v>
      </c>
      <c r="H13" s="5">
        <v>684</v>
      </c>
      <c r="I13" s="5">
        <v>684</v>
      </c>
      <c r="J13" s="5">
        <v>79.72</v>
      </c>
      <c r="K13" s="5">
        <v>79.72</v>
      </c>
      <c r="L13" s="5">
        <v>79.72</v>
      </c>
      <c r="M13" s="5">
        <v>684</v>
      </c>
      <c r="N13" s="5">
        <v>684</v>
      </c>
      <c r="O13" s="5">
        <v>684</v>
      </c>
      <c r="P13" s="5">
        <v>684</v>
      </c>
      <c r="Q13" s="5">
        <v>684</v>
      </c>
      <c r="R13" s="5">
        <v>684</v>
      </c>
    </row>
    <row r="14" spans="1:18" x14ac:dyDescent="0.25">
      <c r="A14">
        <v>2001</v>
      </c>
      <c r="B14">
        <v>9</v>
      </c>
      <c r="C14">
        <v>4</v>
      </c>
      <c r="D14" t="str">
        <f t="shared" si="0"/>
        <v>DC200109-sem4</v>
      </c>
      <c r="E14" s="1">
        <v>37156</v>
      </c>
      <c r="F14" s="1">
        <v>37162</v>
      </c>
      <c r="G14" s="5">
        <v>336</v>
      </c>
      <c r="H14" s="5">
        <v>336</v>
      </c>
      <c r="I14" s="5">
        <v>336</v>
      </c>
      <c r="J14" s="5">
        <v>63.55</v>
      </c>
      <c r="K14" s="5">
        <v>63.55</v>
      </c>
      <c r="L14" s="5">
        <v>63.55</v>
      </c>
      <c r="M14" s="5">
        <v>562.15</v>
      </c>
      <c r="N14" s="5">
        <v>562.15</v>
      </c>
      <c r="O14" s="5">
        <v>562.15</v>
      </c>
      <c r="P14" s="5">
        <v>336</v>
      </c>
      <c r="Q14" s="5">
        <v>336</v>
      </c>
      <c r="R14" s="5">
        <v>336</v>
      </c>
    </row>
    <row r="15" spans="1:18" x14ac:dyDescent="0.25">
      <c r="A15">
        <v>2001</v>
      </c>
      <c r="B15">
        <v>10</v>
      </c>
      <c r="C15">
        <v>1</v>
      </c>
      <c r="D15" t="str">
        <f t="shared" si="0"/>
        <v>DC200110-sem1</v>
      </c>
      <c r="E15" s="1">
        <v>37163</v>
      </c>
      <c r="F15" s="1">
        <v>37169</v>
      </c>
      <c r="G15" s="5">
        <v>336</v>
      </c>
      <c r="H15" s="5">
        <v>336</v>
      </c>
      <c r="I15" s="5">
        <v>336</v>
      </c>
      <c r="J15" s="5">
        <v>63.55</v>
      </c>
      <c r="K15" s="5">
        <v>63.55</v>
      </c>
      <c r="L15" s="5">
        <v>63.55</v>
      </c>
      <c r="M15" s="5">
        <v>562.15</v>
      </c>
      <c r="N15" s="5">
        <v>562.15</v>
      </c>
      <c r="O15" s="5">
        <v>562.15</v>
      </c>
      <c r="P15" s="5">
        <v>336</v>
      </c>
      <c r="Q15" s="5">
        <v>336</v>
      </c>
      <c r="R15" s="5">
        <v>336</v>
      </c>
    </row>
    <row r="16" spans="1:18" x14ac:dyDescent="0.25">
      <c r="A16">
        <v>2001</v>
      </c>
      <c r="B16">
        <v>10</v>
      </c>
      <c r="C16">
        <v>2</v>
      </c>
      <c r="D16" t="str">
        <f t="shared" si="0"/>
        <v>DC200110-sem2</v>
      </c>
      <c r="E16" s="1">
        <v>37170</v>
      </c>
      <c r="F16" s="1">
        <v>37176</v>
      </c>
      <c r="G16" s="5">
        <v>336</v>
      </c>
      <c r="H16" s="5">
        <v>336</v>
      </c>
      <c r="I16" s="5">
        <v>336</v>
      </c>
      <c r="J16" s="5">
        <v>4</v>
      </c>
      <c r="K16" s="5">
        <v>4</v>
      </c>
      <c r="L16" s="5">
        <v>4</v>
      </c>
      <c r="M16" s="5">
        <v>562.15</v>
      </c>
      <c r="N16" s="5">
        <v>562.15</v>
      </c>
      <c r="O16" s="5">
        <v>562.15</v>
      </c>
      <c r="P16" s="5">
        <v>336</v>
      </c>
      <c r="Q16" s="5">
        <v>336</v>
      </c>
      <c r="R16" s="5">
        <v>336</v>
      </c>
    </row>
    <row r="17" spans="1:18" x14ac:dyDescent="0.25">
      <c r="A17">
        <v>2001</v>
      </c>
      <c r="B17">
        <v>10</v>
      </c>
      <c r="C17">
        <v>3</v>
      </c>
      <c r="D17" t="str">
        <f t="shared" si="0"/>
        <v>DC200110-sem3</v>
      </c>
      <c r="E17" s="1">
        <v>37177</v>
      </c>
      <c r="F17" s="1">
        <v>37183</v>
      </c>
      <c r="G17" s="5">
        <v>336</v>
      </c>
      <c r="H17" s="5">
        <v>336</v>
      </c>
      <c r="I17" s="5">
        <v>336</v>
      </c>
      <c r="J17" s="5">
        <v>4</v>
      </c>
      <c r="K17" s="5">
        <v>4</v>
      </c>
      <c r="L17" s="5">
        <v>4</v>
      </c>
      <c r="M17" s="5">
        <v>562.15</v>
      </c>
      <c r="N17" s="5">
        <v>562.15</v>
      </c>
      <c r="O17" s="5">
        <v>562.15</v>
      </c>
      <c r="P17" s="5">
        <v>336</v>
      </c>
      <c r="Q17" s="5">
        <v>336</v>
      </c>
      <c r="R17" s="5">
        <v>336</v>
      </c>
    </row>
    <row r="18" spans="1:18" x14ac:dyDescent="0.25">
      <c r="A18">
        <v>2001</v>
      </c>
      <c r="B18">
        <v>10</v>
      </c>
      <c r="C18">
        <v>4</v>
      </c>
      <c r="D18" t="str">
        <f t="shared" si="0"/>
        <v>DC200110-sem4</v>
      </c>
      <c r="E18" s="1">
        <v>37184</v>
      </c>
      <c r="F18" s="1">
        <v>37190</v>
      </c>
      <c r="G18" s="5">
        <v>336</v>
      </c>
      <c r="H18" s="5">
        <v>336</v>
      </c>
      <c r="I18" s="5">
        <v>336</v>
      </c>
      <c r="J18" s="5">
        <v>4</v>
      </c>
      <c r="K18" s="5">
        <v>4</v>
      </c>
      <c r="L18" s="5">
        <v>4</v>
      </c>
      <c r="M18" s="5">
        <v>562.15</v>
      </c>
      <c r="N18" s="5">
        <v>562.15</v>
      </c>
      <c r="O18" s="5">
        <v>562.15</v>
      </c>
      <c r="P18" s="5">
        <v>336</v>
      </c>
      <c r="Q18" s="5">
        <v>336</v>
      </c>
      <c r="R18" s="5">
        <v>336</v>
      </c>
    </row>
    <row r="19" spans="1:18" x14ac:dyDescent="0.25">
      <c r="A19">
        <v>2001</v>
      </c>
      <c r="B19">
        <v>11</v>
      </c>
      <c r="C19">
        <v>1</v>
      </c>
      <c r="D19" t="str">
        <f t="shared" si="0"/>
        <v>DC200111-sem1</v>
      </c>
      <c r="E19" s="1">
        <v>37191</v>
      </c>
      <c r="F19" s="1">
        <v>37197</v>
      </c>
      <c r="G19" s="5">
        <v>336</v>
      </c>
      <c r="H19" s="5">
        <v>336</v>
      </c>
      <c r="I19" s="5">
        <v>336</v>
      </c>
      <c r="J19" s="5">
        <v>4</v>
      </c>
      <c r="K19" s="5">
        <v>4</v>
      </c>
      <c r="L19" s="5">
        <v>4</v>
      </c>
      <c r="M19" s="5">
        <v>562.15</v>
      </c>
      <c r="N19" s="5">
        <v>562.15</v>
      </c>
      <c r="O19" s="5">
        <v>562.15</v>
      </c>
      <c r="P19" s="5">
        <v>336</v>
      </c>
      <c r="Q19" s="5">
        <v>336</v>
      </c>
      <c r="R19" s="5">
        <v>336</v>
      </c>
    </row>
    <row r="20" spans="1:18" x14ac:dyDescent="0.25">
      <c r="A20">
        <v>2001</v>
      </c>
      <c r="B20">
        <v>11</v>
      </c>
      <c r="C20">
        <v>2</v>
      </c>
      <c r="D20" t="str">
        <f t="shared" si="0"/>
        <v>DC200111-sem2</v>
      </c>
      <c r="E20" s="1">
        <v>37198</v>
      </c>
      <c r="F20" s="1">
        <v>37204</v>
      </c>
      <c r="G20" s="5">
        <v>336</v>
      </c>
      <c r="H20" s="5">
        <v>336</v>
      </c>
      <c r="I20" s="5">
        <v>336</v>
      </c>
      <c r="J20" s="5">
        <v>41.74</v>
      </c>
      <c r="K20" s="5">
        <v>41.74</v>
      </c>
      <c r="L20" s="5">
        <v>41.74</v>
      </c>
      <c r="M20" s="5">
        <v>562.15</v>
      </c>
      <c r="N20" s="5">
        <v>562.15</v>
      </c>
      <c r="O20" s="5">
        <v>562.15</v>
      </c>
      <c r="P20" s="5">
        <v>336</v>
      </c>
      <c r="Q20" s="5">
        <v>336</v>
      </c>
      <c r="R20" s="5">
        <v>336</v>
      </c>
    </row>
    <row r="21" spans="1:18" x14ac:dyDescent="0.25">
      <c r="A21">
        <v>2001</v>
      </c>
      <c r="B21">
        <v>11</v>
      </c>
      <c r="C21">
        <v>3</v>
      </c>
      <c r="D21" t="str">
        <f t="shared" si="0"/>
        <v>DC200111-sem3</v>
      </c>
      <c r="E21" s="1">
        <v>37205</v>
      </c>
      <c r="F21" s="1">
        <v>37211</v>
      </c>
      <c r="G21" s="5">
        <v>336</v>
      </c>
      <c r="H21" s="5">
        <v>336</v>
      </c>
      <c r="I21" s="5">
        <v>336</v>
      </c>
      <c r="J21" s="5">
        <v>46.62</v>
      </c>
      <c r="K21" s="5">
        <v>46.62</v>
      </c>
      <c r="L21" s="5">
        <v>46.62</v>
      </c>
      <c r="M21" s="5">
        <v>562.15</v>
      </c>
      <c r="N21" s="5">
        <v>562.15</v>
      </c>
      <c r="O21" s="5">
        <v>562.15</v>
      </c>
      <c r="P21" s="5">
        <v>336</v>
      </c>
      <c r="Q21" s="5">
        <v>336</v>
      </c>
      <c r="R21" s="5">
        <v>336</v>
      </c>
    </row>
    <row r="22" spans="1:18" x14ac:dyDescent="0.25">
      <c r="A22">
        <v>2001</v>
      </c>
      <c r="B22">
        <v>11</v>
      </c>
      <c r="C22">
        <v>4</v>
      </c>
      <c r="D22" t="str">
        <f t="shared" si="0"/>
        <v>DC200111-sem4</v>
      </c>
      <c r="E22" s="1">
        <v>37212</v>
      </c>
      <c r="F22" s="1">
        <v>37218</v>
      </c>
      <c r="G22" s="5">
        <v>336</v>
      </c>
      <c r="H22" s="5">
        <v>336</v>
      </c>
      <c r="I22" s="5">
        <v>336</v>
      </c>
      <c r="J22" s="5">
        <v>41.74</v>
      </c>
      <c r="K22" s="5">
        <v>41.74</v>
      </c>
      <c r="L22" s="5">
        <v>41.74</v>
      </c>
      <c r="M22" s="5">
        <v>562.15</v>
      </c>
      <c r="N22" s="5">
        <v>562.15</v>
      </c>
      <c r="O22" s="5">
        <v>562.15</v>
      </c>
      <c r="P22" s="5">
        <v>336</v>
      </c>
      <c r="Q22" s="5">
        <v>336</v>
      </c>
      <c r="R22" s="5">
        <v>336</v>
      </c>
    </row>
    <row r="23" spans="1:18" x14ac:dyDescent="0.25">
      <c r="A23">
        <v>2001</v>
      </c>
      <c r="B23">
        <v>11</v>
      </c>
      <c r="C23">
        <v>5</v>
      </c>
      <c r="D23" t="str">
        <f t="shared" si="0"/>
        <v>DC200111-sem5</v>
      </c>
      <c r="E23" s="1">
        <v>37219</v>
      </c>
      <c r="F23" s="1">
        <v>37225</v>
      </c>
      <c r="G23" s="5">
        <v>336</v>
      </c>
      <c r="H23" s="5">
        <v>336</v>
      </c>
      <c r="I23" s="5">
        <v>336</v>
      </c>
      <c r="J23" s="5">
        <v>31.82</v>
      </c>
      <c r="K23" s="5">
        <v>31.82</v>
      </c>
      <c r="L23" s="5">
        <v>31.82</v>
      </c>
      <c r="M23" s="5">
        <v>562.15</v>
      </c>
      <c r="N23" s="5">
        <v>562.15</v>
      </c>
      <c r="O23" s="5">
        <v>562.15</v>
      </c>
      <c r="P23" s="5">
        <v>336</v>
      </c>
      <c r="Q23" s="5">
        <v>336</v>
      </c>
      <c r="R23" s="5">
        <v>336</v>
      </c>
    </row>
    <row r="24" spans="1:18" x14ac:dyDescent="0.25">
      <c r="A24">
        <v>2001</v>
      </c>
      <c r="B24">
        <v>12</v>
      </c>
      <c r="C24">
        <v>1</v>
      </c>
      <c r="D24" t="str">
        <f t="shared" si="0"/>
        <v>DC200112-sem1</v>
      </c>
      <c r="E24" s="1">
        <v>37226</v>
      </c>
      <c r="F24" s="1">
        <v>37232</v>
      </c>
      <c r="G24" s="5">
        <v>336</v>
      </c>
      <c r="H24" s="5">
        <v>336</v>
      </c>
      <c r="I24" s="5">
        <v>336</v>
      </c>
      <c r="J24" s="5">
        <v>4</v>
      </c>
      <c r="K24" s="5">
        <v>4</v>
      </c>
      <c r="L24" s="5">
        <v>4</v>
      </c>
      <c r="M24" s="5">
        <v>562.15</v>
      </c>
      <c r="N24" s="5">
        <v>562.15</v>
      </c>
      <c r="O24" s="5">
        <v>562.15</v>
      </c>
      <c r="P24" s="5">
        <v>336</v>
      </c>
      <c r="Q24" s="5">
        <v>336</v>
      </c>
      <c r="R24" s="5">
        <v>336</v>
      </c>
    </row>
    <row r="25" spans="1:18" x14ac:dyDescent="0.25">
      <c r="A25">
        <v>2001</v>
      </c>
      <c r="B25">
        <v>12</v>
      </c>
      <c r="C25">
        <v>2</v>
      </c>
      <c r="D25" t="str">
        <f t="shared" si="0"/>
        <v>DC200112-sem2</v>
      </c>
      <c r="E25" s="1">
        <v>37233</v>
      </c>
      <c r="F25" s="1">
        <v>37239</v>
      </c>
      <c r="G25" s="5">
        <v>336</v>
      </c>
      <c r="H25" s="5">
        <v>336</v>
      </c>
      <c r="I25" s="5">
        <v>336</v>
      </c>
      <c r="J25" s="5">
        <v>4</v>
      </c>
      <c r="K25" s="5">
        <v>4</v>
      </c>
      <c r="L25" s="5">
        <v>4</v>
      </c>
      <c r="M25" s="5">
        <v>562.15</v>
      </c>
      <c r="N25" s="5">
        <v>562.15</v>
      </c>
      <c r="O25" s="5">
        <v>562.15</v>
      </c>
      <c r="P25" s="5">
        <v>336</v>
      </c>
      <c r="Q25" s="5">
        <v>336</v>
      </c>
      <c r="R25" s="5">
        <v>336</v>
      </c>
    </row>
    <row r="26" spans="1:18" x14ac:dyDescent="0.25">
      <c r="A26">
        <v>2001</v>
      </c>
      <c r="B26">
        <v>12</v>
      </c>
      <c r="C26">
        <v>3</v>
      </c>
      <c r="D26" t="str">
        <f t="shared" si="0"/>
        <v>DC200112-sem3</v>
      </c>
      <c r="E26" s="1">
        <v>37240</v>
      </c>
      <c r="F26" s="1">
        <v>37246</v>
      </c>
      <c r="G26" s="5">
        <v>336</v>
      </c>
      <c r="H26" s="5">
        <v>336</v>
      </c>
      <c r="I26" s="5">
        <v>336</v>
      </c>
      <c r="J26" s="5">
        <v>49.3</v>
      </c>
      <c r="K26" s="5">
        <v>49.3</v>
      </c>
      <c r="L26" s="5">
        <v>49.3</v>
      </c>
      <c r="M26" s="5">
        <v>562.15</v>
      </c>
      <c r="N26" s="5">
        <v>562.15</v>
      </c>
      <c r="O26" s="5">
        <v>562.15</v>
      </c>
      <c r="P26" s="5">
        <v>336</v>
      </c>
      <c r="Q26" s="5">
        <v>336</v>
      </c>
      <c r="R26" s="5">
        <v>336</v>
      </c>
    </row>
    <row r="27" spans="1:18" x14ac:dyDescent="0.25">
      <c r="A27">
        <v>2001</v>
      </c>
      <c r="B27">
        <v>12</v>
      </c>
      <c r="C27">
        <v>4</v>
      </c>
      <c r="D27" t="str">
        <f t="shared" si="0"/>
        <v>DC200112-sem4</v>
      </c>
      <c r="E27" s="1">
        <v>37247</v>
      </c>
      <c r="F27" s="1">
        <v>37253</v>
      </c>
      <c r="G27" s="5">
        <v>336</v>
      </c>
      <c r="H27" s="5">
        <v>336</v>
      </c>
      <c r="I27" s="5">
        <v>336</v>
      </c>
      <c r="J27" s="5">
        <v>41.74</v>
      </c>
      <c r="K27" s="5">
        <v>41.74</v>
      </c>
      <c r="L27" s="5">
        <v>41.74</v>
      </c>
      <c r="M27" s="5">
        <v>562.15</v>
      </c>
      <c r="N27" s="5">
        <v>562.15</v>
      </c>
      <c r="O27" s="5">
        <v>562.15</v>
      </c>
      <c r="P27" s="5">
        <v>336</v>
      </c>
      <c r="Q27" s="5">
        <v>336</v>
      </c>
      <c r="R27" s="5">
        <v>336</v>
      </c>
    </row>
    <row r="28" spans="1:18" x14ac:dyDescent="0.25">
      <c r="A28">
        <v>2002</v>
      </c>
      <c r="B28">
        <v>1</v>
      </c>
      <c r="C28">
        <v>1</v>
      </c>
      <c r="D28" t="str">
        <f t="shared" si="0"/>
        <v>DC200201-sem1</v>
      </c>
      <c r="E28" s="1">
        <v>37254</v>
      </c>
      <c r="F28" s="1">
        <v>37621</v>
      </c>
      <c r="G28" s="5">
        <v>336</v>
      </c>
      <c r="H28" s="5">
        <v>336</v>
      </c>
      <c r="I28" s="5">
        <v>336</v>
      </c>
      <c r="J28" s="5">
        <v>41.74</v>
      </c>
      <c r="K28" s="5">
        <v>41.74</v>
      </c>
      <c r="L28" s="5">
        <v>41.74</v>
      </c>
      <c r="M28" s="5">
        <v>562.15</v>
      </c>
      <c r="N28" s="5">
        <v>562.15</v>
      </c>
      <c r="O28" s="5">
        <v>562.15</v>
      </c>
      <c r="P28" s="5">
        <v>336</v>
      </c>
      <c r="Q28" s="5">
        <v>336</v>
      </c>
      <c r="R28" s="5">
        <v>336</v>
      </c>
    </row>
    <row r="29" spans="1:18" x14ac:dyDescent="0.25">
      <c r="A29">
        <v>2002</v>
      </c>
      <c r="B29">
        <v>1</v>
      </c>
      <c r="C29">
        <v>1</v>
      </c>
      <c r="D29" t="str">
        <f t="shared" si="0"/>
        <v>DC200201-sem1</v>
      </c>
      <c r="E29" s="1">
        <v>37257</v>
      </c>
      <c r="F29" s="1">
        <v>37260</v>
      </c>
      <c r="G29" s="5">
        <v>336</v>
      </c>
      <c r="H29" s="5">
        <v>336</v>
      </c>
      <c r="I29" s="5">
        <v>336</v>
      </c>
      <c r="J29" s="5">
        <v>41.74</v>
      </c>
      <c r="K29" s="5">
        <v>41.74</v>
      </c>
      <c r="L29" s="5">
        <v>41.74</v>
      </c>
      <c r="M29" s="5">
        <v>562.15</v>
      </c>
      <c r="N29" s="5">
        <v>562.15</v>
      </c>
      <c r="O29" s="5">
        <v>562.15</v>
      </c>
      <c r="P29" s="5">
        <v>4</v>
      </c>
      <c r="Q29" s="5">
        <v>4</v>
      </c>
      <c r="R29" s="5">
        <v>4</v>
      </c>
    </row>
    <row r="30" spans="1:18" x14ac:dyDescent="0.25">
      <c r="A30">
        <v>2002</v>
      </c>
      <c r="B30">
        <v>1</v>
      </c>
      <c r="C30">
        <v>2</v>
      </c>
      <c r="D30" t="str">
        <f t="shared" si="0"/>
        <v>DC200201-sem2</v>
      </c>
      <c r="E30" s="1">
        <v>37261</v>
      </c>
      <c r="F30" s="1">
        <v>37267</v>
      </c>
      <c r="G30" s="5">
        <v>336</v>
      </c>
      <c r="H30" s="5">
        <v>336</v>
      </c>
      <c r="I30" s="5">
        <v>336</v>
      </c>
      <c r="J30" s="5">
        <v>64.040000000000006</v>
      </c>
      <c r="K30" s="5">
        <v>64.040000000000006</v>
      </c>
      <c r="L30" s="5">
        <v>64.040000000000006</v>
      </c>
      <c r="M30" s="5">
        <v>562.15</v>
      </c>
      <c r="N30" s="5">
        <v>562.15</v>
      </c>
      <c r="O30" s="5">
        <v>562.15</v>
      </c>
      <c r="P30" s="5">
        <v>4</v>
      </c>
      <c r="Q30" s="5">
        <v>4</v>
      </c>
      <c r="R30" s="5">
        <v>4</v>
      </c>
    </row>
    <row r="31" spans="1:18" x14ac:dyDescent="0.25">
      <c r="A31">
        <v>2002</v>
      </c>
      <c r="B31">
        <v>1</v>
      </c>
      <c r="C31">
        <v>3</v>
      </c>
      <c r="D31" t="str">
        <f t="shared" si="0"/>
        <v>DC200201-sem3</v>
      </c>
      <c r="E31" s="1">
        <v>37268</v>
      </c>
      <c r="F31" s="1">
        <v>37274</v>
      </c>
      <c r="G31" s="5">
        <v>336</v>
      </c>
      <c r="H31" s="5">
        <v>336</v>
      </c>
      <c r="I31" s="5">
        <v>336</v>
      </c>
      <c r="J31" s="5">
        <v>64.040000000000006</v>
      </c>
      <c r="K31" s="5">
        <v>64.040000000000006</v>
      </c>
      <c r="L31" s="5">
        <v>64.040000000000006</v>
      </c>
      <c r="M31" s="5">
        <v>562.15</v>
      </c>
      <c r="N31" s="5">
        <v>562.15</v>
      </c>
      <c r="O31" s="5">
        <v>562.15</v>
      </c>
      <c r="P31" s="5">
        <v>4</v>
      </c>
      <c r="Q31" s="5">
        <v>4</v>
      </c>
      <c r="R31" s="5">
        <v>4</v>
      </c>
    </row>
    <row r="32" spans="1:18" x14ac:dyDescent="0.25">
      <c r="A32">
        <v>2002</v>
      </c>
      <c r="B32">
        <v>1</v>
      </c>
      <c r="C32">
        <v>4</v>
      </c>
      <c r="D32" t="str">
        <f t="shared" si="0"/>
        <v>DC200201-sem4</v>
      </c>
      <c r="E32" s="1">
        <v>37275</v>
      </c>
      <c r="F32" s="1">
        <v>37281</v>
      </c>
      <c r="G32" s="5">
        <v>336</v>
      </c>
      <c r="H32" s="5">
        <v>336</v>
      </c>
      <c r="I32" s="5">
        <v>336</v>
      </c>
      <c r="J32" s="5">
        <v>64.040000000000006</v>
      </c>
      <c r="K32" s="5">
        <v>64.040000000000006</v>
      </c>
      <c r="L32" s="5">
        <v>64.040000000000006</v>
      </c>
      <c r="M32" s="5">
        <v>562.15</v>
      </c>
      <c r="N32" s="5">
        <v>562.15</v>
      </c>
      <c r="O32" s="5">
        <v>562.15</v>
      </c>
      <c r="P32" s="5">
        <v>4</v>
      </c>
      <c r="Q32" s="5">
        <v>4</v>
      </c>
      <c r="R32" s="5">
        <v>4</v>
      </c>
    </row>
    <row r="33" spans="1:18" x14ac:dyDescent="0.25">
      <c r="A33">
        <v>2002</v>
      </c>
      <c r="B33">
        <v>2</v>
      </c>
      <c r="C33">
        <v>1</v>
      </c>
      <c r="D33" t="str">
        <f t="shared" si="0"/>
        <v>DC200202-sem1</v>
      </c>
      <c r="E33" s="1">
        <v>37282</v>
      </c>
      <c r="F33" s="1">
        <v>37288</v>
      </c>
      <c r="G33" s="5">
        <v>134.76</v>
      </c>
      <c r="H33" s="5">
        <v>134.76</v>
      </c>
      <c r="I33" s="5">
        <v>134.76</v>
      </c>
      <c r="J33" s="5">
        <v>8.8800000000000008</v>
      </c>
      <c r="K33" s="5">
        <v>8.8800000000000008</v>
      </c>
      <c r="L33" s="5">
        <v>8.8800000000000008</v>
      </c>
      <c r="M33" s="5">
        <v>319.41000000000003</v>
      </c>
      <c r="N33" s="5">
        <v>319.41000000000003</v>
      </c>
      <c r="O33" s="5">
        <v>319.41000000000003</v>
      </c>
      <c r="P33" s="5">
        <v>4.1900000000000004</v>
      </c>
      <c r="Q33" s="5">
        <v>4.1900000000000004</v>
      </c>
      <c r="R33" s="5">
        <v>4.1900000000000004</v>
      </c>
    </row>
    <row r="34" spans="1:18" x14ac:dyDescent="0.25">
      <c r="A34">
        <v>2002</v>
      </c>
      <c r="B34">
        <v>2</v>
      </c>
      <c r="C34">
        <v>2</v>
      </c>
      <c r="D34" t="str">
        <f t="shared" si="0"/>
        <v>DC200202-sem2</v>
      </c>
      <c r="E34" s="1">
        <v>37289</v>
      </c>
      <c r="F34" s="1">
        <v>37295</v>
      </c>
      <c r="G34" s="5">
        <v>134.76</v>
      </c>
      <c r="H34" s="5">
        <v>134.76</v>
      </c>
      <c r="I34" s="5">
        <v>134.76</v>
      </c>
      <c r="J34" s="5">
        <v>10.82</v>
      </c>
      <c r="K34" s="5">
        <v>10.82</v>
      </c>
      <c r="L34" s="5">
        <v>10.82</v>
      </c>
      <c r="M34" s="5">
        <v>319.41000000000003</v>
      </c>
      <c r="N34" s="5">
        <v>319.41000000000003</v>
      </c>
      <c r="O34" s="5">
        <v>319.41000000000003</v>
      </c>
      <c r="P34" s="5">
        <v>5.17</v>
      </c>
      <c r="Q34" s="5">
        <v>5.17</v>
      </c>
      <c r="R34" s="5">
        <v>5.17</v>
      </c>
    </row>
    <row r="35" spans="1:18" x14ac:dyDescent="0.25">
      <c r="A35">
        <v>2002</v>
      </c>
      <c r="B35">
        <v>2</v>
      </c>
      <c r="C35">
        <v>3</v>
      </c>
      <c r="D35" t="str">
        <f t="shared" si="0"/>
        <v>DC200202-sem3</v>
      </c>
      <c r="E35" s="1">
        <v>37296</v>
      </c>
      <c r="F35" s="1">
        <v>37302</v>
      </c>
      <c r="G35" s="5">
        <v>9.25</v>
      </c>
      <c r="H35" s="5">
        <v>9.25</v>
      </c>
      <c r="I35" s="5">
        <v>9.25</v>
      </c>
      <c r="J35" s="5">
        <v>8.8800000000000008</v>
      </c>
      <c r="K35" s="5">
        <v>8.8800000000000008</v>
      </c>
      <c r="L35" s="5">
        <v>8.8800000000000008</v>
      </c>
      <c r="M35" s="5">
        <v>319.41000000000003</v>
      </c>
      <c r="N35" s="5">
        <v>319.41000000000003</v>
      </c>
      <c r="O35" s="5">
        <v>319.41000000000003</v>
      </c>
      <c r="P35" s="5">
        <v>4.1900000000000004</v>
      </c>
      <c r="Q35" s="5">
        <v>4.1900000000000004</v>
      </c>
      <c r="R35" s="5">
        <v>4.1900000000000004</v>
      </c>
    </row>
    <row r="36" spans="1:18" x14ac:dyDescent="0.25">
      <c r="A36">
        <v>2002</v>
      </c>
      <c r="B36">
        <v>2</v>
      </c>
      <c r="C36">
        <v>4</v>
      </c>
      <c r="D36" t="str">
        <f t="shared" si="0"/>
        <v>DC200202-sem4</v>
      </c>
      <c r="E36" s="1">
        <v>37303</v>
      </c>
      <c r="F36" s="1">
        <v>37309</v>
      </c>
      <c r="G36" s="5">
        <v>5.42</v>
      </c>
      <c r="H36" s="5">
        <v>5.42</v>
      </c>
      <c r="I36" s="5">
        <v>5.42</v>
      </c>
      <c r="J36" s="5">
        <v>5.14</v>
      </c>
      <c r="K36" s="5">
        <v>5.14</v>
      </c>
      <c r="L36" s="5">
        <v>5.14</v>
      </c>
      <c r="M36" s="5">
        <v>319.41000000000003</v>
      </c>
      <c r="N36" s="5">
        <v>319.41000000000003</v>
      </c>
      <c r="O36" s="5">
        <v>319.41000000000003</v>
      </c>
      <c r="P36" s="5">
        <v>4</v>
      </c>
      <c r="Q36" s="5">
        <v>4</v>
      </c>
      <c r="R36" s="5">
        <v>4</v>
      </c>
    </row>
    <row r="37" spans="1:18" x14ac:dyDescent="0.25">
      <c r="A37">
        <v>2002</v>
      </c>
      <c r="B37">
        <v>3</v>
      </c>
      <c r="C37">
        <v>1</v>
      </c>
      <c r="D37" t="str">
        <f t="shared" si="0"/>
        <v>DC200203-sem1</v>
      </c>
      <c r="E37" s="1">
        <v>37310</v>
      </c>
      <c r="F37" s="1">
        <v>37315</v>
      </c>
      <c r="G37" s="5">
        <v>8.14</v>
      </c>
      <c r="H37" s="5">
        <v>8.14</v>
      </c>
      <c r="I37" s="5">
        <v>8.14</v>
      </c>
      <c r="J37" s="5">
        <v>6.97</v>
      </c>
      <c r="K37" s="5">
        <v>6.97</v>
      </c>
      <c r="L37" s="5">
        <v>6.97</v>
      </c>
      <c r="M37" s="5">
        <v>319.41000000000003</v>
      </c>
      <c r="N37" s="5">
        <v>319.41000000000003</v>
      </c>
      <c r="O37" s="5">
        <v>319.41000000000003</v>
      </c>
      <c r="P37" s="5">
        <v>4.49</v>
      </c>
      <c r="Q37" s="5">
        <v>4.49</v>
      </c>
      <c r="R37" s="5">
        <v>4.49</v>
      </c>
    </row>
    <row r="38" spans="1:18" x14ac:dyDescent="0.25">
      <c r="A38">
        <v>2002</v>
      </c>
      <c r="B38">
        <v>3</v>
      </c>
      <c r="C38">
        <v>1</v>
      </c>
      <c r="D38" t="str">
        <f t="shared" si="0"/>
        <v>DC200203-sem1</v>
      </c>
      <c r="E38" s="1">
        <v>37316</v>
      </c>
      <c r="F38" s="1">
        <v>37316</v>
      </c>
      <c r="G38" s="5">
        <v>8.14</v>
      </c>
      <c r="H38" s="5">
        <v>8.14</v>
      </c>
      <c r="I38" s="5">
        <v>8.14</v>
      </c>
      <c r="J38" s="5">
        <v>6.97</v>
      </c>
      <c r="K38" s="5">
        <v>6.97</v>
      </c>
      <c r="L38" s="5">
        <v>6.97</v>
      </c>
      <c r="M38" s="5">
        <v>4.49</v>
      </c>
      <c r="N38" s="5">
        <v>4.49</v>
      </c>
      <c r="O38" s="5">
        <v>4.49</v>
      </c>
      <c r="P38" s="5">
        <v>4.49</v>
      </c>
      <c r="Q38" s="5">
        <v>4.49</v>
      </c>
      <c r="R38" s="5">
        <v>4.49</v>
      </c>
    </row>
    <row r="39" spans="1:18" x14ac:dyDescent="0.25">
      <c r="A39">
        <v>2002</v>
      </c>
      <c r="B39">
        <v>3</v>
      </c>
      <c r="C39">
        <v>2</v>
      </c>
      <c r="D39" t="str">
        <f t="shared" si="0"/>
        <v>DC200203-sem2</v>
      </c>
      <c r="E39" s="1">
        <v>37317</v>
      </c>
      <c r="F39" s="1">
        <v>37323</v>
      </c>
      <c r="G39" s="5">
        <v>4.66</v>
      </c>
      <c r="H39" s="5">
        <v>4.66</v>
      </c>
      <c r="I39" s="5">
        <v>4.66</v>
      </c>
      <c r="J39" s="5">
        <v>4.12</v>
      </c>
      <c r="K39" s="5">
        <v>4.12</v>
      </c>
      <c r="L39" s="5">
        <v>4.12</v>
      </c>
      <c r="M39" s="5">
        <v>4</v>
      </c>
      <c r="N39" s="5">
        <v>4</v>
      </c>
      <c r="O39" s="5">
        <v>4</v>
      </c>
      <c r="P39" s="5">
        <v>4</v>
      </c>
      <c r="Q39" s="5">
        <v>4</v>
      </c>
      <c r="R39" s="5">
        <v>4</v>
      </c>
    </row>
    <row r="40" spans="1:18" x14ac:dyDescent="0.25">
      <c r="A40">
        <v>2002</v>
      </c>
      <c r="B40">
        <v>3</v>
      </c>
      <c r="C40">
        <v>3</v>
      </c>
      <c r="D40" t="str">
        <f t="shared" si="0"/>
        <v>DC200203-sem3</v>
      </c>
      <c r="E40" s="1">
        <v>37324</v>
      </c>
      <c r="F40" s="1">
        <v>37330</v>
      </c>
      <c r="G40" s="5">
        <v>8.6999999999999993</v>
      </c>
      <c r="H40" s="5">
        <v>8.6999999999999993</v>
      </c>
      <c r="I40" s="5">
        <v>8.6999999999999993</v>
      </c>
      <c r="J40" s="5">
        <v>8.3800000000000008</v>
      </c>
      <c r="K40" s="5">
        <v>8.3800000000000008</v>
      </c>
      <c r="L40" s="5">
        <v>8.3800000000000008</v>
      </c>
      <c r="M40" s="5">
        <v>4.88</v>
      </c>
      <c r="N40" s="5">
        <v>4.88</v>
      </c>
      <c r="O40" s="5">
        <v>4.88</v>
      </c>
      <c r="P40" s="5">
        <v>4.88</v>
      </c>
      <c r="Q40" s="5">
        <v>4.88</v>
      </c>
      <c r="R40" s="5">
        <v>4.88</v>
      </c>
    </row>
    <row r="41" spans="1:18" x14ac:dyDescent="0.25">
      <c r="A41">
        <v>2002</v>
      </c>
      <c r="B41">
        <v>3</v>
      </c>
      <c r="C41">
        <v>4</v>
      </c>
      <c r="D41" t="str">
        <f t="shared" si="0"/>
        <v>DC200203-sem4</v>
      </c>
      <c r="E41" s="1">
        <v>37331</v>
      </c>
      <c r="F41" s="1">
        <v>37337</v>
      </c>
      <c r="G41" s="5">
        <v>13.1</v>
      </c>
      <c r="H41" s="5">
        <v>13.1</v>
      </c>
      <c r="I41" s="5">
        <v>13.1</v>
      </c>
      <c r="J41" s="5">
        <v>12.32</v>
      </c>
      <c r="K41" s="5">
        <v>12.32</v>
      </c>
      <c r="L41" s="5">
        <v>12.32</v>
      </c>
      <c r="M41" s="5">
        <v>7.32</v>
      </c>
      <c r="N41" s="5">
        <v>7.32</v>
      </c>
      <c r="O41" s="5">
        <v>7.32</v>
      </c>
      <c r="P41" s="5">
        <v>7.32</v>
      </c>
      <c r="Q41" s="5">
        <v>7.32</v>
      </c>
      <c r="R41" s="5">
        <v>7.32</v>
      </c>
    </row>
    <row r="42" spans="1:18" x14ac:dyDescent="0.25">
      <c r="A42">
        <v>2002</v>
      </c>
      <c r="B42">
        <v>3</v>
      </c>
      <c r="C42">
        <v>5</v>
      </c>
      <c r="D42" t="str">
        <f t="shared" si="0"/>
        <v>DC200203-sem5</v>
      </c>
      <c r="E42" s="1">
        <v>37338</v>
      </c>
      <c r="F42" s="1">
        <v>37344</v>
      </c>
      <c r="G42" s="5">
        <v>12.3</v>
      </c>
      <c r="H42" s="5">
        <v>12.3</v>
      </c>
      <c r="I42" s="5">
        <v>12.3</v>
      </c>
      <c r="J42" s="5">
        <v>11.21</v>
      </c>
      <c r="K42" s="5">
        <v>11.21</v>
      </c>
      <c r="L42" s="5">
        <v>11.21</v>
      </c>
      <c r="M42" s="5">
        <v>7.04</v>
      </c>
      <c r="N42" s="5">
        <v>7.04</v>
      </c>
      <c r="O42" s="5">
        <v>7.04</v>
      </c>
      <c r="P42" s="5">
        <v>7.04</v>
      </c>
      <c r="Q42" s="5">
        <v>7.04</v>
      </c>
      <c r="R42" s="5">
        <v>7.04</v>
      </c>
    </row>
    <row r="43" spans="1:18" x14ac:dyDescent="0.25">
      <c r="A43">
        <v>2002</v>
      </c>
      <c r="B43">
        <v>4</v>
      </c>
      <c r="C43">
        <v>1</v>
      </c>
      <c r="D43" t="str">
        <f t="shared" si="0"/>
        <v>DC200204-sem1</v>
      </c>
      <c r="E43" s="1">
        <v>37345</v>
      </c>
      <c r="F43" s="1">
        <v>37351</v>
      </c>
      <c r="G43" s="5">
        <v>11.64</v>
      </c>
      <c r="H43" s="5">
        <v>11.64</v>
      </c>
      <c r="I43" s="5">
        <v>11.64</v>
      </c>
      <c r="J43" s="5">
        <v>11.64</v>
      </c>
      <c r="K43" s="5">
        <v>11.64</v>
      </c>
      <c r="L43" s="5">
        <v>11.64</v>
      </c>
      <c r="M43" s="5">
        <v>6.17</v>
      </c>
      <c r="N43" s="5">
        <v>6.17</v>
      </c>
      <c r="O43" s="5">
        <v>6.17</v>
      </c>
      <c r="P43" s="5">
        <v>6.17</v>
      </c>
      <c r="Q43" s="5">
        <v>6.17</v>
      </c>
      <c r="R43" s="5">
        <v>6.17</v>
      </c>
    </row>
    <row r="44" spans="1:18" x14ac:dyDescent="0.25">
      <c r="A44">
        <v>2002</v>
      </c>
      <c r="B44">
        <v>4</v>
      </c>
      <c r="C44">
        <v>2</v>
      </c>
      <c r="D44" t="str">
        <f t="shared" si="0"/>
        <v>DC200204-sem2</v>
      </c>
      <c r="E44" s="1">
        <v>37352</v>
      </c>
      <c r="F44" s="1">
        <v>37358</v>
      </c>
      <c r="G44" s="5">
        <v>10.87</v>
      </c>
      <c r="H44" s="5">
        <v>10.87</v>
      </c>
      <c r="I44" s="5">
        <v>10.87</v>
      </c>
      <c r="J44" s="5">
        <v>11.09</v>
      </c>
      <c r="K44" s="5">
        <v>11.09</v>
      </c>
      <c r="L44" s="5">
        <v>11.09</v>
      </c>
      <c r="M44" s="5">
        <v>5.72</v>
      </c>
      <c r="N44" s="5">
        <v>5.72</v>
      </c>
      <c r="O44" s="5">
        <v>5.72</v>
      </c>
      <c r="P44" s="5">
        <v>5.72</v>
      </c>
      <c r="Q44" s="5">
        <v>5.72</v>
      </c>
      <c r="R44" s="5">
        <v>5.72</v>
      </c>
    </row>
    <row r="45" spans="1:18" x14ac:dyDescent="0.25">
      <c r="A45">
        <v>2002</v>
      </c>
      <c r="B45">
        <v>4</v>
      </c>
      <c r="C45">
        <v>3</v>
      </c>
      <c r="D45" t="str">
        <f t="shared" si="0"/>
        <v>DC200204-sem3</v>
      </c>
      <c r="E45" s="1">
        <v>37359</v>
      </c>
      <c r="F45" s="1">
        <v>37365</v>
      </c>
      <c r="G45" s="5">
        <v>15.84</v>
      </c>
      <c r="H45" s="5">
        <v>15.84</v>
      </c>
      <c r="I45" s="5">
        <v>15.84</v>
      </c>
      <c r="J45" s="5">
        <v>17.03</v>
      </c>
      <c r="K45" s="5">
        <v>17.03</v>
      </c>
      <c r="L45" s="5">
        <v>17.03</v>
      </c>
      <c r="M45" s="5">
        <v>8.7100000000000009</v>
      </c>
      <c r="N45" s="5">
        <v>8.7100000000000009</v>
      </c>
      <c r="O45" s="5">
        <v>8.7100000000000009</v>
      </c>
      <c r="P45" s="5">
        <v>8.7100000000000009</v>
      </c>
      <c r="Q45" s="5">
        <v>8.7100000000000009</v>
      </c>
      <c r="R45" s="5">
        <v>8.7100000000000009</v>
      </c>
    </row>
    <row r="46" spans="1:18" x14ac:dyDescent="0.25">
      <c r="A46">
        <v>2002</v>
      </c>
      <c r="B46">
        <v>4</v>
      </c>
      <c r="C46">
        <v>4</v>
      </c>
      <c r="D46" t="str">
        <f t="shared" si="0"/>
        <v>DC200204-sem4</v>
      </c>
      <c r="E46" s="1">
        <v>37366</v>
      </c>
      <c r="F46" s="1">
        <v>37372</v>
      </c>
      <c r="G46" s="5">
        <v>15.96</v>
      </c>
      <c r="H46" s="5">
        <v>15.96</v>
      </c>
      <c r="I46" s="5">
        <v>15.96</v>
      </c>
      <c r="J46" s="5">
        <v>16.37</v>
      </c>
      <c r="K46" s="5">
        <v>16.37</v>
      </c>
      <c r="L46" s="5">
        <v>16.37</v>
      </c>
      <c r="M46" s="5">
        <v>8.75</v>
      </c>
      <c r="N46" s="5">
        <v>8.75</v>
      </c>
      <c r="O46" s="5">
        <v>8.75</v>
      </c>
      <c r="P46" s="5">
        <v>8.75</v>
      </c>
      <c r="Q46" s="5">
        <v>8.75</v>
      </c>
      <c r="R46" s="5">
        <v>8.75</v>
      </c>
    </row>
    <row r="47" spans="1:18" x14ac:dyDescent="0.25">
      <c r="A47">
        <v>2002</v>
      </c>
      <c r="B47">
        <v>5</v>
      </c>
      <c r="C47">
        <v>1</v>
      </c>
      <c r="D47" t="str">
        <f t="shared" si="0"/>
        <v>DC200205-sem1</v>
      </c>
      <c r="E47" s="1">
        <v>37373</v>
      </c>
      <c r="F47" s="1">
        <v>37379</v>
      </c>
      <c r="G47" s="5">
        <v>20.57</v>
      </c>
      <c r="H47" s="5">
        <v>20.09</v>
      </c>
      <c r="I47" s="5">
        <v>20.03</v>
      </c>
      <c r="J47" s="5">
        <v>20.420000000000002</v>
      </c>
      <c r="K47" s="5">
        <v>20.09</v>
      </c>
      <c r="L47" s="5">
        <v>20.03</v>
      </c>
      <c r="M47" s="5">
        <v>4</v>
      </c>
      <c r="N47" s="5">
        <v>4</v>
      </c>
      <c r="O47" s="5">
        <v>4</v>
      </c>
      <c r="P47" s="5">
        <v>20.57</v>
      </c>
      <c r="Q47" s="5">
        <v>20.09</v>
      </c>
      <c r="R47" s="5">
        <v>20.03</v>
      </c>
    </row>
    <row r="48" spans="1:18" x14ac:dyDescent="0.25">
      <c r="A48">
        <v>2002</v>
      </c>
      <c r="B48">
        <v>5</v>
      </c>
      <c r="C48">
        <v>2</v>
      </c>
      <c r="D48" t="str">
        <f t="shared" si="0"/>
        <v>DC200205-sem2</v>
      </c>
      <c r="E48" s="1">
        <v>37380</v>
      </c>
      <c r="F48" s="1">
        <v>37386</v>
      </c>
      <c r="G48" s="5">
        <v>27.19</v>
      </c>
      <c r="H48" s="5">
        <v>25.24</v>
      </c>
      <c r="I48" s="5">
        <v>24.87</v>
      </c>
      <c r="J48" s="5">
        <v>27.19</v>
      </c>
      <c r="K48" s="5">
        <v>26.82</v>
      </c>
      <c r="L48" s="5">
        <v>26.29</v>
      </c>
      <c r="M48" s="5">
        <v>4.38</v>
      </c>
      <c r="N48" s="5">
        <v>4.38</v>
      </c>
      <c r="O48" s="5">
        <v>4.38</v>
      </c>
      <c r="P48" s="5">
        <v>27.19</v>
      </c>
      <c r="Q48" s="5">
        <v>25.24</v>
      </c>
      <c r="R48" s="5">
        <v>24.87</v>
      </c>
    </row>
    <row r="49" spans="1:18" x14ac:dyDescent="0.25">
      <c r="A49">
        <v>2002</v>
      </c>
      <c r="B49">
        <v>5</v>
      </c>
      <c r="C49">
        <v>3</v>
      </c>
      <c r="D49" t="str">
        <f t="shared" si="0"/>
        <v>DC200205-sem3</v>
      </c>
      <c r="E49" s="1">
        <v>37387</v>
      </c>
      <c r="F49" s="1">
        <v>37393</v>
      </c>
      <c r="G49" s="5">
        <v>19.579999999999998</v>
      </c>
      <c r="H49" s="5">
        <v>19.059999999999999</v>
      </c>
      <c r="I49" s="5">
        <v>18.61</v>
      </c>
      <c r="J49" s="5">
        <v>20.43</v>
      </c>
      <c r="K49" s="5">
        <v>20.170000000000002</v>
      </c>
      <c r="L49" s="5">
        <v>19.989999999999998</v>
      </c>
      <c r="M49" s="5">
        <v>4</v>
      </c>
      <c r="N49" s="5">
        <v>4</v>
      </c>
      <c r="O49" s="5">
        <v>4</v>
      </c>
      <c r="P49" s="5">
        <v>4</v>
      </c>
      <c r="Q49" s="5">
        <v>4</v>
      </c>
      <c r="R49" s="5">
        <v>4</v>
      </c>
    </row>
    <row r="50" spans="1:18" x14ac:dyDescent="0.25">
      <c r="A50">
        <v>2002</v>
      </c>
      <c r="B50">
        <v>5</v>
      </c>
      <c r="C50">
        <v>4</v>
      </c>
      <c r="D50" t="str">
        <f t="shared" si="0"/>
        <v>DC200205-sem4</v>
      </c>
      <c r="E50" s="1">
        <v>37394</v>
      </c>
      <c r="F50" s="1">
        <v>37400</v>
      </c>
      <c r="G50" s="5">
        <v>21.17</v>
      </c>
      <c r="H50" s="5">
        <v>20.86</v>
      </c>
      <c r="I50" s="5">
        <v>20.86</v>
      </c>
      <c r="J50" s="5">
        <v>23.17</v>
      </c>
      <c r="K50" s="5">
        <v>22.83</v>
      </c>
      <c r="L50" s="5">
        <v>22.81</v>
      </c>
      <c r="M50" s="5">
        <v>4.13</v>
      </c>
      <c r="N50" s="5">
        <v>4.13</v>
      </c>
      <c r="O50" s="5">
        <v>4.13</v>
      </c>
      <c r="P50" s="5">
        <v>4.13</v>
      </c>
      <c r="Q50" s="5">
        <v>4.13</v>
      </c>
      <c r="R50" s="5">
        <v>4.13</v>
      </c>
    </row>
    <row r="51" spans="1:18" x14ac:dyDescent="0.25">
      <c r="A51">
        <v>2002</v>
      </c>
      <c r="B51">
        <v>5</v>
      </c>
      <c r="C51">
        <v>5</v>
      </c>
      <c r="D51" t="str">
        <f t="shared" si="0"/>
        <v>DC200205-sem5</v>
      </c>
      <c r="E51" s="1">
        <v>37401</v>
      </c>
      <c r="F51" s="1">
        <v>37407</v>
      </c>
      <c r="G51" s="5">
        <v>14.51</v>
      </c>
      <c r="H51" s="5">
        <v>13.83</v>
      </c>
      <c r="I51" s="5">
        <v>11.11</v>
      </c>
      <c r="J51" s="5">
        <v>11.67</v>
      </c>
      <c r="K51" s="5">
        <v>11.47</v>
      </c>
      <c r="L51" s="5">
        <v>11.11</v>
      </c>
      <c r="M51" s="5">
        <v>4</v>
      </c>
      <c r="N51" s="5">
        <v>4</v>
      </c>
      <c r="O51" s="5">
        <v>4</v>
      </c>
      <c r="P51" s="5">
        <v>4</v>
      </c>
      <c r="Q51" s="5">
        <v>4</v>
      </c>
      <c r="R51" s="5">
        <v>4</v>
      </c>
    </row>
    <row r="52" spans="1:18" x14ac:dyDescent="0.25">
      <c r="A52">
        <v>2002</v>
      </c>
      <c r="B52">
        <v>6</v>
      </c>
      <c r="C52">
        <v>1</v>
      </c>
      <c r="D52" t="str">
        <f t="shared" si="0"/>
        <v>DC200206-sem1</v>
      </c>
      <c r="E52" s="1">
        <v>37408</v>
      </c>
      <c r="F52" s="1">
        <v>37414</v>
      </c>
      <c r="G52" s="5">
        <v>9.4</v>
      </c>
      <c r="H52" s="5">
        <v>9.09</v>
      </c>
      <c r="I52" s="5">
        <v>8.51</v>
      </c>
      <c r="J52" s="5">
        <v>4</v>
      </c>
      <c r="K52" s="5">
        <v>4</v>
      </c>
      <c r="L52" s="5">
        <v>4</v>
      </c>
      <c r="M52" s="5">
        <v>5.57</v>
      </c>
      <c r="N52" s="5">
        <v>5.57</v>
      </c>
      <c r="O52" s="5">
        <v>5.57</v>
      </c>
      <c r="P52" s="5">
        <v>5.57</v>
      </c>
      <c r="Q52" s="5">
        <v>5.57</v>
      </c>
      <c r="R52" s="5">
        <v>5.57</v>
      </c>
    </row>
    <row r="53" spans="1:18" x14ac:dyDescent="0.25">
      <c r="A53">
        <v>2002</v>
      </c>
      <c r="B53">
        <v>6</v>
      </c>
      <c r="C53">
        <v>2</v>
      </c>
      <c r="D53" t="str">
        <f t="shared" si="0"/>
        <v>DC200206-sem2</v>
      </c>
      <c r="E53" s="1">
        <v>37415</v>
      </c>
      <c r="F53" s="1">
        <v>37421</v>
      </c>
      <c r="G53" s="5">
        <v>14.52</v>
      </c>
      <c r="H53" s="5">
        <v>14.21</v>
      </c>
      <c r="I53" s="5">
        <v>14.13</v>
      </c>
      <c r="J53" s="5">
        <v>14.42</v>
      </c>
      <c r="K53" s="5">
        <v>14.21</v>
      </c>
      <c r="L53" s="5">
        <v>13.96</v>
      </c>
      <c r="M53" s="5">
        <v>7.69</v>
      </c>
      <c r="N53" s="5">
        <v>7.69</v>
      </c>
      <c r="O53" s="5">
        <v>7.69</v>
      </c>
      <c r="P53" s="5">
        <v>7.69</v>
      </c>
      <c r="Q53" s="5">
        <v>7.69</v>
      </c>
      <c r="R53" s="5">
        <v>4.7</v>
      </c>
    </row>
    <row r="54" spans="1:18" x14ac:dyDescent="0.25">
      <c r="A54">
        <v>2002</v>
      </c>
      <c r="B54">
        <v>6</v>
      </c>
      <c r="C54">
        <v>3</v>
      </c>
      <c r="D54" t="str">
        <f t="shared" si="0"/>
        <v>DC200206-sem3</v>
      </c>
      <c r="E54" s="1">
        <v>37422</v>
      </c>
      <c r="F54" s="1">
        <v>37428</v>
      </c>
      <c r="G54" s="5">
        <v>14.8</v>
      </c>
      <c r="H54" s="5">
        <v>14.37</v>
      </c>
      <c r="I54" s="5">
        <v>14.37</v>
      </c>
      <c r="J54" s="5">
        <v>14.37</v>
      </c>
      <c r="K54" s="5">
        <v>14.22</v>
      </c>
      <c r="L54" s="5">
        <v>13.31</v>
      </c>
      <c r="M54" s="5">
        <v>7.73</v>
      </c>
      <c r="N54" s="5">
        <v>7.73</v>
      </c>
      <c r="O54" s="5">
        <v>7.73</v>
      </c>
      <c r="P54" s="5">
        <v>7.73</v>
      </c>
      <c r="Q54" s="5">
        <v>7.73</v>
      </c>
      <c r="R54" s="5">
        <v>6.17</v>
      </c>
    </row>
    <row r="55" spans="1:18" x14ac:dyDescent="0.25">
      <c r="A55">
        <v>2002</v>
      </c>
      <c r="B55">
        <v>6</v>
      </c>
      <c r="C55">
        <v>4</v>
      </c>
      <c r="D55" t="str">
        <f t="shared" si="0"/>
        <v>DC200206-sem4</v>
      </c>
      <c r="E55" s="1">
        <v>37429</v>
      </c>
      <c r="F55" s="1">
        <v>37435</v>
      </c>
      <c r="G55" s="5">
        <v>15.75</v>
      </c>
      <c r="H55" s="5">
        <v>15.38</v>
      </c>
      <c r="I55" s="5">
        <v>15.06</v>
      </c>
      <c r="J55" s="5">
        <v>15.06</v>
      </c>
      <c r="K55" s="5">
        <v>14.16</v>
      </c>
      <c r="L55" s="5">
        <v>13.71</v>
      </c>
      <c r="M55" s="5">
        <v>7.61</v>
      </c>
      <c r="N55" s="5">
        <v>7.61</v>
      </c>
      <c r="O55" s="5">
        <v>7.61</v>
      </c>
      <c r="P55" s="5">
        <v>7.61</v>
      </c>
      <c r="Q55" s="5">
        <v>7.61</v>
      </c>
      <c r="R55" s="5">
        <v>4</v>
      </c>
    </row>
    <row r="56" spans="1:18" x14ac:dyDescent="0.25">
      <c r="A56">
        <v>2002</v>
      </c>
      <c r="B56">
        <v>7</v>
      </c>
      <c r="C56">
        <v>1</v>
      </c>
      <c r="D56" t="str">
        <f t="shared" si="0"/>
        <v>DC200207-sem1</v>
      </c>
      <c r="E56" s="1">
        <v>37436</v>
      </c>
      <c r="F56" s="1">
        <v>37442</v>
      </c>
      <c r="G56" s="5">
        <v>16.329999999999998</v>
      </c>
      <c r="H56" s="5">
        <v>15.99</v>
      </c>
      <c r="I56" s="5">
        <v>15.83</v>
      </c>
      <c r="J56" s="5">
        <v>16.149999999999999</v>
      </c>
      <c r="K56" s="5">
        <v>15.99</v>
      </c>
      <c r="L56" s="5">
        <v>15.83</v>
      </c>
      <c r="M56" s="5">
        <v>15.89</v>
      </c>
      <c r="N56" s="5">
        <v>15.89</v>
      </c>
      <c r="O56" s="5">
        <v>15.89</v>
      </c>
      <c r="P56" s="5">
        <v>15.89</v>
      </c>
      <c r="Q56" s="5">
        <v>15.89</v>
      </c>
      <c r="R56" s="5">
        <v>15.01</v>
      </c>
    </row>
    <row r="57" spans="1:18" x14ac:dyDescent="0.25">
      <c r="A57">
        <v>2002</v>
      </c>
      <c r="B57">
        <v>7</v>
      </c>
      <c r="C57">
        <v>2</v>
      </c>
      <c r="D57" t="str">
        <f t="shared" si="0"/>
        <v>DC200207-sem2</v>
      </c>
      <c r="E57" s="1">
        <v>37443</v>
      </c>
      <c r="F57" s="1">
        <v>37449</v>
      </c>
      <c r="G57" s="5">
        <v>17.93</v>
      </c>
      <c r="H57" s="5">
        <v>17.91</v>
      </c>
      <c r="I57" s="5">
        <v>17.559999999999999</v>
      </c>
      <c r="J57" s="5">
        <v>17.93</v>
      </c>
      <c r="K57" s="5">
        <v>17.91</v>
      </c>
      <c r="L57" s="5">
        <v>17.559999999999999</v>
      </c>
      <c r="M57" s="5">
        <v>17.52</v>
      </c>
      <c r="N57" s="5">
        <v>17.52</v>
      </c>
      <c r="O57" s="5">
        <v>17.52</v>
      </c>
      <c r="P57" s="5">
        <v>17.52</v>
      </c>
      <c r="Q57" s="5">
        <v>17.52</v>
      </c>
      <c r="R57" s="5">
        <v>8.15</v>
      </c>
    </row>
    <row r="58" spans="1:18" x14ac:dyDescent="0.25">
      <c r="A58">
        <v>2002</v>
      </c>
      <c r="B58">
        <v>7</v>
      </c>
      <c r="C58">
        <v>3</v>
      </c>
      <c r="D58" t="str">
        <f t="shared" si="0"/>
        <v>DC200207-sem3</v>
      </c>
      <c r="E58" s="1">
        <v>37450</v>
      </c>
      <c r="F58" s="1">
        <v>37456</v>
      </c>
      <c r="G58" s="5">
        <v>18.04</v>
      </c>
      <c r="H58" s="5">
        <v>17.98</v>
      </c>
      <c r="I58" s="5">
        <v>17.75</v>
      </c>
      <c r="J58" s="5">
        <v>18.04</v>
      </c>
      <c r="K58" s="5">
        <v>17.98</v>
      </c>
      <c r="L58" s="5">
        <v>17.75</v>
      </c>
      <c r="M58" s="5">
        <v>17.350000000000001</v>
      </c>
      <c r="N58" s="5">
        <v>17.350000000000001</v>
      </c>
      <c r="O58" s="5">
        <v>17.350000000000001</v>
      </c>
      <c r="P58" s="5">
        <v>17.350000000000001</v>
      </c>
      <c r="Q58" s="5">
        <v>11.88</v>
      </c>
      <c r="R58" s="5">
        <v>11.12</v>
      </c>
    </row>
    <row r="59" spans="1:18" x14ac:dyDescent="0.25">
      <c r="A59">
        <v>2002</v>
      </c>
      <c r="B59">
        <v>7</v>
      </c>
      <c r="C59">
        <v>4</v>
      </c>
      <c r="D59" t="str">
        <f t="shared" si="0"/>
        <v>DC200207-sem4</v>
      </c>
      <c r="E59" s="1">
        <v>37457</v>
      </c>
      <c r="F59" s="1">
        <v>37463</v>
      </c>
      <c r="G59" s="5">
        <v>16.309999999999999</v>
      </c>
      <c r="H59" s="5">
        <v>16.3</v>
      </c>
      <c r="I59" s="5">
        <v>16.079999999999998</v>
      </c>
      <c r="J59" s="5">
        <v>16.309999999999999</v>
      </c>
      <c r="K59" s="5">
        <v>16.3</v>
      </c>
      <c r="L59" s="5">
        <v>16.079999999999998</v>
      </c>
      <c r="M59" s="5">
        <v>15.59</v>
      </c>
      <c r="N59" s="5">
        <v>15.59</v>
      </c>
      <c r="O59" s="5">
        <v>15.59</v>
      </c>
      <c r="P59" s="5">
        <v>15.59</v>
      </c>
      <c r="Q59" s="5">
        <v>15.59</v>
      </c>
      <c r="R59" s="5">
        <v>6.69</v>
      </c>
    </row>
    <row r="60" spans="1:18" x14ac:dyDescent="0.25">
      <c r="A60">
        <v>2002</v>
      </c>
      <c r="B60">
        <v>8</v>
      </c>
      <c r="C60">
        <v>1</v>
      </c>
      <c r="D60" t="str">
        <f t="shared" si="0"/>
        <v>DC200208-sem1</v>
      </c>
      <c r="E60" s="1">
        <v>37464</v>
      </c>
      <c r="F60" s="1">
        <v>37470</v>
      </c>
      <c r="G60" s="5">
        <v>14.83</v>
      </c>
      <c r="H60" s="5">
        <v>14.71</v>
      </c>
      <c r="I60" s="5">
        <v>14.61</v>
      </c>
      <c r="J60" s="5">
        <v>17.12</v>
      </c>
      <c r="K60" s="5">
        <v>17.12</v>
      </c>
      <c r="L60" s="5">
        <v>14.61</v>
      </c>
      <c r="M60" s="5">
        <v>15.44</v>
      </c>
      <c r="N60" s="5">
        <v>15.44</v>
      </c>
      <c r="O60" s="5">
        <v>15.44</v>
      </c>
      <c r="P60" s="5">
        <v>14.83</v>
      </c>
      <c r="Q60" s="5">
        <v>14.71</v>
      </c>
      <c r="R60" s="5">
        <v>14.61</v>
      </c>
    </row>
    <row r="61" spans="1:18" x14ac:dyDescent="0.25">
      <c r="A61">
        <v>2002</v>
      </c>
      <c r="B61">
        <v>8</v>
      </c>
      <c r="C61">
        <v>2</v>
      </c>
      <c r="D61" t="str">
        <f t="shared" si="0"/>
        <v>DC200208-sem2</v>
      </c>
      <c r="E61" s="1">
        <v>37471</v>
      </c>
      <c r="F61" s="1">
        <v>37477</v>
      </c>
      <c r="G61" s="5">
        <v>13.92</v>
      </c>
      <c r="H61" s="5">
        <v>13.56</v>
      </c>
      <c r="I61" s="5">
        <v>13.56</v>
      </c>
      <c r="J61" s="5">
        <v>16.440000000000001</v>
      </c>
      <c r="K61" s="5">
        <v>16.440000000000001</v>
      </c>
      <c r="L61" s="5">
        <v>13.56</v>
      </c>
      <c r="M61" s="5">
        <v>13.52</v>
      </c>
      <c r="N61" s="5">
        <v>13.52</v>
      </c>
      <c r="O61" s="5">
        <v>13.52</v>
      </c>
      <c r="P61" s="5">
        <v>13.52</v>
      </c>
      <c r="Q61" s="5">
        <v>13.52</v>
      </c>
      <c r="R61" s="5">
        <v>12.92</v>
      </c>
    </row>
    <row r="62" spans="1:18" x14ac:dyDescent="0.25">
      <c r="A62">
        <v>2002</v>
      </c>
      <c r="B62">
        <v>8</v>
      </c>
      <c r="C62">
        <v>3</v>
      </c>
      <c r="D62" t="str">
        <f t="shared" si="0"/>
        <v>DC200208-sem3</v>
      </c>
      <c r="E62" s="1">
        <v>37478</v>
      </c>
      <c r="F62" s="1">
        <v>37484</v>
      </c>
      <c r="G62" s="5">
        <v>9.51</v>
      </c>
      <c r="H62" s="5">
        <v>9.44</v>
      </c>
      <c r="I62" s="5">
        <v>9.39</v>
      </c>
      <c r="J62" s="5">
        <v>9.4700000000000006</v>
      </c>
      <c r="K62" s="5">
        <v>9.44</v>
      </c>
      <c r="L62" s="5">
        <v>9.23</v>
      </c>
      <c r="M62" s="5">
        <v>11.72</v>
      </c>
      <c r="N62" s="5">
        <v>11.72</v>
      </c>
      <c r="O62" s="5">
        <v>11.72</v>
      </c>
      <c r="P62" s="5">
        <v>9.51</v>
      </c>
      <c r="Q62" s="5">
        <v>9.44</v>
      </c>
      <c r="R62" s="5">
        <v>9.39</v>
      </c>
    </row>
    <row r="63" spans="1:18" x14ac:dyDescent="0.25">
      <c r="A63">
        <v>2002</v>
      </c>
      <c r="B63">
        <v>8</v>
      </c>
      <c r="C63">
        <v>4</v>
      </c>
      <c r="D63" t="str">
        <f t="shared" si="0"/>
        <v>DC200208-sem4</v>
      </c>
      <c r="E63" s="1">
        <v>37485</v>
      </c>
      <c r="F63" s="1">
        <v>37491</v>
      </c>
      <c r="G63" s="5">
        <v>10.210000000000001</v>
      </c>
      <c r="H63" s="5">
        <v>10.11</v>
      </c>
      <c r="I63" s="5">
        <v>9.99</v>
      </c>
      <c r="J63" s="5">
        <v>10.11</v>
      </c>
      <c r="K63" s="5">
        <v>10.11</v>
      </c>
      <c r="L63" s="5">
        <v>9.85</v>
      </c>
      <c r="M63" s="5">
        <v>12.41</v>
      </c>
      <c r="N63" s="5">
        <v>12.41</v>
      </c>
      <c r="O63" s="5">
        <v>12.41</v>
      </c>
      <c r="P63" s="5">
        <v>10.210000000000001</v>
      </c>
      <c r="Q63" s="5">
        <v>10.11</v>
      </c>
      <c r="R63" s="5">
        <v>9.99</v>
      </c>
    </row>
    <row r="64" spans="1:18" x14ac:dyDescent="0.25">
      <c r="A64">
        <v>2002</v>
      </c>
      <c r="B64">
        <v>8</v>
      </c>
      <c r="C64">
        <v>5</v>
      </c>
      <c r="D64" t="str">
        <f t="shared" si="0"/>
        <v>DC200208-sem5</v>
      </c>
      <c r="E64" s="1">
        <v>37492</v>
      </c>
      <c r="F64" s="1">
        <v>37498</v>
      </c>
      <c r="G64" s="5">
        <v>12.11</v>
      </c>
      <c r="H64" s="5">
        <v>11.8</v>
      </c>
      <c r="I64" s="5">
        <v>11.79</v>
      </c>
      <c r="J64" s="5">
        <v>12.11</v>
      </c>
      <c r="K64" s="5">
        <v>12</v>
      </c>
      <c r="L64" s="5">
        <v>11.79</v>
      </c>
      <c r="M64" s="5">
        <v>14.07</v>
      </c>
      <c r="N64" s="5">
        <v>14.07</v>
      </c>
      <c r="O64" s="5">
        <v>14.07</v>
      </c>
      <c r="P64" s="5">
        <v>12.11</v>
      </c>
      <c r="Q64" s="5">
        <v>11.8</v>
      </c>
      <c r="R64" s="5">
        <v>11.79</v>
      </c>
    </row>
    <row r="65" spans="1:18" x14ac:dyDescent="0.25">
      <c r="A65">
        <v>2002</v>
      </c>
      <c r="B65">
        <v>9</v>
      </c>
      <c r="C65">
        <v>1</v>
      </c>
      <c r="D65" t="str">
        <f t="shared" si="0"/>
        <v>DC200209-sem1</v>
      </c>
      <c r="E65" s="1">
        <v>37499</v>
      </c>
      <c r="F65" s="1">
        <v>37505</v>
      </c>
      <c r="G65" s="5">
        <v>7</v>
      </c>
      <c r="H65" s="5">
        <v>6.98</v>
      </c>
      <c r="I65" s="5">
        <v>6.85</v>
      </c>
      <c r="J65" s="5">
        <v>7</v>
      </c>
      <c r="K65" s="5">
        <v>6.98</v>
      </c>
      <c r="L65" s="5">
        <v>6.85</v>
      </c>
      <c r="M65" s="5">
        <v>5.93</v>
      </c>
      <c r="N65" s="5">
        <v>5.93</v>
      </c>
      <c r="O65" s="5">
        <v>5.86</v>
      </c>
      <c r="P65" s="5">
        <v>5.93</v>
      </c>
      <c r="Q65" s="5">
        <v>5.93</v>
      </c>
      <c r="R65" s="5">
        <v>5.86</v>
      </c>
    </row>
    <row r="66" spans="1:18" x14ac:dyDescent="0.25">
      <c r="A66">
        <v>2002</v>
      </c>
      <c r="B66">
        <v>9</v>
      </c>
      <c r="C66">
        <v>2</v>
      </c>
      <c r="D66" t="str">
        <f t="shared" si="0"/>
        <v>DC200209-sem2</v>
      </c>
      <c r="E66" s="1">
        <v>37506</v>
      </c>
      <c r="F66" s="1">
        <v>37512</v>
      </c>
      <c r="G66" s="5">
        <v>6.74</v>
      </c>
      <c r="H66" s="5">
        <v>6.51</v>
      </c>
      <c r="I66" s="5">
        <v>6.5</v>
      </c>
      <c r="J66" s="5">
        <v>7.55</v>
      </c>
      <c r="K66" s="5">
        <v>7.55</v>
      </c>
      <c r="L66" s="5">
        <v>6.5</v>
      </c>
      <c r="M66" s="5">
        <v>5.87</v>
      </c>
      <c r="N66" s="5">
        <v>5.81</v>
      </c>
      <c r="O66" s="5">
        <v>5.65</v>
      </c>
      <c r="P66" s="5">
        <v>5.87</v>
      </c>
      <c r="Q66" s="5">
        <v>5.81</v>
      </c>
      <c r="R66" s="5">
        <v>5.65</v>
      </c>
    </row>
    <row r="67" spans="1:18" x14ac:dyDescent="0.25">
      <c r="A67">
        <v>2002</v>
      </c>
      <c r="B67">
        <v>9</v>
      </c>
      <c r="C67">
        <v>3</v>
      </c>
      <c r="D67" t="str">
        <f t="shared" ref="D67:D130" si="1">"DC"&amp;A67&amp;REPT("0",2-LEN(B67))&amp;B67&amp;"-sem"&amp;C67</f>
        <v>DC200209-sem3</v>
      </c>
      <c r="E67" s="1">
        <v>37513</v>
      </c>
      <c r="F67" s="1">
        <v>37519</v>
      </c>
      <c r="G67" s="5">
        <v>6.11</v>
      </c>
      <c r="H67" s="5">
        <v>5.88</v>
      </c>
      <c r="I67" s="5">
        <v>5.86</v>
      </c>
      <c r="J67" s="5">
        <v>6.2</v>
      </c>
      <c r="K67" s="5">
        <v>6.2</v>
      </c>
      <c r="L67" s="5">
        <v>5.86</v>
      </c>
      <c r="M67" s="5">
        <v>5.54</v>
      </c>
      <c r="N67" s="5">
        <v>5.54</v>
      </c>
      <c r="O67" s="5">
        <v>5.54</v>
      </c>
      <c r="P67" s="5">
        <v>5.54</v>
      </c>
      <c r="Q67" s="5">
        <v>5.54</v>
      </c>
      <c r="R67" s="5">
        <v>5.54</v>
      </c>
    </row>
    <row r="68" spans="1:18" x14ac:dyDescent="0.25">
      <c r="A68">
        <v>2002</v>
      </c>
      <c r="B68">
        <v>9</v>
      </c>
      <c r="C68">
        <v>4</v>
      </c>
      <c r="D68" t="str">
        <f t="shared" si="1"/>
        <v>DC200209-sem4</v>
      </c>
      <c r="E68" s="1">
        <v>37520</v>
      </c>
      <c r="F68" s="1">
        <v>37526</v>
      </c>
      <c r="G68" s="5">
        <v>4.99</v>
      </c>
      <c r="H68" s="5">
        <v>4.87</v>
      </c>
      <c r="I68" s="5">
        <v>4.83</v>
      </c>
      <c r="J68" s="5">
        <v>4.83</v>
      </c>
      <c r="K68" s="5">
        <v>4.83</v>
      </c>
      <c r="L68" s="5">
        <v>4.59</v>
      </c>
      <c r="M68" s="5">
        <v>4.93</v>
      </c>
      <c r="N68" s="5">
        <v>4.87</v>
      </c>
      <c r="O68" s="5">
        <v>4.83</v>
      </c>
      <c r="P68" s="5">
        <v>4.93</v>
      </c>
      <c r="Q68" s="5">
        <v>4.87</v>
      </c>
      <c r="R68" s="5">
        <v>4.83</v>
      </c>
    </row>
    <row r="69" spans="1:18" x14ac:dyDescent="0.25">
      <c r="A69">
        <v>2002</v>
      </c>
      <c r="B69">
        <v>10</v>
      </c>
      <c r="C69">
        <v>1</v>
      </c>
      <c r="D69" t="str">
        <f t="shared" si="1"/>
        <v>DC200210-sem1</v>
      </c>
      <c r="E69" s="1">
        <v>37527</v>
      </c>
      <c r="F69" s="1">
        <v>37533</v>
      </c>
      <c r="G69" s="5">
        <v>4</v>
      </c>
      <c r="H69" s="5">
        <v>4</v>
      </c>
      <c r="I69" s="5">
        <v>4</v>
      </c>
      <c r="J69" s="5">
        <v>4</v>
      </c>
      <c r="K69" s="5">
        <v>4</v>
      </c>
      <c r="L69" s="5">
        <v>4</v>
      </c>
      <c r="M69" s="5">
        <v>4</v>
      </c>
      <c r="N69" s="5">
        <v>4</v>
      </c>
      <c r="O69" s="5">
        <v>4</v>
      </c>
      <c r="P69" s="5">
        <v>4</v>
      </c>
      <c r="Q69" s="5">
        <v>4</v>
      </c>
      <c r="R69" s="5">
        <v>4</v>
      </c>
    </row>
    <row r="70" spans="1:18" x14ac:dyDescent="0.25">
      <c r="A70">
        <v>2002</v>
      </c>
      <c r="B70">
        <v>10</v>
      </c>
      <c r="C70">
        <v>2</v>
      </c>
      <c r="D70" t="str">
        <f t="shared" si="1"/>
        <v>DC200210-sem2</v>
      </c>
      <c r="E70" s="1">
        <v>37534</v>
      </c>
      <c r="F70" s="1">
        <v>37540</v>
      </c>
      <c r="G70" s="5">
        <v>4</v>
      </c>
      <c r="H70" s="5">
        <v>4</v>
      </c>
      <c r="I70" s="5">
        <v>4</v>
      </c>
      <c r="J70" s="5">
        <v>4</v>
      </c>
      <c r="K70" s="5">
        <v>4</v>
      </c>
      <c r="L70" s="5">
        <v>4</v>
      </c>
      <c r="M70" s="5">
        <v>4</v>
      </c>
      <c r="N70" s="5">
        <v>4</v>
      </c>
      <c r="O70" s="5">
        <v>4</v>
      </c>
      <c r="P70" s="5">
        <v>4</v>
      </c>
      <c r="Q70" s="5">
        <v>4</v>
      </c>
      <c r="R70" s="5">
        <v>4</v>
      </c>
    </row>
    <row r="71" spans="1:18" x14ac:dyDescent="0.25">
      <c r="A71">
        <v>2002</v>
      </c>
      <c r="B71">
        <v>10</v>
      </c>
      <c r="C71">
        <v>3</v>
      </c>
      <c r="D71" t="str">
        <f t="shared" si="1"/>
        <v>DC200210-sem3</v>
      </c>
      <c r="E71" s="1">
        <v>37541</v>
      </c>
      <c r="F71" s="1">
        <v>37547</v>
      </c>
      <c r="G71" s="5">
        <v>4.3499999999999996</v>
      </c>
      <c r="H71" s="5">
        <v>4.13</v>
      </c>
      <c r="I71" s="5">
        <v>4</v>
      </c>
      <c r="J71" s="5">
        <v>4</v>
      </c>
      <c r="K71" s="5">
        <v>4</v>
      </c>
      <c r="L71" s="5">
        <v>4</v>
      </c>
      <c r="M71" s="5">
        <v>4.0599999999999996</v>
      </c>
      <c r="N71" s="5">
        <v>4</v>
      </c>
      <c r="O71" s="5">
        <v>4</v>
      </c>
      <c r="P71" s="5">
        <v>4.0599999999999996</v>
      </c>
      <c r="Q71" s="5">
        <v>4</v>
      </c>
      <c r="R71" s="5">
        <v>4</v>
      </c>
    </row>
    <row r="72" spans="1:18" x14ac:dyDescent="0.25">
      <c r="A72">
        <v>2002</v>
      </c>
      <c r="B72">
        <v>10</v>
      </c>
      <c r="C72">
        <v>4</v>
      </c>
      <c r="D72" t="str">
        <f t="shared" si="1"/>
        <v>DC200210-sem4</v>
      </c>
      <c r="E72" s="1">
        <v>37548</v>
      </c>
      <c r="F72" s="1">
        <v>37554</v>
      </c>
      <c r="G72" s="5">
        <v>5.03</v>
      </c>
      <c r="H72" s="5">
        <v>4.8899999999999997</v>
      </c>
      <c r="I72" s="5">
        <v>4.8</v>
      </c>
      <c r="J72" s="5">
        <v>4</v>
      </c>
      <c r="K72" s="5">
        <v>4</v>
      </c>
      <c r="L72" s="5">
        <v>4</v>
      </c>
      <c r="M72" s="5">
        <v>4.67</v>
      </c>
      <c r="N72" s="5">
        <v>4.66</v>
      </c>
      <c r="O72" s="5">
        <v>4.55</v>
      </c>
      <c r="P72" s="5">
        <v>4.67</v>
      </c>
      <c r="Q72" s="5">
        <v>4.66</v>
      </c>
      <c r="R72" s="5">
        <v>4.55</v>
      </c>
    </row>
    <row r="73" spans="1:18" x14ac:dyDescent="0.25">
      <c r="A73">
        <v>2002</v>
      </c>
      <c r="B73">
        <v>11</v>
      </c>
      <c r="C73">
        <v>1</v>
      </c>
      <c r="D73" t="str">
        <f t="shared" si="1"/>
        <v>DC200211-sem1</v>
      </c>
      <c r="E73" s="1">
        <v>37555</v>
      </c>
      <c r="F73" s="1">
        <v>37561</v>
      </c>
      <c r="G73" s="5">
        <v>7.29</v>
      </c>
      <c r="H73" s="5">
        <v>7.27</v>
      </c>
      <c r="I73" s="5">
        <v>7.18</v>
      </c>
      <c r="J73" s="5">
        <v>7.29</v>
      </c>
      <c r="K73" s="5">
        <v>7.27</v>
      </c>
      <c r="L73" s="5">
        <v>7.18</v>
      </c>
      <c r="M73" s="5">
        <v>6.77</v>
      </c>
      <c r="N73" s="5">
        <v>6.59</v>
      </c>
      <c r="O73" s="5">
        <v>6.59</v>
      </c>
      <c r="P73" s="5">
        <v>6.77</v>
      </c>
      <c r="Q73" s="5">
        <v>6.59</v>
      </c>
      <c r="R73" s="5">
        <v>6.59</v>
      </c>
    </row>
    <row r="74" spans="1:18" x14ac:dyDescent="0.25">
      <c r="A74">
        <v>2002</v>
      </c>
      <c r="B74">
        <v>11</v>
      </c>
      <c r="C74">
        <v>2</v>
      </c>
      <c r="D74" t="str">
        <f t="shared" si="1"/>
        <v>DC200211-sem2</v>
      </c>
      <c r="E74" s="1">
        <v>37562</v>
      </c>
      <c r="F74" s="1">
        <v>37568</v>
      </c>
      <c r="G74" s="5">
        <v>7.5</v>
      </c>
      <c r="H74" s="5">
        <v>7.27</v>
      </c>
      <c r="I74" s="5">
        <v>7.09</v>
      </c>
      <c r="J74" s="5">
        <v>4</v>
      </c>
      <c r="K74" s="5">
        <v>4</v>
      </c>
      <c r="L74" s="5">
        <v>4</v>
      </c>
      <c r="M74" s="5">
        <v>6.87</v>
      </c>
      <c r="N74" s="5">
        <v>6.71</v>
      </c>
      <c r="O74" s="5">
        <v>6.71</v>
      </c>
      <c r="P74" s="5">
        <v>6.87</v>
      </c>
      <c r="Q74" s="5">
        <v>6.71</v>
      </c>
      <c r="R74" s="5">
        <v>6.71</v>
      </c>
    </row>
    <row r="75" spans="1:18" x14ac:dyDescent="0.25">
      <c r="A75">
        <v>2002</v>
      </c>
      <c r="B75">
        <v>11</v>
      </c>
      <c r="C75">
        <v>3</v>
      </c>
      <c r="D75" t="str">
        <f t="shared" si="1"/>
        <v>DC200211-sem3</v>
      </c>
      <c r="E75" s="1">
        <v>37569</v>
      </c>
      <c r="F75" s="1">
        <v>37575</v>
      </c>
      <c r="G75" s="5">
        <v>6.15</v>
      </c>
      <c r="H75" s="5">
        <v>6</v>
      </c>
      <c r="I75" s="5">
        <v>5.78</v>
      </c>
      <c r="J75" s="5">
        <v>4</v>
      </c>
      <c r="K75" s="5">
        <v>4</v>
      </c>
      <c r="L75" s="5">
        <v>4</v>
      </c>
      <c r="M75" s="5">
        <v>5.88</v>
      </c>
      <c r="N75" s="5">
        <v>5.64</v>
      </c>
      <c r="O75" s="5">
        <v>5.64</v>
      </c>
      <c r="P75" s="5">
        <v>6</v>
      </c>
      <c r="Q75" s="5">
        <v>5.85</v>
      </c>
      <c r="R75" s="5">
        <v>5.64</v>
      </c>
    </row>
    <row r="76" spans="1:18" x14ac:dyDescent="0.25">
      <c r="A76">
        <v>2002</v>
      </c>
      <c r="B76">
        <v>11</v>
      </c>
      <c r="C76">
        <v>4</v>
      </c>
      <c r="D76" t="str">
        <f t="shared" si="1"/>
        <v>DC200211-sem4</v>
      </c>
      <c r="E76" s="1">
        <v>37576</v>
      </c>
      <c r="F76" s="1">
        <v>37582</v>
      </c>
      <c r="G76" s="5">
        <v>6.36</v>
      </c>
      <c r="H76" s="5">
        <v>6.29</v>
      </c>
      <c r="I76" s="5">
        <v>6.26</v>
      </c>
      <c r="J76" s="5">
        <v>4</v>
      </c>
      <c r="K76" s="5">
        <v>4</v>
      </c>
      <c r="L76" s="5">
        <v>4</v>
      </c>
      <c r="M76" s="5">
        <v>6.04</v>
      </c>
      <c r="N76" s="5">
        <v>5.88</v>
      </c>
      <c r="O76" s="5">
        <v>5.88</v>
      </c>
      <c r="P76" s="5">
        <v>6.05</v>
      </c>
      <c r="Q76" s="5">
        <v>5.88</v>
      </c>
      <c r="R76" s="5">
        <v>5.88</v>
      </c>
    </row>
    <row r="77" spans="1:18" x14ac:dyDescent="0.25">
      <c r="A77">
        <v>2002</v>
      </c>
      <c r="B77">
        <v>11</v>
      </c>
      <c r="C77">
        <v>5</v>
      </c>
      <c r="D77" t="str">
        <f t="shared" si="1"/>
        <v>DC200211-sem5</v>
      </c>
      <c r="E77" s="1">
        <v>37583</v>
      </c>
      <c r="F77" s="1">
        <v>37589</v>
      </c>
      <c r="G77" s="5">
        <v>6.58</v>
      </c>
      <c r="H77" s="5">
        <v>6.46</v>
      </c>
      <c r="I77" s="5">
        <v>6.18</v>
      </c>
      <c r="J77" s="5">
        <v>5.83</v>
      </c>
      <c r="K77" s="5">
        <v>5.83</v>
      </c>
      <c r="L77" s="5">
        <v>5.39</v>
      </c>
      <c r="M77" s="5">
        <v>5.69</v>
      </c>
      <c r="N77" s="5">
        <v>5.67</v>
      </c>
      <c r="O77" s="5">
        <v>5.67</v>
      </c>
      <c r="P77" s="5">
        <v>7.44</v>
      </c>
      <c r="Q77" s="5">
        <v>7.44</v>
      </c>
      <c r="R77" s="5">
        <v>6.18</v>
      </c>
    </row>
    <row r="78" spans="1:18" x14ac:dyDescent="0.25">
      <c r="A78">
        <v>2002</v>
      </c>
      <c r="B78">
        <v>12</v>
      </c>
      <c r="C78">
        <v>1</v>
      </c>
      <c r="D78" t="str">
        <f t="shared" si="1"/>
        <v>DC200212-sem1</v>
      </c>
      <c r="E78" s="1">
        <v>37590</v>
      </c>
      <c r="F78" s="1">
        <v>37596</v>
      </c>
      <c r="G78" s="5">
        <v>5.66</v>
      </c>
      <c r="H78" s="5">
        <v>5.61</v>
      </c>
      <c r="I78" s="5">
        <v>5.51</v>
      </c>
      <c r="J78" s="5">
        <v>5.21</v>
      </c>
      <c r="K78" s="5">
        <v>5.21</v>
      </c>
      <c r="L78" s="5">
        <v>5.14</v>
      </c>
      <c r="M78" s="5">
        <v>5.66</v>
      </c>
      <c r="N78" s="5">
        <v>5.66</v>
      </c>
      <c r="O78" s="5">
        <v>5.66</v>
      </c>
      <c r="P78" s="5">
        <v>5.84</v>
      </c>
      <c r="Q78" s="5">
        <v>5.84</v>
      </c>
      <c r="R78" s="5">
        <v>5.84</v>
      </c>
    </row>
    <row r="79" spans="1:18" x14ac:dyDescent="0.25">
      <c r="A79">
        <v>2002</v>
      </c>
      <c r="B79">
        <v>12</v>
      </c>
      <c r="C79">
        <v>2</v>
      </c>
      <c r="D79" t="str">
        <f t="shared" si="1"/>
        <v>DC200212-sem2</v>
      </c>
      <c r="E79" s="1">
        <v>37597</v>
      </c>
      <c r="F79" s="1">
        <v>37603</v>
      </c>
      <c r="G79" s="5">
        <v>5.74</v>
      </c>
      <c r="H79" s="5">
        <v>5.7</v>
      </c>
      <c r="I79" s="5">
        <v>5.54</v>
      </c>
      <c r="J79" s="5">
        <v>4</v>
      </c>
      <c r="K79" s="5">
        <v>4</v>
      </c>
      <c r="L79" s="5">
        <v>4</v>
      </c>
      <c r="M79" s="5">
        <v>5.74</v>
      </c>
      <c r="N79" s="5">
        <v>5.74</v>
      </c>
      <c r="O79" s="5">
        <v>5.74</v>
      </c>
      <c r="P79" s="5">
        <v>7.27</v>
      </c>
      <c r="Q79" s="5">
        <v>7.27</v>
      </c>
      <c r="R79" s="5">
        <v>6.97</v>
      </c>
    </row>
    <row r="80" spans="1:18" x14ac:dyDescent="0.25">
      <c r="A80">
        <v>2002</v>
      </c>
      <c r="B80">
        <v>12</v>
      </c>
      <c r="C80">
        <v>3</v>
      </c>
      <c r="D80" t="str">
        <f t="shared" si="1"/>
        <v>DC200212-sem3</v>
      </c>
      <c r="E80" s="1">
        <v>37604</v>
      </c>
      <c r="F80" s="1">
        <v>37610</v>
      </c>
      <c r="G80" s="5">
        <v>5.73</v>
      </c>
      <c r="H80" s="5">
        <v>5.67</v>
      </c>
      <c r="I80" s="5">
        <v>5.57</v>
      </c>
      <c r="J80" s="5">
        <v>4</v>
      </c>
      <c r="K80" s="5">
        <v>4</v>
      </c>
      <c r="L80" s="5">
        <v>4</v>
      </c>
      <c r="M80" s="5">
        <v>6.13</v>
      </c>
      <c r="N80" s="5">
        <v>6.13</v>
      </c>
      <c r="O80" s="5">
        <v>6.13</v>
      </c>
      <c r="P80" s="5">
        <v>9.61</v>
      </c>
      <c r="Q80" s="5">
        <v>9.61</v>
      </c>
      <c r="R80" s="5">
        <v>9.2100000000000009</v>
      </c>
    </row>
    <row r="81" spans="1:18" x14ac:dyDescent="0.25">
      <c r="A81">
        <v>2002</v>
      </c>
      <c r="B81">
        <v>12</v>
      </c>
      <c r="C81">
        <v>4</v>
      </c>
      <c r="D81" t="str">
        <f t="shared" si="1"/>
        <v>DC200212-sem4</v>
      </c>
      <c r="E81" s="1">
        <v>37611</v>
      </c>
      <c r="F81" s="1">
        <v>37617</v>
      </c>
      <c r="G81" s="5">
        <v>4</v>
      </c>
      <c r="H81" s="5">
        <v>4</v>
      </c>
      <c r="I81" s="5">
        <v>4</v>
      </c>
      <c r="J81" s="5">
        <v>4</v>
      </c>
      <c r="K81" s="5">
        <v>4</v>
      </c>
      <c r="L81" s="5">
        <v>4</v>
      </c>
      <c r="M81" s="5">
        <v>4.01</v>
      </c>
      <c r="N81" s="5">
        <v>4.01</v>
      </c>
      <c r="O81" s="5">
        <v>4.01</v>
      </c>
      <c r="P81" s="5">
        <v>4.01</v>
      </c>
      <c r="Q81" s="5">
        <v>4.01</v>
      </c>
      <c r="R81" s="5">
        <v>4.01</v>
      </c>
    </row>
    <row r="82" spans="1:18" x14ac:dyDescent="0.25">
      <c r="A82">
        <v>2003</v>
      </c>
      <c r="B82">
        <v>1</v>
      </c>
      <c r="C82">
        <v>1</v>
      </c>
      <c r="D82" t="str">
        <f t="shared" si="1"/>
        <v>DC200301-sem1</v>
      </c>
      <c r="E82" s="1">
        <v>37618</v>
      </c>
      <c r="F82" s="1">
        <v>37624</v>
      </c>
      <c r="G82" s="5">
        <v>4</v>
      </c>
      <c r="H82" s="5">
        <v>4</v>
      </c>
      <c r="I82" s="5">
        <v>4</v>
      </c>
      <c r="J82" s="5">
        <v>4</v>
      </c>
      <c r="K82" s="5">
        <v>4</v>
      </c>
      <c r="L82" s="5">
        <v>4</v>
      </c>
      <c r="M82" s="5">
        <v>4</v>
      </c>
      <c r="N82" s="5">
        <v>4</v>
      </c>
      <c r="O82" s="5">
        <v>4</v>
      </c>
      <c r="P82" s="5">
        <v>4</v>
      </c>
      <c r="Q82" s="5">
        <v>4</v>
      </c>
      <c r="R82" s="5">
        <v>4</v>
      </c>
    </row>
    <row r="83" spans="1:18" x14ac:dyDescent="0.25">
      <c r="A83">
        <v>2003</v>
      </c>
      <c r="B83">
        <v>1</v>
      </c>
      <c r="C83">
        <v>2</v>
      </c>
      <c r="D83" t="str">
        <f t="shared" si="1"/>
        <v>DC200301-sem2</v>
      </c>
      <c r="E83" s="1">
        <v>37625</v>
      </c>
      <c r="F83" s="1">
        <v>37631</v>
      </c>
      <c r="G83" s="5">
        <v>4.18</v>
      </c>
      <c r="H83" s="5">
        <v>4.17</v>
      </c>
      <c r="I83" s="5">
        <v>4.17</v>
      </c>
      <c r="J83" s="5">
        <v>4.16</v>
      </c>
      <c r="K83" s="5">
        <v>4.16</v>
      </c>
      <c r="L83" s="5">
        <v>4</v>
      </c>
      <c r="M83" s="5">
        <v>5.29</v>
      </c>
      <c r="N83" s="5">
        <v>5.25</v>
      </c>
      <c r="O83" s="5">
        <v>5.19</v>
      </c>
      <c r="P83" s="5">
        <v>5.29</v>
      </c>
      <c r="Q83" s="5">
        <v>5.25</v>
      </c>
      <c r="R83" s="5">
        <v>5.19</v>
      </c>
    </row>
    <row r="84" spans="1:18" x14ac:dyDescent="0.25">
      <c r="A84">
        <v>2003</v>
      </c>
      <c r="B84">
        <v>1</v>
      </c>
      <c r="C84">
        <v>3</v>
      </c>
      <c r="D84" t="str">
        <f t="shared" si="1"/>
        <v>DC200301-sem3</v>
      </c>
      <c r="E84" s="1">
        <v>37632</v>
      </c>
      <c r="F84" s="1">
        <v>37638</v>
      </c>
      <c r="G84" s="5">
        <v>4</v>
      </c>
      <c r="H84" s="5">
        <v>4</v>
      </c>
      <c r="I84" s="5">
        <v>4</v>
      </c>
      <c r="J84" s="5">
        <v>4</v>
      </c>
      <c r="K84" s="5">
        <v>4</v>
      </c>
      <c r="L84" s="5">
        <v>4</v>
      </c>
      <c r="M84" s="5">
        <v>4</v>
      </c>
      <c r="N84" s="5">
        <v>4</v>
      </c>
      <c r="O84" s="5">
        <v>4</v>
      </c>
      <c r="P84" s="5">
        <v>4</v>
      </c>
      <c r="Q84" s="5">
        <v>4</v>
      </c>
      <c r="R84" s="5">
        <v>4</v>
      </c>
    </row>
    <row r="85" spans="1:18" x14ac:dyDescent="0.25">
      <c r="A85">
        <v>2003</v>
      </c>
      <c r="B85">
        <v>1</v>
      </c>
      <c r="C85">
        <v>4</v>
      </c>
      <c r="D85" t="str">
        <f t="shared" si="1"/>
        <v>DC200301-sem4</v>
      </c>
      <c r="E85" s="1">
        <v>37639</v>
      </c>
      <c r="F85" s="1">
        <v>37645</v>
      </c>
      <c r="G85" s="5">
        <v>4.12</v>
      </c>
      <c r="H85" s="5">
        <v>4.09</v>
      </c>
      <c r="I85" s="5">
        <v>4.01</v>
      </c>
      <c r="J85" s="5">
        <v>4</v>
      </c>
      <c r="K85" s="5">
        <v>4</v>
      </c>
      <c r="L85" s="5">
        <v>4</v>
      </c>
      <c r="M85" s="5">
        <v>4.25</v>
      </c>
      <c r="N85" s="5">
        <v>4.25</v>
      </c>
      <c r="O85" s="5">
        <v>4.25</v>
      </c>
      <c r="P85" s="5">
        <v>4.12</v>
      </c>
      <c r="Q85" s="5">
        <v>4.09</v>
      </c>
      <c r="R85" s="5">
        <v>4.01</v>
      </c>
    </row>
    <row r="86" spans="1:18" x14ac:dyDescent="0.25">
      <c r="A86">
        <v>2003</v>
      </c>
      <c r="B86">
        <v>1</v>
      </c>
      <c r="C86">
        <v>5</v>
      </c>
      <c r="D86" t="str">
        <f t="shared" si="1"/>
        <v>DC200301-sem5</v>
      </c>
      <c r="E86" s="1">
        <v>37646</v>
      </c>
      <c r="F86" s="1">
        <v>37652</v>
      </c>
      <c r="G86" s="5">
        <v>4</v>
      </c>
      <c r="H86" s="5">
        <v>4</v>
      </c>
      <c r="I86" s="5">
        <v>4</v>
      </c>
      <c r="J86" s="5">
        <v>4</v>
      </c>
      <c r="K86" s="5">
        <v>4</v>
      </c>
      <c r="L86" s="5">
        <v>4</v>
      </c>
      <c r="M86" s="5">
        <v>4</v>
      </c>
      <c r="N86" s="5">
        <v>4</v>
      </c>
      <c r="O86" s="5">
        <v>4</v>
      </c>
      <c r="P86" s="5">
        <v>4</v>
      </c>
      <c r="Q86" s="5">
        <v>4</v>
      </c>
      <c r="R86" s="5">
        <v>4</v>
      </c>
    </row>
    <row r="87" spans="1:18" x14ac:dyDescent="0.25">
      <c r="A87">
        <v>2003</v>
      </c>
      <c r="B87">
        <v>2</v>
      </c>
      <c r="C87">
        <v>1</v>
      </c>
      <c r="D87" t="str">
        <f t="shared" si="1"/>
        <v>DC200302-sem1</v>
      </c>
      <c r="E87" s="1">
        <v>37653</v>
      </c>
      <c r="F87" s="1">
        <v>37659</v>
      </c>
      <c r="G87" s="5">
        <v>4</v>
      </c>
      <c r="H87" s="5">
        <v>4</v>
      </c>
      <c r="I87" s="5">
        <v>4</v>
      </c>
      <c r="J87" s="5">
        <v>4</v>
      </c>
      <c r="K87" s="5">
        <v>4</v>
      </c>
      <c r="L87" s="5">
        <v>4</v>
      </c>
      <c r="M87" s="5">
        <v>4</v>
      </c>
      <c r="N87" s="5">
        <v>4</v>
      </c>
      <c r="O87" s="5">
        <v>4</v>
      </c>
      <c r="P87" s="5">
        <v>4</v>
      </c>
      <c r="Q87" s="5">
        <v>4</v>
      </c>
      <c r="R87" s="5">
        <v>4</v>
      </c>
    </row>
    <row r="88" spans="1:18" x14ac:dyDescent="0.25">
      <c r="A88">
        <v>2003</v>
      </c>
      <c r="B88">
        <v>2</v>
      </c>
      <c r="C88">
        <v>2</v>
      </c>
      <c r="D88" t="str">
        <f t="shared" si="1"/>
        <v>DC200302-sem2</v>
      </c>
      <c r="E88" s="1">
        <v>37660</v>
      </c>
      <c r="F88" s="1">
        <v>37666</v>
      </c>
      <c r="G88" s="5">
        <v>4</v>
      </c>
      <c r="H88" s="5">
        <v>4</v>
      </c>
      <c r="I88" s="5">
        <v>4</v>
      </c>
      <c r="J88" s="5">
        <v>4</v>
      </c>
      <c r="K88" s="5">
        <v>4</v>
      </c>
      <c r="L88" s="5">
        <v>4</v>
      </c>
      <c r="M88" s="5">
        <v>4</v>
      </c>
      <c r="N88" s="5">
        <v>4</v>
      </c>
      <c r="O88" s="5">
        <v>4</v>
      </c>
      <c r="P88" s="5">
        <v>4</v>
      </c>
      <c r="Q88" s="5">
        <v>4</v>
      </c>
      <c r="R88" s="5">
        <v>4</v>
      </c>
    </row>
    <row r="89" spans="1:18" x14ac:dyDescent="0.25">
      <c r="A89">
        <v>2003</v>
      </c>
      <c r="B89">
        <v>2</v>
      </c>
      <c r="C89">
        <v>3</v>
      </c>
      <c r="D89" t="str">
        <f t="shared" si="1"/>
        <v>DC200302-sem3</v>
      </c>
      <c r="E89" s="1">
        <v>37667</v>
      </c>
      <c r="F89" s="1">
        <v>37673</v>
      </c>
      <c r="G89" s="5">
        <v>4</v>
      </c>
      <c r="H89" s="5">
        <v>4</v>
      </c>
      <c r="I89" s="5">
        <v>4</v>
      </c>
      <c r="J89" s="5">
        <v>4</v>
      </c>
      <c r="K89" s="5">
        <v>4</v>
      </c>
      <c r="L89" s="5">
        <v>4</v>
      </c>
      <c r="M89" s="5">
        <v>4</v>
      </c>
      <c r="N89" s="5">
        <v>4</v>
      </c>
      <c r="O89" s="5">
        <v>4</v>
      </c>
      <c r="P89" s="5">
        <v>4</v>
      </c>
      <c r="Q89" s="5">
        <v>4</v>
      </c>
      <c r="R89" s="5">
        <v>4</v>
      </c>
    </row>
    <row r="90" spans="1:18" x14ac:dyDescent="0.25">
      <c r="A90">
        <v>2003</v>
      </c>
      <c r="B90">
        <v>2</v>
      </c>
      <c r="C90">
        <v>4</v>
      </c>
      <c r="D90" t="str">
        <f t="shared" si="1"/>
        <v>DC200302-sem4</v>
      </c>
      <c r="E90" s="1">
        <v>37674</v>
      </c>
      <c r="F90" s="1">
        <v>37680</v>
      </c>
      <c r="G90" s="5">
        <v>4</v>
      </c>
      <c r="H90" s="5">
        <v>4</v>
      </c>
      <c r="I90" s="5">
        <v>4</v>
      </c>
      <c r="J90" s="5">
        <v>4</v>
      </c>
      <c r="K90" s="5">
        <v>4</v>
      </c>
      <c r="L90" s="5">
        <v>4</v>
      </c>
      <c r="M90" s="5">
        <v>4</v>
      </c>
      <c r="N90" s="5">
        <v>4</v>
      </c>
      <c r="O90" s="5">
        <v>4</v>
      </c>
      <c r="P90" s="5">
        <v>4</v>
      </c>
      <c r="Q90" s="5">
        <v>4</v>
      </c>
      <c r="R90" s="5">
        <v>4</v>
      </c>
    </row>
    <row r="91" spans="1:18" x14ac:dyDescent="0.25">
      <c r="A91">
        <v>2003</v>
      </c>
      <c r="B91">
        <v>3</v>
      </c>
      <c r="C91">
        <v>1</v>
      </c>
      <c r="D91" t="str">
        <f t="shared" si="1"/>
        <v>DC200303-sem1</v>
      </c>
      <c r="E91" s="1">
        <v>37681</v>
      </c>
      <c r="F91" s="1">
        <v>37687</v>
      </c>
      <c r="G91" s="5">
        <v>4</v>
      </c>
      <c r="H91" s="5">
        <v>4</v>
      </c>
      <c r="I91" s="5">
        <v>4</v>
      </c>
      <c r="J91" s="5">
        <v>4</v>
      </c>
      <c r="K91" s="5">
        <v>4</v>
      </c>
      <c r="L91" s="5">
        <v>4</v>
      </c>
      <c r="M91" s="5">
        <v>4</v>
      </c>
      <c r="N91" s="5">
        <v>4</v>
      </c>
      <c r="O91" s="5">
        <v>4</v>
      </c>
      <c r="P91" s="5">
        <v>4</v>
      </c>
      <c r="Q91" s="5">
        <v>4</v>
      </c>
      <c r="R91" s="5">
        <v>4</v>
      </c>
    </row>
    <row r="92" spans="1:18" x14ac:dyDescent="0.25">
      <c r="A92">
        <v>2003</v>
      </c>
      <c r="B92">
        <v>3</v>
      </c>
      <c r="C92">
        <v>2</v>
      </c>
      <c r="D92" t="str">
        <f t="shared" si="1"/>
        <v>DC200303-sem2</v>
      </c>
      <c r="E92" s="1">
        <v>37688</v>
      </c>
      <c r="F92" s="1">
        <v>37694</v>
      </c>
      <c r="G92" s="5">
        <v>4</v>
      </c>
      <c r="H92" s="5">
        <v>4</v>
      </c>
      <c r="I92" s="5">
        <v>4</v>
      </c>
      <c r="J92" s="5">
        <v>4</v>
      </c>
      <c r="K92" s="5">
        <v>4</v>
      </c>
      <c r="L92" s="5">
        <v>4</v>
      </c>
      <c r="M92" s="5">
        <v>4</v>
      </c>
      <c r="N92" s="5">
        <v>4</v>
      </c>
      <c r="O92" s="5">
        <v>4</v>
      </c>
      <c r="P92" s="5">
        <v>4</v>
      </c>
      <c r="Q92" s="5">
        <v>4</v>
      </c>
      <c r="R92" s="5">
        <v>4</v>
      </c>
    </row>
    <row r="93" spans="1:18" x14ac:dyDescent="0.25">
      <c r="A93">
        <v>2003</v>
      </c>
      <c r="B93">
        <v>3</v>
      </c>
      <c r="C93">
        <v>3</v>
      </c>
      <c r="D93" t="str">
        <f t="shared" si="1"/>
        <v>DC200303-sem3</v>
      </c>
      <c r="E93" s="1">
        <v>37695</v>
      </c>
      <c r="F93" s="1">
        <v>37701</v>
      </c>
      <c r="G93" s="5">
        <v>4</v>
      </c>
      <c r="H93" s="5">
        <v>4</v>
      </c>
      <c r="I93" s="5">
        <v>4</v>
      </c>
      <c r="J93" s="5">
        <v>4</v>
      </c>
      <c r="K93" s="5">
        <v>4</v>
      </c>
      <c r="L93" s="5">
        <v>4</v>
      </c>
      <c r="M93" s="5">
        <v>4</v>
      </c>
      <c r="N93" s="5">
        <v>4</v>
      </c>
      <c r="O93" s="5">
        <v>4</v>
      </c>
      <c r="P93" s="5">
        <v>4</v>
      </c>
      <c r="Q93" s="5">
        <v>4</v>
      </c>
      <c r="R93" s="5">
        <v>4</v>
      </c>
    </row>
    <row r="94" spans="1:18" x14ac:dyDescent="0.25">
      <c r="A94">
        <v>2003</v>
      </c>
      <c r="B94">
        <v>3</v>
      </c>
      <c r="C94">
        <v>4</v>
      </c>
      <c r="D94" t="str">
        <f t="shared" si="1"/>
        <v>DC200303-sem4</v>
      </c>
      <c r="E94" s="1">
        <v>37702</v>
      </c>
      <c r="F94" s="1">
        <v>37708</v>
      </c>
      <c r="G94" s="5">
        <v>4</v>
      </c>
      <c r="H94" s="5">
        <v>4</v>
      </c>
      <c r="I94" s="5">
        <v>4</v>
      </c>
      <c r="J94" s="5">
        <v>4</v>
      </c>
      <c r="K94" s="5">
        <v>4</v>
      </c>
      <c r="L94" s="5">
        <v>4</v>
      </c>
      <c r="M94" s="5">
        <v>4</v>
      </c>
      <c r="N94" s="5">
        <v>4</v>
      </c>
      <c r="O94" s="5">
        <v>4</v>
      </c>
      <c r="P94" s="5">
        <v>4</v>
      </c>
      <c r="Q94" s="5">
        <v>4</v>
      </c>
      <c r="R94" s="5">
        <v>4</v>
      </c>
    </row>
    <row r="95" spans="1:18" x14ac:dyDescent="0.25">
      <c r="A95">
        <v>2003</v>
      </c>
      <c r="B95">
        <v>4</v>
      </c>
      <c r="C95">
        <v>1</v>
      </c>
      <c r="D95" t="str">
        <f t="shared" si="1"/>
        <v>DC200304-sem1</v>
      </c>
      <c r="E95" s="1">
        <v>37709</v>
      </c>
      <c r="F95" s="1">
        <v>37711</v>
      </c>
      <c r="G95" s="5">
        <v>4</v>
      </c>
      <c r="H95" s="5">
        <v>4</v>
      </c>
      <c r="I95" s="5">
        <v>4</v>
      </c>
      <c r="J95" s="5">
        <v>4</v>
      </c>
      <c r="K95" s="5">
        <v>4</v>
      </c>
      <c r="L95" s="5">
        <v>4</v>
      </c>
      <c r="M95" s="5">
        <v>4</v>
      </c>
      <c r="N95" s="5">
        <v>4</v>
      </c>
      <c r="O95" s="5">
        <v>4</v>
      </c>
      <c r="P95" s="5">
        <v>4</v>
      </c>
      <c r="Q95" s="5">
        <v>4</v>
      </c>
      <c r="R95" s="5">
        <v>4</v>
      </c>
    </row>
    <row r="96" spans="1:18" x14ac:dyDescent="0.25">
      <c r="A96">
        <v>2003</v>
      </c>
      <c r="B96">
        <v>4</v>
      </c>
      <c r="C96">
        <v>1</v>
      </c>
      <c r="D96" t="str">
        <f t="shared" si="1"/>
        <v>DC200304-sem1</v>
      </c>
      <c r="E96" s="1">
        <v>37712</v>
      </c>
      <c r="F96" s="1">
        <v>37715</v>
      </c>
      <c r="G96" s="5">
        <v>5.48</v>
      </c>
      <c r="H96" s="5">
        <v>5.48</v>
      </c>
      <c r="I96" s="5">
        <v>5.48</v>
      </c>
      <c r="J96" s="5">
        <v>5.48</v>
      </c>
      <c r="K96" s="5">
        <v>5.48</v>
      </c>
      <c r="L96" s="5">
        <v>5.48</v>
      </c>
      <c r="M96" s="5">
        <v>5.48</v>
      </c>
      <c r="N96" s="5">
        <v>5.48</v>
      </c>
      <c r="O96" s="5">
        <v>5.48</v>
      </c>
      <c r="P96" s="5">
        <v>5.48</v>
      </c>
      <c r="Q96" s="5">
        <v>5.48</v>
      </c>
      <c r="R96" s="5">
        <v>5.48</v>
      </c>
    </row>
    <row r="97" spans="1:18" x14ac:dyDescent="0.25">
      <c r="A97">
        <v>2003</v>
      </c>
      <c r="B97">
        <v>4</v>
      </c>
      <c r="C97">
        <v>2</v>
      </c>
      <c r="D97" t="str">
        <f t="shared" si="1"/>
        <v>DC200304-sem2</v>
      </c>
      <c r="E97" s="1">
        <v>37716</v>
      </c>
      <c r="F97" s="1">
        <v>37722</v>
      </c>
      <c r="G97" s="5">
        <v>5.48</v>
      </c>
      <c r="H97" s="5">
        <v>5.48</v>
      </c>
      <c r="I97" s="5">
        <v>5.48</v>
      </c>
      <c r="J97" s="5">
        <v>5.48</v>
      </c>
      <c r="K97" s="5">
        <v>5.48</v>
      </c>
      <c r="L97" s="5">
        <v>5.48</v>
      </c>
      <c r="M97" s="5">
        <v>5.48</v>
      </c>
      <c r="N97" s="5">
        <v>5.48</v>
      </c>
      <c r="O97" s="5">
        <v>5.48</v>
      </c>
      <c r="P97" s="5">
        <v>5.48</v>
      </c>
      <c r="Q97" s="5">
        <v>5.48</v>
      </c>
      <c r="R97" s="5">
        <v>5.48</v>
      </c>
    </row>
    <row r="98" spans="1:18" x14ac:dyDescent="0.25">
      <c r="A98">
        <v>2003</v>
      </c>
      <c r="B98">
        <v>4</v>
      </c>
      <c r="C98">
        <v>3</v>
      </c>
      <c r="D98" t="str">
        <f t="shared" si="1"/>
        <v>DC200304-sem3</v>
      </c>
      <c r="E98" s="1">
        <v>37723</v>
      </c>
      <c r="F98" s="1">
        <v>37729</v>
      </c>
      <c r="G98" s="5">
        <v>5.48</v>
      </c>
      <c r="H98" s="5">
        <v>5.48</v>
      </c>
      <c r="I98" s="5">
        <v>5.48</v>
      </c>
      <c r="J98" s="5">
        <v>5.48</v>
      </c>
      <c r="K98" s="5">
        <v>5.48</v>
      </c>
      <c r="L98" s="5">
        <v>5.48</v>
      </c>
      <c r="M98" s="5">
        <v>5.48</v>
      </c>
      <c r="N98" s="5">
        <v>5.48</v>
      </c>
      <c r="O98" s="5">
        <v>5.48</v>
      </c>
      <c r="P98" s="5">
        <v>5.48</v>
      </c>
      <c r="Q98" s="5">
        <v>5.48</v>
      </c>
      <c r="R98" s="5">
        <v>5.48</v>
      </c>
    </row>
    <row r="99" spans="1:18" x14ac:dyDescent="0.25">
      <c r="A99">
        <v>2003</v>
      </c>
      <c r="B99">
        <v>4</v>
      </c>
      <c r="C99">
        <v>4</v>
      </c>
      <c r="D99" t="str">
        <f t="shared" si="1"/>
        <v>DC200304-sem4</v>
      </c>
      <c r="E99" s="1">
        <v>37730</v>
      </c>
      <c r="F99" s="1">
        <v>37736</v>
      </c>
      <c r="G99" s="5">
        <v>5.48</v>
      </c>
      <c r="H99" s="5">
        <v>5.48</v>
      </c>
      <c r="I99" s="5">
        <v>5.48</v>
      </c>
      <c r="J99" s="5">
        <v>5.48</v>
      </c>
      <c r="K99" s="5">
        <v>5.48</v>
      </c>
      <c r="L99" s="5">
        <v>5.48</v>
      </c>
      <c r="M99" s="5">
        <v>5.48</v>
      </c>
      <c r="N99" s="5">
        <v>5.48</v>
      </c>
      <c r="O99" s="5">
        <v>5.48</v>
      </c>
      <c r="P99" s="5">
        <v>5.48</v>
      </c>
      <c r="Q99" s="5">
        <v>5.48</v>
      </c>
      <c r="R99" s="5">
        <v>5.48</v>
      </c>
    </row>
    <row r="100" spans="1:18" x14ac:dyDescent="0.25">
      <c r="A100">
        <v>2003</v>
      </c>
      <c r="B100">
        <v>4</v>
      </c>
      <c r="C100">
        <v>5</v>
      </c>
      <c r="D100" t="str">
        <f t="shared" si="1"/>
        <v>DC200304-sem5</v>
      </c>
      <c r="E100" s="1">
        <v>37737</v>
      </c>
      <c r="F100" s="1">
        <v>37743</v>
      </c>
      <c r="G100" s="5">
        <v>5.48</v>
      </c>
      <c r="H100" s="5">
        <v>5.48</v>
      </c>
      <c r="I100" s="5">
        <v>5.48</v>
      </c>
      <c r="J100" s="5">
        <v>5.48</v>
      </c>
      <c r="K100" s="5">
        <v>5.48</v>
      </c>
      <c r="L100" s="5">
        <v>5.48</v>
      </c>
      <c r="M100" s="5">
        <v>5.48</v>
      </c>
      <c r="N100" s="5">
        <v>5.48</v>
      </c>
      <c r="O100" s="5">
        <v>5.48</v>
      </c>
      <c r="P100" s="5">
        <v>5.48</v>
      </c>
      <c r="Q100" s="5">
        <v>5.48</v>
      </c>
      <c r="R100" s="5">
        <v>5.48</v>
      </c>
    </row>
    <row r="101" spans="1:18" x14ac:dyDescent="0.25">
      <c r="A101">
        <v>2003</v>
      </c>
      <c r="B101">
        <v>5</v>
      </c>
      <c r="C101">
        <v>1</v>
      </c>
      <c r="D101" t="str">
        <f t="shared" si="1"/>
        <v>DC200305-sem1</v>
      </c>
      <c r="E101" s="1">
        <v>37744</v>
      </c>
      <c r="F101" s="1">
        <v>37750</v>
      </c>
      <c r="G101" s="5">
        <v>6.84</v>
      </c>
      <c r="H101" s="5">
        <v>6.71</v>
      </c>
      <c r="I101" s="5">
        <v>6.51</v>
      </c>
      <c r="J101" s="5">
        <v>6.84</v>
      </c>
      <c r="K101" s="5">
        <v>6.71</v>
      </c>
      <c r="L101" s="5">
        <v>6.51</v>
      </c>
      <c r="M101" s="5">
        <v>5.57</v>
      </c>
      <c r="N101" s="5">
        <v>5.57</v>
      </c>
      <c r="O101" s="5">
        <v>5.57</v>
      </c>
      <c r="P101" s="5">
        <v>5.57</v>
      </c>
      <c r="Q101" s="5">
        <v>5.48</v>
      </c>
      <c r="R101" s="5">
        <v>5.48</v>
      </c>
    </row>
    <row r="102" spans="1:18" x14ac:dyDescent="0.25">
      <c r="A102">
        <v>2003</v>
      </c>
      <c r="B102">
        <v>5</v>
      </c>
      <c r="C102">
        <v>2</v>
      </c>
      <c r="D102" t="str">
        <f t="shared" si="1"/>
        <v>DC200305-sem2</v>
      </c>
      <c r="E102" s="1">
        <v>37751</v>
      </c>
      <c r="F102" s="1">
        <v>37757</v>
      </c>
      <c r="G102" s="5">
        <v>6.73</v>
      </c>
      <c r="H102" s="5">
        <v>6.65</v>
      </c>
      <c r="I102" s="5">
        <v>6.6</v>
      </c>
      <c r="J102" s="5">
        <v>6.73</v>
      </c>
      <c r="K102" s="5">
        <v>6.65</v>
      </c>
      <c r="L102" s="5">
        <v>6.6</v>
      </c>
      <c r="M102" s="5">
        <v>5.96</v>
      </c>
      <c r="N102" s="5">
        <v>5.96</v>
      </c>
      <c r="O102" s="5">
        <v>5.96</v>
      </c>
      <c r="P102" s="5">
        <v>5.96</v>
      </c>
      <c r="Q102" s="5">
        <v>5.96</v>
      </c>
      <c r="R102" s="5">
        <v>5.48</v>
      </c>
    </row>
    <row r="103" spans="1:18" x14ac:dyDescent="0.25">
      <c r="A103">
        <v>2003</v>
      </c>
      <c r="B103">
        <v>5</v>
      </c>
      <c r="C103">
        <v>3</v>
      </c>
      <c r="D103" t="str">
        <f t="shared" si="1"/>
        <v>DC200305-sem3</v>
      </c>
      <c r="E103" s="1">
        <v>37758</v>
      </c>
      <c r="F103" s="1">
        <v>37764</v>
      </c>
      <c r="G103" s="5">
        <v>7.37</v>
      </c>
      <c r="H103" s="5">
        <v>7.28</v>
      </c>
      <c r="I103" s="5">
        <v>7.18</v>
      </c>
      <c r="J103" s="5">
        <v>7.37</v>
      </c>
      <c r="K103" s="5">
        <v>7.28</v>
      </c>
      <c r="L103" s="5">
        <v>7.18</v>
      </c>
      <c r="M103" s="5">
        <v>6.25</v>
      </c>
      <c r="N103" s="5">
        <v>6.25</v>
      </c>
      <c r="O103" s="5">
        <v>6.25</v>
      </c>
      <c r="P103" s="5">
        <v>6.25</v>
      </c>
      <c r="Q103" s="5">
        <v>6.25</v>
      </c>
      <c r="R103" s="5">
        <v>6.25</v>
      </c>
    </row>
    <row r="104" spans="1:18" x14ac:dyDescent="0.25">
      <c r="A104">
        <v>2003</v>
      </c>
      <c r="B104">
        <v>5</v>
      </c>
      <c r="C104">
        <v>4</v>
      </c>
      <c r="D104" t="str">
        <f t="shared" si="1"/>
        <v>DC200305-sem4</v>
      </c>
      <c r="E104" s="1">
        <v>37765</v>
      </c>
      <c r="F104" s="1">
        <v>37771</v>
      </c>
      <c r="G104" s="5">
        <v>8.66</v>
      </c>
      <c r="H104" s="5">
        <v>8.5399999999999991</v>
      </c>
      <c r="I104" s="5">
        <v>8.44</v>
      </c>
      <c r="J104" s="5">
        <v>8.66</v>
      </c>
      <c r="K104" s="5">
        <v>8.5399999999999991</v>
      </c>
      <c r="L104" s="5">
        <v>8.44</v>
      </c>
      <c r="M104" s="5">
        <v>7.1</v>
      </c>
      <c r="N104" s="5">
        <v>7.1</v>
      </c>
      <c r="O104" s="5">
        <v>7.09</v>
      </c>
      <c r="P104" s="5">
        <v>7.1</v>
      </c>
      <c r="Q104" s="5">
        <v>7.1</v>
      </c>
      <c r="R104" s="5">
        <v>7.09</v>
      </c>
    </row>
    <row r="105" spans="1:18" x14ac:dyDescent="0.25">
      <c r="A105">
        <v>2003</v>
      </c>
      <c r="B105">
        <v>6</v>
      </c>
      <c r="C105">
        <v>1</v>
      </c>
      <c r="D105" t="str">
        <f t="shared" si="1"/>
        <v>DC200306-sem1</v>
      </c>
      <c r="E105" s="1">
        <v>37772</v>
      </c>
      <c r="F105" s="1">
        <v>37778</v>
      </c>
      <c r="G105" s="5">
        <v>12.27</v>
      </c>
      <c r="H105" s="5">
        <v>12.11</v>
      </c>
      <c r="I105" s="5">
        <v>11.83</v>
      </c>
      <c r="J105" s="5">
        <v>12.27</v>
      </c>
      <c r="K105" s="5">
        <v>12.11</v>
      </c>
      <c r="L105" s="5">
        <v>11.83</v>
      </c>
      <c r="M105" s="5">
        <v>11.49</v>
      </c>
      <c r="N105" s="5">
        <v>11.49</v>
      </c>
      <c r="O105" s="5">
        <v>11.49</v>
      </c>
      <c r="P105" s="5">
        <v>11.49</v>
      </c>
      <c r="Q105" s="5">
        <v>11.49</v>
      </c>
      <c r="R105" s="5">
        <v>5.48</v>
      </c>
    </row>
    <row r="106" spans="1:18" x14ac:dyDescent="0.25">
      <c r="A106">
        <v>2003</v>
      </c>
      <c r="B106">
        <v>6</v>
      </c>
      <c r="C106">
        <v>2</v>
      </c>
      <c r="D106" t="str">
        <f t="shared" si="1"/>
        <v>DC200306-sem2</v>
      </c>
      <c r="E106" s="1">
        <v>37779</v>
      </c>
      <c r="F106" s="1">
        <v>37785</v>
      </c>
      <c r="G106" s="5">
        <v>12.4</v>
      </c>
      <c r="H106" s="5">
        <v>12.22</v>
      </c>
      <c r="I106" s="5">
        <v>11.87</v>
      </c>
      <c r="J106" s="5">
        <v>12.4</v>
      </c>
      <c r="K106" s="5">
        <v>12.22</v>
      </c>
      <c r="L106" s="5">
        <v>11.87</v>
      </c>
      <c r="M106" s="5">
        <v>11.36</v>
      </c>
      <c r="N106" s="5">
        <v>11.36</v>
      </c>
      <c r="O106" s="5">
        <v>11.23</v>
      </c>
      <c r="P106" s="5">
        <v>11.36</v>
      </c>
      <c r="Q106" s="5">
        <v>11.36</v>
      </c>
      <c r="R106" s="5">
        <v>11.23</v>
      </c>
    </row>
    <row r="107" spans="1:18" x14ac:dyDescent="0.25">
      <c r="A107">
        <v>2003</v>
      </c>
      <c r="B107">
        <v>6</v>
      </c>
      <c r="C107">
        <v>3</v>
      </c>
      <c r="D107" t="str">
        <f t="shared" si="1"/>
        <v>DC200306-sem3</v>
      </c>
      <c r="E107" s="1">
        <v>37786</v>
      </c>
      <c r="F107" s="1">
        <v>37792</v>
      </c>
      <c r="G107" s="5">
        <v>9.42</v>
      </c>
      <c r="H107" s="5">
        <v>9.2100000000000009</v>
      </c>
      <c r="I107" s="5">
        <v>9.0500000000000007</v>
      </c>
      <c r="J107" s="5">
        <v>9.42</v>
      </c>
      <c r="K107" s="5">
        <v>9.2100000000000009</v>
      </c>
      <c r="L107" s="5">
        <v>9.0500000000000007</v>
      </c>
      <c r="M107" s="5">
        <v>9.42</v>
      </c>
      <c r="N107" s="5">
        <v>9.2100000000000009</v>
      </c>
      <c r="O107" s="5">
        <v>9.0500000000000007</v>
      </c>
      <c r="P107" s="5">
        <v>9.42</v>
      </c>
      <c r="Q107" s="5">
        <v>9.2100000000000009</v>
      </c>
      <c r="R107" s="5">
        <v>9.0500000000000007</v>
      </c>
    </row>
    <row r="108" spans="1:18" x14ac:dyDescent="0.25">
      <c r="A108">
        <v>2003</v>
      </c>
      <c r="B108">
        <v>6</v>
      </c>
      <c r="C108">
        <v>4</v>
      </c>
      <c r="D108" t="str">
        <f t="shared" si="1"/>
        <v>DC200306-sem4</v>
      </c>
      <c r="E108" s="1">
        <v>37793</v>
      </c>
      <c r="F108" s="1">
        <v>37799</v>
      </c>
      <c r="G108" s="5">
        <v>10.88</v>
      </c>
      <c r="H108" s="5">
        <v>10.73</v>
      </c>
      <c r="I108" s="5">
        <v>10.66</v>
      </c>
      <c r="J108" s="5">
        <v>10.88</v>
      </c>
      <c r="K108" s="5">
        <v>10.73</v>
      </c>
      <c r="L108" s="5">
        <v>10.66</v>
      </c>
      <c r="M108" s="5">
        <v>10.55</v>
      </c>
      <c r="N108" s="5">
        <v>10.55</v>
      </c>
      <c r="O108" s="5">
        <v>10.55</v>
      </c>
      <c r="P108" s="5">
        <v>10.55</v>
      </c>
      <c r="Q108" s="5">
        <v>10.55</v>
      </c>
      <c r="R108" s="5">
        <v>10.55</v>
      </c>
    </row>
    <row r="109" spans="1:18" x14ac:dyDescent="0.25">
      <c r="A109">
        <v>2003</v>
      </c>
      <c r="B109">
        <v>7</v>
      </c>
      <c r="C109">
        <v>1</v>
      </c>
      <c r="D109" t="str">
        <f t="shared" si="1"/>
        <v>DC200307-sem1</v>
      </c>
      <c r="E109" s="1">
        <v>37800</v>
      </c>
      <c r="F109" s="1">
        <v>37806</v>
      </c>
      <c r="G109" s="5">
        <v>13.98</v>
      </c>
      <c r="H109" s="5">
        <v>13.59</v>
      </c>
      <c r="I109" s="5">
        <v>13.27</v>
      </c>
      <c r="J109" s="5">
        <v>13.98</v>
      </c>
      <c r="K109" s="5">
        <v>13.59</v>
      </c>
      <c r="L109" s="5">
        <v>13.27</v>
      </c>
      <c r="M109" s="5">
        <v>9.98</v>
      </c>
      <c r="N109" s="5">
        <v>9.98</v>
      </c>
      <c r="O109" s="5">
        <v>9.98</v>
      </c>
      <c r="P109" s="5">
        <v>13.98</v>
      </c>
      <c r="Q109" s="5">
        <v>13.59</v>
      </c>
      <c r="R109" s="5">
        <v>13.27</v>
      </c>
    </row>
    <row r="110" spans="1:18" x14ac:dyDescent="0.25">
      <c r="A110">
        <v>2003</v>
      </c>
      <c r="B110">
        <v>7</v>
      </c>
      <c r="C110">
        <v>2</v>
      </c>
      <c r="D110" t="str">
        <f t="shared" si="1"/>
        <v>DC200307-sem2</v>
      </c>
      <c r="E110" s="1">
        <v>37807</v>
      </c>
      <c r="F110" s="1">
        <v>37813</v>
      </c>
      <c r="G110" s="5">
        <v>14.95</v>
      </c>
      <c r="H110" s="5">
        <v>14.34</v>
      </c>
      <c r="I110" s="5">
        <v>14.29</v>
      </c>
      <c r="J110" s="5">
        <v>14.95</v>
      </c>
      <c r="K110" s="5">
        <v>14.88</v>
      </c>
      <c r="L110" s="5">
        <v>14.29</v>
      </c>
      <c r="M110" s="5">
        <v>10.33</v>
      </c>
      <c r="N110" s="5">
        <v>10.33</v>
      </c>
      <c r="O110" s="5">
        <v>10.33</v>
      </c>
      <c r="P110" s="5">
        <v>14.63</v>
      </c>
      <c r="Q110" s="5">
        <v>14.34</v>
      </c>
      <c r="R110" s="5">
        <v>14.29</v>
      </c>
    </row>
    <row r="111" spans="1:18" x14ac:dyDescent="0.25">
      <c r="A111">
        <v>2003</v>
      </c>
      <c r="B111">
        <v>7</v>
      </c>
      <c r="C111">
        <v>3</v>
      </c>
      <c r="D111" t="str">
        <f t="shared" si="1"/>
        <v>DC200307-sem3</v>
      </c>
      <c r="E111" s="1">
        <v>37814</v>
      </c>
      <c r="F111" s="1">
        <v>37820</v>
      </c>
      <c r="G111" s="5">
        <v>14.52</v>
      </c>
      <c r="H111" s="5">
        <v>13.92</v>
      </c>
      <c r="I111" s="5">
        <v>13.56</v>
      </c>
      <c r="J111" s="5">
        <v>17.18</v>
      </c>
      <c r="K111" s="5">
        <v>17.010000000000002</v>
      </c>
      <c r="L111" s="5">
        <v>16.829999999999998</v>
      </c>
      <c r="M111" s="5">
        <v>10.84</v>
      </c>
      <c r="N111" s="5">
        <v>10.84</v>
      </c>
      <c r="O111" s="5">
        <v>10.84</v>
      </c>
      <c r="P111" s="5">
        <v>13.92</v>
      </c>
      <c r="Q111" s="5">
        <v>13.92</v>
      </c>
      <c r="R111" s="5">
        <v>13.56</v>
      </c>
    </row>
    <row r="112" spans="1:18" x14ac:dyDescent="0.25">
      <c r="A112">
        <v>2003</v>
      </c>
      <c r="B112">
        <v>7</v>
      </c>
      <c r="C112">
        <v>4</v>
      </c>
      <c r="D112" t="str">
        <f t="shared" si="1"/>
        <v>DC200307-sem4</v>
      </c>
      <c r="E112" s="1">
        <v>37821</v>
      </c>
      <c r="F112" s="1">
        <v>37827</v>
      </c>
      <c r="G112" s="5">
        <v>12.28</v>
      </c>
      <c r="H112" s="5">
        <v>12</v>
      </c>
      <c r="I112" s="5">
        <v>11.55</v>
      </c>
      <c r="J112" s="5">
        <v>12.28</v>
      </c>
      <c r="K112" s="5">
        <v>12</v>
      </c>
      <c r="L112" s="5">
        <v>11.62</v>
      </c>
      <c r="M112" s="5">
        <v>9.0399999999999991</v>
      </c>
      <c r="N112" s="5">
        <v>9.0399999999999991</v>
      </c>
      <c r="O112" s="5">
        <v>9.0399999999999991</v>
      </c>
      <c r="P112" s="5">
        <v>12</v>
      </c>
      <c r="Q112" s="5">
        <v>12</v>
      </c>
      <c r="R112" s="5">
        <v>11.55</v>
      </c>
    </row>
    <row r="113" spans="1:18" x14ac:dyDescent="0.25">
      <c r="A113">
        <v>2003</v>
      </c>
      <c r="B113">
        <v>7</v>
      </c>
      <c r="C113">
        <v>5</v>
      </c>
      <c r="D113" t="str">
        <f t="shared" si="1"/>
        <v>DC200307-sem5</v>
      </c>
      <c r="E113" s="1">
        <v>37828</v>
      </c>
      <c r="F113" s="1">
        <v>37834</v>
      </c>
      <c r="G113" s="5">
        <v>12.46</v>
      </c>
      <c r="H113" s="5">
        <v>12.18</v>
      </c>
      <c r="I113" s="5">
        <v>11.74</v>
      </c>
      <c r="J113" s="5">
        <v>12.46</v>
      </c>
      <c r="K113" s="5">
        <v>12.18</v>
      </c>
      <c r="L113" s="5">
        <v>11.96</v>
      </c>
      <c r="M113" s="5">
        <v>9.08</v>
      </c>
      <c r="N113" s="5">
        <v>9.08</v>
      </c>
      <c r="O113" s="5">
        <v>9.08</v>
      </c>
      <c r="P113" s="5">
        <v>12.18</v>
      </c>
      <c r="Q113" s="5">
        <v>12.18</v>
      </c>
      <c r="R113" s="5">
        <v>11.74</v>
      </c>
    </row>
    <row r="114" spans="1:18" x14ac:dyDescent="0.25">
      <c r="A114">
        <v>2003</v>
      </c>
      <c r="B114">
        <v>8</v>
      </c>
      <c r="C114">
        <v>1</v>
      </c>
      <c r="D114" t="str">
        <f t="shared" si="1"/>
        <v>DC200308-sem1</v>
      </c>
      <c r="E114" s="1">
        <v>37835</v>
      </c>
      <c r="F114" s="1">
        <v>37841</v>
      </c>
      <c r="G114" s="5">
        <v>16.41</v>
      </c>
      <c r="H114" s="5">
        <v>15.66</v>
      </c>
      <c r="I114" s="5">
        <v>15.28</v>
      </c>
      <c r="J114" s="5">
        <v>17.32</v>
      </c>
      <c r="K114" s="5">
        <v>17.170000000000002</v>
      </c>
      <c r="L114" s="5">
        <v>17.11</v>
      </c>
      <c r="M114" s="5">
        <v>13.61</v>
      </c>
      <c r="N114" s="5">
        <v>13.06</v>
      </c>
      <c r="O114" s="5">
        <v>13.06</v>
      </c>
      <c r="P114" s="5">
        <v>15.66</v>
      </c>
      <c r="Q114" s="5">
        <v>15.66</v>
      </c>
      <c r="R114" s="5">
        <v>15.28</v>
      </c>
    </row>
    <row r="115" spans="1:18" x14ac:dyDescent="0.25">
      <c r="A115">
        <v>2003</v>
      </c>
      <c r="B115">
        <v>8</v>
      </c>
      <c r="C115">
        <v>2</v>
      </c>
      <c r="D115" t="str">
        <f t="shared" si="1"/>
        <v>DC200308-sem2</v>
      </c>
      <c r="E115" s="1">
        <v>37842</v>
      </c>
      <c r="F115" s="1">
        <v>37848</v>
      </c>
      <c r="G115" s="5">
        <v>19.739999999999998</v>
      </c>
      <c r="H115" s="5">
        <v>18.809999999999999</v>
      </c>
      <c r="I115" s="5">
        <v>18.14</v>
      </c>
      <c r="J115" s="5">
        <v>19.739999999999998</v>
      </c>
      <c r="K115" s="5">
        <v>19.399999999999999</v>
      </c>
      <c r="L115" s="5">
        <v>18.14</v>
      </c>
      <c r="M115" s="5">
        <v>14.52</v>
      </c>
      <c r="N115" s="5">
        <v>14.28</v>
      </c>
      <c r="O115" s="5">
        <v>14.28</v>
      </c>
      <c r="P115" s="5">
        <v>19.72</v>
      </c>
      <c r="Q115" s="5">
        <v>18.809999999999999</v>
      </c>
      <c r="R115" s="5">
        <v>18.14</v>
      </c>
    </row>
    <row r="116" spans="1:18" x14ac:dyDescent="0.25">
      <c r="A116">
        <v>2003</v>
      </c>
      <c r="B116">
        <v>8</v>
      </c>
      <c r="C116">
        <v>3</v>
      </c>
      <c r="D116" t="str">
        <f t="shared" si="1"/>
        <v>DC200308-sem3</v>
      </c>
      <c r="E116" s="1">
        <v>37849</v>
      </c>
      <c r="F116" s="1">
        <v>37855</v>
      </c>
      <c r="G116" s="5">
        <v>18.43</v>
      </c>
      <c r="H116" s="5">
        <v>17.57</v>
      </c>
      <c r="I116" s="5">
        <v>17.04</v>
      </c>
      <c r="J116" s="5">
        <v>20.34</v>
      </c>
      <c r="K116" s="5">
        <v>19.03</v>
      </c>
      <c r="L116" s="5">
        <v>17.87</v>
      </c>
      <c r="M116" s="5">
        <v>13.84</v>
      </c>
      <c r="N116" s="5">
        <v>13.62</v>
      </c>
      <c r="O116" s="5">
        <v>13.62</v>
      </c>
      <c r="P116" s="5">
        <v>17.64</v>
      </c>
      <c r="Q116" s="5">
        <v>17.57</v>
      </c>
      <c r="R116" s="5">
        <v>17.04</v>
      </c>
    </row>
    <row r="117" spans="1:18" x14ac:dyDescent="0.25">
      <c r="A117">
        <v>2003</v>
      </c>
      <c r="B117">
        <v>8</v>
      </c>
      <c r="C117">
        <v>4</v>
      </c>
      <c r="D117" t="str">
        <f t="shared" si="1"/>
        <v>DC200308-sem4</v>
      </c>
      <c r="E117" s="1">
        <v>37856</v>
      </c>
      <c r="F117" s="1">
        <v>37862</v>
      </c>
      <c r="G117" s="5">
        <v>17.73</v>
      </c>
      <c r="H117" s="5">
        <v>16.899999999999999</v>
      </c>
      <c r="I117" s="5">
        <v>16.399999999999999</v>
      </c>
      <c r="J117" s="5">
        <v>22.71</v>
      </c>
      <c r="K117" s="5">
        <v>22.39</v>
      </c>
      <c r="L117" s="5">
        <v>16.64</v>
      </c>
      <c r="M117" s="5">
        <v>12.93</v>
      </c>
      <c r="N117" s="5">
        <v>12.93</v>
      </c>
      <c r="O117" s="5">
        <v>12.93</v>
      </c>
      <c r="P117" s="5">
        <v>16.899999999999999</v>
      </c>
      <c r="Q117" s="5">
        <v>16.899999999999999</v>
      </c>
      <c r="R117" s="5">
        <v>16.399999999999999</v>
      </c>
    </row>
    <row r="118" spans="1:18" x14ac:dyDescent="0.25">
      <c r="A118">
        <v>2003</v>
      </c>
      <c r="B118">
        <v>9</v>
      </c>
      <c r="C118">
        <v>1</v>
      </c>
      <c r="D118" t="str">
        <f t="shared" si="1"/>
        <v>DC200309-sem1</v>
      </c>
      <c r="E118" s="1">
        <v>37863</v>
      </c>
      <c r="F118" s="1">
        <v>37869</v>
      </c>
      <c r="G118" s="5">
        <v>17.16</v>
      </c>
      <c r="H118" s="5">
        <v>17.11</v>
      </c>
      <c r="I118" s="5">
        <v>16.47</v>
      </c>
      <c r="J118" s="5">
        <v>19.75</v>
      </c>
      <c r="K118" s="5">
        <v>19.7</v>
      </c>
      <c r="L118" s="5">
        <v>17.11</v>
      </c>
      <c r="M118" s="5">
        <v>14.29</v>
      </c>
      <c r="N118" s="5">
        <v>13.71</v>
      </c>
      <c r="O118" s="5">
        <v>13.71</v>
      </c>
      <c r="P118" s="5">
        <v>17.149999999999999</v>
      </c>
      <c r="Q118" s="5">
        <v>17.11</v>
      </c>
      <c r="R118" s="5">
        <v>16.47</v>
      </c>
    </row>
    <row r="119" spans="1:18" x14ac:dyDescent="0.25">
      <c r="A119">
        <v>2003</v>
      </c>
      <c r="B119">
        <v>9</v>
      </c>
      <c r="C119">
        <v>2</v>
      </c>
      <c r="D119" t="str">
        <f t="shared" si="1"/>
        <v>DC200309-sem2</v>
      </c>
      <c r="E119" s="1">
        <v>37870</v>
      </c>
      <c r="F119" s="1">
        <v>37876</v>
      </c>
      <c r="G119" s="5">
        <v>18.07</v>
      </c>
      <c r="H119" s="5">
        <v>17.850000000000001</v>
      </c>
      <c r="I119" s="5">
        <v>17.43</v>
      </c>
      <c r="J119" s="5">
        <v>22.07</v>
      </c>
      <c r="K119" s="5">
        <v>21.79</v>
      </c>
      <c r="L119" s="5">
        <v>17.920000000000002</v>
      </c>
      <c r="M119" s="5">
        <v>14.84</v>
      </c>
      <c r="N119" s="5">
        <v>14.24</v>
      </c>
      <c r="O119" s="5">
        <v>14.24</v>
      </c>
      <c r="P119" s="5">
        <v>18.07</v>
      </c>
      <c r="Q119" s="5">
        <v>17.850000000000001</v>
      </c>
      <c r="R119" s="5">
        <v>17.43</v>
      </c>
    </row>
    <row r="120" spans="1:18" x14ac:dyDescent="0.25">
      <c r="A120">
        <v>2003</v>
      </c>
      <c r="B120">
        <v>9</v>
      </c>
      <c r="C120">
        <v>3</v>
      </c>
      <c r="D120" t="str">
        <f t="shared" si="1"/>
        <v>DC200309-sem3</v>
      </c>
      <c r="E120" s="1">
        <v>37877</v>
      </c>
      <c r="F120" s="1">
        <v>37883</v>
      </c>
      <c r="G120" s="5">
        <v>17.64</v>
      </c>
      <c r="H120" s="5">
        <v>17.07</v>
      </c>
      <c r="I120" s="5">
        <v>16.8</v>
      </c>
      <c r="J120" s="5">
        <v>20.93</v>
      </c>
      <c r="K120" s="5">
        <v>20.93</v>
      </c>
      <c r="L120" s="5">
        <v>17.07</v>
      </c>
      <c r="M120" s="5">
        <v>13.62</v>
      </c>
      <c r="N120" s="5">
        <v>13.62</v>
      </c>
      <c r="O120" s="5">
        <v>13.62</v>
      </c>
      <c r="P120" s="5">
        <v>17.64</v>
      </c>
      <c r="Q120" s="5">
        <v>17.07</v>
      </c>
      <c r="R120" s="5">
        <v>16.8</v>
      </c>
    </row>
    <row r="121" spans="1:18" x14ac:dyDescent="0.25">
      <c r="A121">
        <v>2003</v>
      </c>
      <c r="B121">
        <v>9</v>
      </c>
      <c r="C121">
        <v>4</v>
      </c>
      <c r="D121" t="str">
        <f t="shared" si="1"/>
        <v>DC200309-sem4</v>
      </c>
      <c r="E121" s="1">
        <v>37884</v>
      </c>
      <c r="F121" s="1">
        <v>37890</v>
      </c>
      <c r="G121" s="5">
        <v>18.670000000000002</v>
      </c>
      <c r="H121" s="5">
        <v>17.940000000000001</v>
      </c>
      <c r="I121" s="5">
        <v>17.7</v>
      </c>
      <c r="J121" s="5">
        <v>22.26</v>
      </c>
      <c r="K121" s="5">
        <v>22.04</v>
      </c>
      <c r="L121" s="5">
        <v>17.91</v>
      </c>
      <c r="M121" s="5">
        <v>16.95</v>
      </c>
      <c r="N121" s="5">
        <v>16.95</v>
      </c>
      <c r="O121" s="5">
        <v>16.95</v>
      </c>
      <c r="P121" s="5">
        <v>18.670000000000002</v>
      </c>
      <c r="Q121" s="5">
        <v>17.940000000000001</v>
      </c>
      <c r="R121" s="5">
        <v>17.7</v>
      </c>
    </row>
    <row r="122" spans="1:18" x14ac:dyDescent="0.25">
      <c r="A122">
        <v>2003</v>
      </c>
      <c r="B122">
        <v>10</v>
      </c>
      <c r="C122">
        <v>1</v>
      </c>
      <c r="D122" t="str">
        <f t="shared" si="1"/>
        <v>DC200310-sem1</v>
      </c>
      <c r="E122" s="1">
        <v>37891</v>
      </c>
      <c r="F122" s="1">
        <v>37897</v>
      </c>
      <c r="G122" s="5">
        <v>24.45</v>
      </c>
      <c r="H122" s="5">
        <v>24.2</v>
      </c>
      <c r="I122" s="5">
        <v>23.32</v>
      </c>
      <c r="J122" s="5">
        <v>24.66</v>
      </c>
      <c r="K122" s="5">
        <v>24.42</v>
      </c>
      <c r="L122" s="5">
        <v>24.2</v>
      </c>
      <c r="M122" s="5">
        <v>20.11</v>
      </c>
      <c r="N122" s="5">
        <v>20.11</v>
      </c>
      <c r="O122" s="5">
        <v>19.86</v>
      </c>
      <c r="P122" s="5">
        <v>24.45</v>
      </c>
      <c r="Q122" s="5">
        <v>24.2</v>
      </c>
      <c r="R122" s="5">
        <v>23.32</v>
      </c>
    </row>
    <row r="123" spans="1:18" x14ac:dyDescent="0.25">
      <c r="A123">
        <v>2003</v>
      </c>
      <c r="B123">
        <v>10</v>
      </c>
      <c r="C123">
        <v>2</v>
      </c>
      <c r="D123" t="str">
        <f t="shared" si="1"/>
        <v>DC200310-sem2</v>
      </c>
      <c r="E123" s="1">
        <v>37898</v>
      </c>
      <c r="F123" s="1">
        <v>37904</v>
      </c>
      <c r="G123" s="5">
        <v>27.47</v>
      </c>
      <c r="H123" s="5">
        <v>26.74</v>
      </c>
      <c r="I123" s="5">
        <v>26.28</v>
      </c>
      <c r="J123" s="5">
        <v>27.51</v>
      </c>
      <c r="K123" s="5">
        <v>27.51</v>
      </c>
      <c r="L123" s="5">
        <v>26.93</v>
      </c>
      <c r="M123" s="5">
        <v>21.45</v>
      </c>
      <c r="N123" s="5">
        <v>21.45</v>
      </c>
      <c r="O123" s="5">
        <v>20.58</v>
      </c>
      <c r="P123" s="5">
        <v>27.47</v>
      </c>
      <c r="Q123" s="5">
        <v>26.74</v>
      </c>
      <c r="R123" s="5">
        <v>26.28</v>
      </c>
    </row>
    <row r="124" spans="1:18" x14ac:dyDescent="0.25">
      <c r="A124">
        <v>2003</v>
      </c>
      <c r="B124">
        <v>10</v>
      </c>
      <c r="C124">
        <v>3</v>
      </c>
      <c r="D124" t="str">
        <f t="shared" si="1"/>
        <v>DC200310-sem3</v>
      </c>
      <c r="E124" s="1">
        <v>37905</v>
      </c>
      <c r="F124" s="1">
        <v>37911</v>
      </c>
      <c r="G124" s="5">
        <v>27.52</v>
      </c>
      <c r="H124" s="5">
        <v>27.01</v>
      </c>
      <c r="I124" s="5">
        <v>26.36</v>
      </c>
      <c r="J124" s="5">
        <v>28.09</v>
      </c>
      <c r="K124" s="5">
        <v>28.04</v>
      </c>
      <c r="L124" s="5">
        <v>27.06</v>
      </c>
      <c r="M124" s="5">
        <v>20.05</v>
      </c>
      <c r="N124" s="5">
        <v>20.05</v>
      </c>
      <c r="O124" s="5">
        <v>20.05</v>
      </c>
      <c r="P124" s="5">
        <v>27.52</v>
      </c>
      <c r="Q124" s="5">
        <v>27.01</v>
      </c>
      <c r="R124" s="5">
        <v>26.35</v>
      </c>
    </row>
    <row r="125" spans="1:18" x14ac:dyDescent="0.25">
      <c r="A125">
        <v>2003</v>
      </c>
      <c r="B125">
        <v>10</v>
      </c>
      <c r="C125">
        <v>4</v>
      </c>
      <c r="D125" t="str">
        <f t="shared" si="1"/>
        <v>DC200310-sem4</v>
      </c>
      <c r="E125" s="1">
        <v>37912</v>
      </c>
      <c r="F125" s="1">
        <v>37918</v>
      </c>
      <c r="G125" s="5">
        <v>23.05</v>
      </c>
      <c r="H125" s="5">
        <v>22.9</v>
      </c>
      <c r="I125" s="5">
        <v>22.31</v>
      </c>
      <c r="J125" s="5">
        <v>23.33</v>
      </c>
      <c r="K125" s="5">
        <v>23.26</v>
      </c>
      <c r="L125" s="5">
        <v>22.53</v>
      </c>
      <c r="M125" s="5">
        <v>17.32</v>
      </c>
      <c r="N125" s="5">
        <v>17.32</v>
      </c>
      <c r="O125" s="5">
        <v>17.32</v>
      </c>
      <c r="P125" s="5">
        <v>22.9</v>
      </c>
      <c r="Q125" s="5">
        <v>22.9</v>
      </c>
      <c r="R125" s="5">
        <v>22.31</v>
      </c>
    </row>
    <row r="126" spans="1:18" x14ac:dyDescent="0.25">
      <c r="A126">
        <v>2003</v>
      </c>
      <c r="B126">
        <v>10</v>
      </c>
      <c r="C126">
        <v>5</v>
      </c>
      <c r="D126" t="str">
        <f t="shared" si="1"/>
        <v>DC200310-sem5</v>
      </c>
      <c r="E126" s="1">
        <v>37919</v>
      </c>
      <c r="F126" s="1">
        <v>37925</v>
      </c>
      <c r="G126" s="5">
        <v>28.37</v>
      </c>
      <c r="H126" s="5">
        <v>28.12</v>
      </c>
      <c r="I126" s="5">
        <v>27.37</v>
      </c>
      <c r="J126" s="5">
        <v>28.37</v>
      </c>
      <c r="K126" s="5">
        <v>28.37</v>
      </c>
      <c r="L126" s="5">
        <v>27.37</v>
      </c>
      <c r="M126" s="5">
        <v>20.95</v>
      </c>
      <c r="N126" s="5">
        <v>20.95</v>
      </c>
      <c r="O126" s="5">
        <v>20.95</v>
      </c>
      <c r="P126" s="5">
        <v>28.12</v>
      </c>
      <c r="Q126" s="5">
        <v>28.12</v>
      </c>
      <c r="R126" s="5">
        <v>26.4</v>
      </c>
    </row>
    <row r="127" spans="1:18" x14ac:dyDescent="0.25">
      <c r="A127">
        <v>2003</v>
      </c>
      <c r="B127">
        <v>11</v>
      </c>
      <c r="C127">
        <v>1</v>
      </c>
      <c r="D127" t="str">
        <f t="shared" si="1"/>
        <v>DC200311-sem1</v>
      </c>
      <c r="E127" s="1">
        <v>37926</v>
      </c>
      <c r="F127" s="1">
        <v>37932</v>
      </c>
      <c r="G127" s="5">
        <v>24.87</v>
      </c>
      <c r="H127" s="5">
        <v>24.6</v>
      </c>
      <c r="I127" s="5">
        <v>23.82</v>
      </c>
      <c r="J127" s="5">
        <v>27.13</v>
      </c>
      <c r="K127" s="5">
        <v>27.13</v>
      </c>
      <c r="L127" s="5">
        <v>23.82</v>
      </c>
      <c r="M127" s="5">
        <v>20.5</v>
      </c>
      <c r="N127" s="5">
        <v>20.5</v>
      </c>
      <c r="O127" s="5">
        <v>20.5</v>
      </c>
      <c r="P127" s="5">
        <v>24.87</v>
      </c>
      <c r="Q127" s="5">
        <v>24.6</v>
      </c>
      <c r="R127" s="5">
        <v>23.18</v>
      </c>
    </row>
    <row r="128" spans="1:18" x14ac:dyDescent="0.25">
      <c r="A128">
        <v>2003</v>
      </c>
      <c r="B128">
        <v>11</v>
      </c>
      <c r="C128">
        <v>2</v>
      </c>
      <c r="D128" t="str">
        <f t="shared" si="1"/>
        <v>DC200311-sem2</v>
      </c>
      <c r="E128" s="1">
        <v>37933</v>
      </c>
      <c r="F128" s="1">
        <v>37939</v>
      </c>
      <c r="G128" s="5">
        <v>28.3</v>
      </c>
      <c r="H128" s="5">
        <v>27.95</v>
      </c>
      <c r="I128" s="5">
        <v>27.07</v>
      </c>
      <c r="J128" s="5">
        <v>31.18</v>
      </c>
      <c r="K128" s="5">
        <v>31.18</v>
      </c>
      <c r="L128" s="5">
        <v>29.46</v>
      </c>
      <c r="M128" s="5">
        <v>23.2</v>
      </c>
      <c r="N128" s="5">
        <v>23.2</v>
      </c>
      <c r="O128" s="5">
        <v>23.2</v>
      </c>
      <c r="P128" s="5">
        <v>28.3</v>
      </c>
      <c r="Q128" s="5">
        <v>27.95</v>
      </c>
      <c r="R128" s="5">
        <v>27.07</v>
      </c>
    </row>
    <row r="129" spans="1:18" x14ac:dyDescent="0.25">
      <c r="A129">
        <v>2003</v>
      </c>
      <c r="B129">
        <v>11</v>
      </c>
      <c r="C129">
        <v>3</v>
      </c>
      <c r="D129" t="str">
        <f t="shared" si="1"/>
        <v>DC200311-sem3</v>
      </c>
      <c r="E129" s="1">
        <v>37940</v>
      </c>
      <c r="F129" s="1">
        <v>37946</v>
      </c>
      <c r="G129" s="5">
        <v>33.049999999999997</v>
      </c>
      <c r="H129" s="5">
        <v>32.590000000000003</v>
      </c>
      <c r="I129" s="5">
        <v>30.9</v>
      </c>
      <c r="J129" s="5">
        <v>35.869999999999997</v>
      </c>
      <c r="K129" s="5">
        <v>35.869999999999997</v>
      </c>
      <c r="L129" s="5">
        <v>34.15</v>
      </c>
      <c r="M129" s="5">
        <v>27.18</v>
      </c>
      <c r="N129" s="5">
        <v>27.18</v>
      </c>
      <c r="O129" s="5">
        <v>26.07</v>
      </c>
      <c r="P129" s="5">
        <v>33.049999999999997</v>
      </c>
      <c r="Q129" s="5">
        <v>32.590000000000003</v>
      </c>
      <c r="R129" s="5">
        <v>30.9</v>
      </c>
    </row>
    <row r="130" spans="1:18" x14ac:dyDescent="0.25">
      <c r="A130">
        <v>2003</v>
      </c>
      <c r="B130">
        <v>11</v>
      </c>
      <c r="C130">
        <v>4</v>
      </c>
      <c r="D130" t="str">
        <f t="shared" si="1"/>
        <v>DC200311-sem4</v>
      </c>
      <c r="E130" s="1">
        <v>37947</v>
      </c>
      <c r="F130" s="1">
        <v>37953</v>
      </c>
      <c r="G130" s="5">
        <v>29.66</v>
      </c>
      <c r="H130" s="5">
        <v>29.63</v>
      </c>
      <c r="I130" s="5">
        <v>28.42</v>
      </c>
      <c r="J130" s="5">
        <v>29.66</v>
      </c>
      <c r="K130" s="5">
        <v>29.63</v>
      </c>
      <c r="L130" s="5">
        <v>28.71</v>
      </c>
      <c r="M130" s="5">
        <v>29.63</v>
      </c>
      <c r="N130" s="5">
        <v>29.63</v>
      </c>
      <c r="O130" s="5">
        <v>28.42</v>
      </c>
      <c r="P130" s="5">
        <v>29.66</v>
      </c>
      <c r="Q130" s="5">
        <v>29.63</v>
      </c>
      <c r="R130" s="5">
        <v>28.42</v>
      </c>
    </row>
    <row r="131" spans="1:18" x14ac:dyDescent="0.25">
      <c r="A131">
        <v>2003</v>
      </c>
      <c r="B131">
        <v>12</v>
      </c>
      <c r="C131">
        <v>1</v>
      </c>
      <c r="D131" t="str">
        <f t="shared" ref="D131:D194" si="2">"DC"&amp;A131&amp;REPT("0",2-LEN(B131))&amp;B131&amp;"-sem"&amp;C131</f>
        <v>DC200312-sem1</v>
      </c>
      <c r="E131" s="1">
        <v>37954</v>
      </c>
      <c r="F131" s="1">
        <v>37955</v>
      </c>
      <c r="G131" s="5">
        <v>25.07</v>
      </c>
      <c r="H131" s="5">
        <v>24.96</v>
      </c>
      <c r="I131" s="5">
        <v>24.33</v>
      </c>
      <c r="J131" s="5">
        <v>25.07</v>
      </c>
      <c r="K131" s="5">
        <v>24.96</v>
      </c>
      <c r="L131" s="5">
        <v>24.33</v>
      </c>
      <c r="M131" s="5">
        <v>22.16</v>
      </c>
      <c r="N131" s="5">
        <v>22.16</v>
      </c>
      <c r="O131" s="5">
        <v>21.77</v>
      </c>
      <c r="P131" s="5">
        <v>25.07</v>
      </c>
      <c r="Q131" s="5">
        <v>24.96</v>
      </c>
      <c r="R131" s="5">
        <v>22.47</v>
      </c>
    </row>
    <row r="132" spans="1:18" x14ac:dyDescent="0.25">
      <c r="A132">
        <v>2003</v>
      </c>
      <c r="B132">
        <v>12</v>
      </c>
      <c r="C132">
        <v>1</v>
      </c>
      <c r="D132" t="str">
        <f t="shared" si="2"/>
        <v>DC200312-sem1</v>
      </c>
      <c r="E132" s="1">
        <v>37956</v>
      </c>
      <c r="F132" s="1">
        <v>37960</v>
      </c>
      <c r="G132" s="5">
        <v>25.07</v>
      </c>
      <c r="H132" s="5">
        <v>24.96</v>
      </c>
      <c r="I132" s="5">
        <v>24.33</v>
      </c>
      <c r="J132" s="5">
        <v>25.07</v>
      </c>
      <c r="K132" s="5">
        <v>24.96</v>
      </c>
      <c r="L132" s="5">
        <v>24.33</v>
      </c>
      <c r="M132" s="5">
        <v>82.72</v>
      </c>
      <c r="N132" s="5">
        <v>82.72</v>
      </c>
      <c r="O132" s="5">
        <v>82.72</v>
      </c>
      <c r="P132" s="5">
        <v>25.07</v>
      </c>
      <c r="Q132" s="5">
        <v>24.96</v>
      </c>
      <c r="R132" s="5">
        <v>22.47</v>
      </c>
    </row>
    <row r="133" spans="1:18" x14ac:dyDescent="0.25">
      <c r="A133">
        <v>2003</v>
      </c>
      <c r="B133">
        <v>12</v>
      </c>
      <c r="C133">
        <v>2</v>
      </c>
      <c r="D133" t="str">
        <f t="shared" si="2"/>
        <v>DC200312-sem2</v>
      </c>
      <c r="E133" s="1">
        <v>37961</v>
      </c>
      <c r="F133" s="1">
        <v>37967</v>
      </c>
      <c r="G133" s="5">
        <v>23.7</v>
      </c>
      <c r="H133" s="5">
        <v>23.7</v>
      </c>
      <c r="I133" s="5">
        <v>23.07</v>
      </c>
      <c r="J133" s="5">
        <v>23.7</v>
      </c>
      <c r="K133" s="5">
        <v>23.7</v>
      </c>
      <c r="L133" s="5">
        <v>23.07</v>
      </c>
      <c r="M133" s="5">
        <v>82.72</v>
      </c>
      <c r="N133" s="5">
        <v>82.72</v>
      </c>
      <c r="O133" s="5">
        <v>82.72</v>
      </c>
      <c r="P133" s="5">
        <v>23.7</v>
      </c>
      <c r="Q133" s="5">
        <v>23.7</v>
      </c>
      <c r="R133" s="5">
        <v>21.47</v>
      </c>
    </row>
    <row r="134" spans="1:18" x14ac:dyDescent="0.25">
      <c r="A134">
        <v>2003</v>
      </c>
      <c r="B134">
        <v>12</v>
      </c>
      <c r="C134">
        <v>3</v>
      </c>
      <c r="D134" t="str">
        <f t="shared" si="2"/>
        <v>DC200312-sem3</v>
      </c>
      <c r="E134" s="1">
        <v>37968</v>
      </c>
      <c r="F134" s="1">
        <v>37974</v>
      </c>
      <c r="G134" s="5">
        <v>16.95</v>
      </c>
      <c r="H134" s="5">
        <v>16.95</v>
      </c>
      <c r="I134" s="5">
        <v>16.95</v>
      </c>
      <c r="J134" s="5">
        <v>16.95</v>
      </c>
      <c r="K134" s="5">
        <v>16.95</v>
      </c>
      <c r="L134" s="5">
        <v>16.95</v>
      </c>
      <c r="M134" s="5">
        <v>16.95</v>
      </c>
      <c r="N134" s="5">
        <v>16.95</v>
      </c>
      <c r="O134" s="5">
        <v>16.95</v>
      </c>
      <c r="P134" s="5">
        <v>16.95</v>
      </c>
      <c r="Q134" s="5">
        <v>16.95</v>
      </c>
      <c r="R134" s="5">
        <v>16.95</v>
      </c>
    </row>
    <row r="135" spans="1:18" x14ac:dyDescent="0.25">
      <c r="A135">
        <v>2003</v>
      </c>
      <c r="B135">
        <v>12</v>
      </c>
      <c r="C135">
        <v>4</v>
      </c>
      <c r="D135" t="str">
        <f t="shared" si="2"/>
        <v>DC200312-sem4</v>
      </c>
      <c r="E135" s="1">
        <v>37975</v>
      </c>
      <c r="F135" s="1">
        <v>37981</v>
      </c>
      <c r="G135" s="5">
        <v>19.21</v>
      </c>
      <c r="H135" s="5">
        <v>19.079999999999998</v>
      </c>
      <c r="I135" s="5">
        <v>18.45</v>
      </c>
      <c r="J135" s="5">
        <v>19.079999999999998</v>
      </c>
      <c r="K135" s="5">
        <v>19.079999999999998</v>
      </c>
      <c r="L135" s="5">
        <v>18.45</v>
      </c>
      <c r="M135" s="5">
        <v>18.45</v>
      </c>
      <c r="N135" s="5">
        <v>18.45</v>
      </c>
      <c r="O135" s="5">
        <v>18.45</v>
      </c>
      <c r="P135" s="5">
        <v>19.21</v>
      </c>
      <c r="Q135" s="5">
        <v>19.079999999999998</v>
      </c>
      <c r="R135" s="5">
        <v>18.45</v>
      </c>
    </row>
    <row r="136" spans="1:18" x14ac:dyDescent="0.25">
      <c r="A136">
        <v>2004</v>
      </c>
      <c r="B136">
        <v>1</v>
      </c>
      <c r="C136">
        <v>1</v>
      </c>
      <c r="D136" t="str">
        <f t="shared" si="2"/>
        <v>DC200401-sem1</v>
      </c>
      <c r="E136" s="1">
        <v>37982</v>
      </c>
      <c r="F136" s="1">
        <v>37988</v>
      </c>
      <c r="G136" s="5">
        <v>17.39</v>
      </c>
      <c r="H136" s="5">
        <v>17.39</v>
      </c>
      <c r="I136" s="5">
        <v>17.39</v>
      </c>
      <c r="J136" s="5">
        <v>17.39</v>
      </c>
      <c r="K136" s="5">
        <v>17.39</v>
      </c>
      <c r="L136" s="5">
        <v>17.39</v>
      </c>
      <c r="M136" s="5">
        <v>58.24</v>
      </c>
      <c r="N136" s="5">
        <v>58.24</v>
      </c>
      <c r="O136" s="5">
        <v>58.24</v>
      </c>
      <c r="P136" s="5">
        <v>17.39</v>
      </c>
      <c r="Q136" s="5">
        <v>17.39</v>
      </c>
      <c r="R136" s="5">
        <v>16.95</v>
      </c>
    </row>
    <row r="137" spans="1:18" x14ac:dyDescent="0.25">
      <c r="A137">
        <v>2004</v>
      </c>
      <c r="B137">
        <v>1</v>
      </c>
      <c r="C137">
        <v>2</v>
      </c>
      <c r="D137" t="str">
        <f t="shared" si="2"/>
        <v>DC200401-sem2</v>
      </c>
      <c r="E137" s="1">
        <v>37989</v>
      </c>
      <c r="F137" s="1">
        <v>37995</v>
      </c>
      <c r="G137" s="5">
        <v>27.05</v>
      </c>
      <c r="H137" s="5">
        <v>27.05</v>
      </c>
      <c r="I137" s="5">
        <v>27.05</v>
      </c>
      <c r="J137" s="5">
        <v>27.05</v>
      </c>
      <c r="K137" s="5">
        <v>27.05</v>
      </c>
      <c r="L137" s="5">
        <v>27.05</v>
      </c>
      <c r="M137" s="5">
        <v>412.83</v>
      </c>
      <c r="N137" s="5">
        <v>412.83</v>
      </c>
      <c r="O137" s="5">
        <v>412.83</v>
      </c>
      <c r="P137" s="5">
        <v>27</v>
      </c>
      <c r="Q137" s="5">
        <v>27</v>
      </c>
      <c r="R137" s="5">
        <v>26.91</v>
      </c>
    </row>
    <row r="138" spans="1:18" x14ac:dyDescent="0.25">
      <c r="A138">
        <v>2004</v>
      </c>
      <c r="B138">
        <v>1</v>
      </c>
      <c r="C138">
        <v>3</v>
      </c>
      <c r="D138" t="str">
        <f t="shared" si="2"/>
        <v>DC200401-sem3</v>
      </c>
      <c r="E138" s="1">
        <v>37996</v>
      </c>
      <c r="F138" s="1">
        <v>38002</v>
      </c>
      <c r="G138" s="5">
        <v>25.47</v>
      </c>
      <c r="H138" s="5">
        <v>25.47</v>
      </c>
      <c r="I138" s="5">
        <v>25.12</v>
      </c>
      <c r="J138" s="5">
        <v>25.47</v>
      </c>
      <c r="K138" s="5">
        <v>25.47</v>
      </c>
      <c r="L138" s="5">
        <v>25.12</v>
      </c>
      <c r="M138" s="5">
        <v>315.20999999999998</v>
      </c>
      <c r="N138" s="5">
        <v>315.20999999999998</v>
      </c>
      <c r="O138" s="5">
        <v>272.57</v>
      </c>
      <c r="P138" s="5">
        <v>25.14</v>
      </c>
      <c r="Q138" s="5">
        <v>25.05</v>
      </c>
      <c r="R138" s="5">
        <v>25.05</v>
      </c>
    </row>
    <row r="139" spans="1:18" x14ac:dyDescent="0.25">
      <c r="A139">
        <v>2004</v>
      </c>
      <c r="B139">
        <v>1</v>
      </c>
      <c r="C139">
        <v>4</v>
      </c>
      <c r="D139" t="str">
        <f t="shared" si="2"/>
        <v>DC200401-sem4</v>
      </c>
      <c r="E139" s="1">
        <v>38003</v>
      </c>
      <c r="F139" s="1">
        <v>38009</v>
      </c>
      <c r="G139" s="5">
        <v>17.579999999999998</v>
      </c>
      <c r="H139" s="5">
        <v>17.579999999999998</v>
      </c>
      <c r="I139" s="5">
        <v>17.579999999999998</v>
      </c>
      <c r="J139" s="5">
        <v>17.579999999999998</v>
      </c>
      <c r="K139" s="5">
        <v>17.579999999999998</v>
      </c>
      <c r="L139" s="5">
        <v>17.579999999999998</v>
      </c>
      <c r="M139" s="5">
        <v>315.20999999999998</v>
      </c>
      <c r="N139" s="5">
        <v>315.20999999999998</v>
      </c>
      <c r="O139" s="5">
        <v>315.20999999999998</v>
      </c>
      <c r="P139" s="5">
        <v>16.95</v>
      </c>
      <c r="Q139" s="5">
        <v>16.95</v>
      </c>
      <c r="R139" s="5">
        <v>16.95</v>
      </c>
    </row>
    <row r="140" spans="1:18" x14ac:dyDescent="0.25">
      <c r="A140">
        <v>2004</v>
      </c>
      <c r="B140">
        <v>1</v>
      </c>
      <c r="C140">
        <v>5</v>
      </c>
      <c r="D140" t="str">
        <f t="shared" si="2"/>
        <v>DC200401-sem5</v>
      </c>
      <c r="E140" s="1">
        <v>38010</v>
      </c>
      <c r="F140" s="1">
        <v>38016</v>
      </c>
      <c r="G140" s="5">
        <v>27.28</v>
      </c>
      <c r="H140" s="5">
        <v>27.28</v>
      </c>
      <c r="I140" s="5">
        <v>27.28</v>
      </c>
      <c r="J140" s="5">
        <v>27.28</v>
      </c>
      <c r="K140" s="5">
        <v>27.28</v>
      </c>
      <c r="L140" s="5">
        <v>27.28</v>
      </c>
      <c r="M140" s="5">
        <v>255.33</v>
      </c>
      <c r="N140" s="5">
        <v>255.33</v>
      </c>
      <c r="O140" s="5">
        <v>255.33</v>
      </c>
      <c r="P140" s="5">
        <v>18.59</v>
      </c>
      <c r="Q140" s="5">
        <v>18.59</v>
      </c>
      <c r="R140" s="5">
        <v>18.59</v>
      </c>
    </row>
    <row r="141" spans="1:18" x14ac:dyDescent="0.25">
      <c r="A141">
        <v>2004</v>
      </c>
      <c r="B141">
        <v>2</v>
      </c>
      <c r="C141">
        <v>1</v>
      </c>
      <c r="D141" t="str">
        <f t="shared" si="2"/>
        <v>DC200402-sem1</v>
      </c>
      <c r="E141" s="1">
        <v>38017</v>
      </c>
      <c r="F141" s="1">
        <v>38023</v>
      </c>
      <c r="G141" s="5">
        <v>18.59</v>
      </c>
      <c r="H141" s="5">
        <v>18.59</v>
      </c>
      <c r="I141" s="5">
        <v>18.59</v>
      </c>
      <c r="J141" s="5">
        <v>18.59</v>
      </c>
      <c r="K141" s="5">
        <v>18.59</v>
      </c>
      <c r="L141" s="5">
        <v>18.59</v>
      </c>
      <c r="M141" s="5">
        <v>18.59</v>
      </c>
      <c r="N141" s="5">
        <v>18.59</v>
      </c>
      <c r="O141" s="5">
        <v>18.59</v>
      </c>
      <c r="P141" s="5">
        <v>18.59</v>
      </c>
      <c r="Q141" s="5">
        <v>18.59</v>
      </c>
      <c r="R141" s="5">
        <v>18.59</v>
      </c>
    </row>
    <row r="142" spans="1:18" x14ac:dyDescent="0.25">
      <c r="A142">
        <v>2004</v>
      </c>
      <c r="B142">
        <v>2</v>
      </c>
      <c r="C142">
        <v>2</v>
      </c>
      <c r="D142" t="str">
        <f t="shared" si="2"/>
        <v>DC200402-sem2</v>
      </c>
      <c r="E142" s="1">
        <v>38024</v>
      </c>
      <c r="F142" s="1">
        <v>38030</v>
      </c>
      <c r="G142" s="5">
        <v>18.59</v>
      </c>
      <c r="H142" s="5">
        <v>18.59</v>
      </c>
      <c r="I142" s="5">
        <v>18.59</v>
      </c>
      <c r="J142" s="5">
        <v>18.59</v>
      </c>
      <c r="K142" s="5">
        <v>18.59</v>
      </c>
      <c r="L142" s="5">
        <v>18.59</v>
      </c>
      <c r="M142" s="5">
        <v>18.59</v>
      </c>
      <c r="N142" s="5">
        <v>18.59</v>
      </c>
      <c r="O142" s="5">
        <v>18.59</v>
      </c>
      <c r="P142" s="5">
        <v>18.59</v>
      </c>
      <c r="Q142" s="5">
        <v>18.59</v>
      </c>
      <c r="R142" s="5">
        <v>18.59</v>
      </c>
    </row>
    <row r="143" spans="1:18" x14ac:dyDescent="0.25">
      <c r="A143">
        <v>2004</v>
      </c>
      <c r="B143">
        <v>2</v>
      </c>
      <c r="C143">
        <v>3</v>
      </c>
      <c r="D143" t="str">
        <f t="shared" si="2"/>
        <v>DC200402-sem3</v>
      </c>
      <c r="E143" s="1">
        <v>38031</v>
      </c>
      <c r="F143" s="1">
        <v>38037</v>
      </c>
      <c r="G143" s="5">
        <v>18.59</v>
      </c>
      <c r="H143" s="5">
        <v>18.59</v>
      </c>
      <c r="I143" s="5">
        <v>18.59</v>
      </c>
      <c r="J143" s="5">
        <v>18.59</v>
      </c>
      <c r="K143" s="5">
        <v>18.59</v>
      </c>
      <c r="L143" s="5">
        <v>18.59</v>
      </c>
      <c r="M143" s="5">
        <v>18.59</v>
      </c>
      <c r="N143" s="5">
        <v>18.59</v>
      </c>
      <c r="O143" s="5">
        <v>18.59</v>
      </c>
      <c r="P143" s="5">
        <v>18.59</v>
      </c>
      <c r="Q143" s="5">
        <v>18.59</v>
      </c>
      <c r="R143" s="5">
        <v>18.59</v>
      </c>
    </row>
    <row r="144" spans="1:18" x14ac:dyDescent="0.25">
      <c r="A144">
        <v>2004</v>
      </c>
      <c r="B144">
        <v>2</v>
      </c>
      <c r="C144">
        <v>4</v>
      </c>
      <c r="D144" t="str">
        <f t="shared" si="2"/>
        <v>DC200402-sem4</v>
      </c>
      <c r="E144" s="1">
        <v>38038</v>
      </c>
      <c r="F144" s="1">
        <v>38044</v>
      </c>
      <c r="G144" s="5">
        <v>18.59</v>
      </c>
      <c r="H144" s="5">
        <v>18.59</v>
      </c>
      <c r="I144" s="5">
        <v>18.59</v>
      </c>
      <c r="J144" s="5">
        <v>18.59</v>
      </c>
      <c r="K144" s="5">
        <v>18.59</v>
      </c>
      <c r="L144" s="5">
        <v>18.59</v>
      </c>
      <c r="M144" s="5">
        <v>18.59</v>
      </c>
      <c r="N144" s="5">
        <v>18.59</v>
      </c>
      <c r="O144" s="5">
        <v>18.59</v>
      </c>
      <c r="P144" s="5">
        <v>18.59</v>
      </c>
      <c r="Q144" s="5">
        <v>18.59</v>
      </c>
      <c r="R144" s="5">
        <v>18.59</v>
      </c>
    </row>
    <row r="145" spans="1:18" x14ac:dyDescent="0.25">
      <c r="A145">
        <v>2004</v>
      </c>
      <c r="B145">
        <v>3</v>
      </c>
      <c r="C145">
        <v>1</v>
      </c>
      <c r="D145" t="str">
        <f t="shared" si="2"/>
        <v>DC200403-sem1</v>
      </c>
      <c r="E145" s="1">
        <v>38045</v>
      </c>
      <c r="F145" s="1">
        <v>38051</v>
      </c>
      <c r="G145" s="5">
        <v>18.59</v>
      </c>
      <c r="H145" s="5">
        <v>18.59</v>
      </c>
      <c r="I145" s="5">
        <v>18.59</v>
      </c>
      <c r="J145" s="5">
        <v>18.59</v>
      </c>
      <c r="K145" s="5">
        <v>18.59</v>
      </c>
      <c r="L145" s="5">
        <v>18.59</v>
      </c>
      <c r="M145" s="5">
        <v>18.59</v>
      </c>
      <c r="N145" s="5">
        <v>18.59</v>
      </c>
      <c r="O145" s="5">
        <v>18.59</v>
      </c>
      <c r="P145" s="5">
        <v>18.59</v>
      </c>
      <c r="Q145" s="5">
        <v>18.59</v>
      </c>
      <c r="R145" s="5">
        <v>18.59</v>
      </c>
    </row>
    <row r="146" spans="1:18" x14ac:dyDescent="0.25">
      <c r="A146">
        <v>2004</v>
      </c>
      <c r="B146">
        <v>3</v>
      </c>
      <c r="C146">
        <v>2</v>
      </c>
      <c r="D146" t="str">
        <f t="shared" si="2"/>
        <v>DC200403-sem2</v>
      </c>
      <c r="E146" s="1">
        <v>38052</v>
      </c>
      <c r="F146" s="1">
        <v>38058</v>
      </c>
      <c r="G146" s="5">
        <v>18.59</v>
      </c>
      <c r="H146" s="5">
        <v>18.59</v>
      </c>
      <c r="I146" s="5">
        <v>18.59</v>
      </c>
      <c r="J146" s="5">
        <v>18.59</v>
      </c>
      <c r="K146" s="5">
        <v>18.59</v>
      </c>
      <c r="L146" s="5">
        <v>18.59</v>
      </c>
      <c r="M146" s="5">
        <v>18.59</v>
      </c>
      <c r="N146" s="5">
        <v>18.59</v>
      </c>
      <c r="O146" s="5">
        <v>18.59</v>
      </c>
      <c r="P146" s="5">
        <v>18.59</v>
      </c>
      <c r="Q146" s="5">
        <v>18.59</v>
      </c>
      <c r="R146" s="5">
        <v>18.59</v>
      </c>
    </row>
    <row r="147" spans="1:18" x14ac:dyDescent="0.25">
      <c r="A147">
        <v>2004</v>
      </c>
      <c r="B147">
        <v>3</v>
      </c>
      <c r="C147">
        <v>3</v>
      </c>
      <c r="D147" t="str">
        <f t="shared" si="2"/>
        <v>DC200403-sem3</v>
      </c>
      <c r="E147" s="1">
        <v>38059</v>
      </c>
      <c r="F147" s="1">
        <v>38065</v>
      </c>
      <c r="G147" s="5">
        <v>18.59</v>
      </c>
      <c r="H147" s="5">
        <v>18.59</v>
      </c>
      <c r="I147" s="5">
        <v>18.59</v>
      </c>
      <c r="J147" s="5">
        <v>18.59</v>
      </c>
      <c r="K147" s="5">
        <v>18.59</v>
      </c>
      <c r="L147" s="5">
        <v>18.59</v>
      </c>
      <c r="M147" s="5">
        <v>18.59</v>
      </c>
      <c r="N147" s="5">
        <v>18.59</v>
      </c>
      <c r="O147" s="5">
        <v>18.59</v>
      </c>
      <c r="P147" s="5">
        <v>18.59</v>
      </c>
      <c r="Q147" s="5">
        <v>18.59</v>
      </c>
      <c r="R147" s="5">
        <v>18.59</v>
      </c>
    </row>
    <row r="148" spans="1:18" x14ac:dyDescent="0.25">
      <c r="A148">
        <v>2004</v>
      </c>
      <c r="B148">
        <v>3</v>
      </c>
      <c r="C148">
        <v>4</v>
      </c>
      <c r="D148" t="str">
        <f t="shared" si="2"/>
        <v>DC200403-sem4</v>
      </c>
      <c r="E148" s="1">
        <v>38066</v>
      </c>
      <c r="F148" s="1">
        <v>38072</v>
      </c>
      <c r="G148" s="5">
        <v>18.59</v>
      </c>
      <c r="H148" s="5">
        <v>18.59</v>
      </c>
      <c r="I148" s="5">
        <v>18.59</v>
      </c>
      <c r="J148" s="5">
        <v>18.59</v>
      </c>
      <c r="K148" s="5">
        <v>18.59</v>
      </c>
      <c r="L148" s="5">
        <v>18.59</v>
      </c>
      <c r="M148" s="5">
        <v>18.59</v>
      </c>
      <c r="N148" s="5">
        <v>18.59</v>
      </c>
      <c r="O148" s="5">
        <v>18.59</v>
      </c>
      <c r="P148" s="5">
        <v>18.59</v>
      </c>
      <c r="Q148" s="5">
        <v>18.59</v>
      </c>
      <c r="R148" s="5">
        <v>18.59</v>
      </c>
    </row>
    <row r="149" spans="1:18" x14ac:dyDescent="0.25">
      <c r="A149">
        <v>2004</v>
      </c>
      <c r="B149">
        <v>4</v>
      </c>
      <c r="C149">
        <v>1</v>
      </c>
      <c r="D149" t="str">
        <f t="shared" si="2"/>
        <v>DC200404-sem1</v>
      </c>
      <c r="E149" s="1">
        <v>38073</v>
      </c>
      <c r="F149" s="1">
        <v>38079</v>
      </c>
      <c r="G149" s="5">
        <v>18.59</v>
      </c>
      <c r="H149" s="5">
        <v>18.59</v>
      </c>
      <c r="I149" s="5">
        <v>18.59</v>
      </c>
      <c r="J149" s="5">
        <v>18.59</v>
      </c>
      <c r="K149" s="5">
        <v>18.59</v>
      </c>
      <c r="L149" s="5">
        <v>18.59</v>
      </c>
      <c r="M149" s="5">
        <v>18.59</v>
      </c>
      <c r="N149" s="5">
        <v>18.59</v>
      </c>
      <c r="O149" s="5">
        <v>18.59</v>
      </c>
      <c r="P149" s="5">
        <v>18.59</v>
      </c>
      <c r="Q149" s="5">
        <v>18.59</v>
      </c>
      <c r="R149" s="5">
        <v>18.59</v>
      </c>
    </row>
    <row r="150" spans="1:18" x14ac:dyDescent="0.25">
      <c r="A150">
        <v>2004</v>
      </c>
      <c r="B150">
        <v>4</v>
      </c>
      <c r="C150">
        <v>2</v>
      </c>
      <c r="D150" t="str">
        <f t="shared" si="2"/>
        <v>DC200404-sem2</v>
      </c>
      <c r="E150" s="1">
        <v>38080</v>
      </c>
      <c r="F150" s="1">
        <v>38086</v>
      </c>
      <c r="G150" s="5">
        <v>18.59</v>
      </c>
      <c r="H150" s="5">
        <v>18.59</v>
      </c>
      <c r="I150" s="5">
        <v>18.59</v>
      </c>
      <c r="J150" s="5">
        <v>18.59</v>
      </c>
      <c r="K150" s="5">
        <v>18.59</v>
      </c>
      <c r="L150" s="5">
        <v>18.59</v>
      </c>
      <c r="M150" s="5">
        <v>18.59</v>
      </c>
      <c r="N150" s="5">
        <v>18.59</v>
      </c>
      <c r="O150" s="5">
        <v>18.59</v>
      </c>
      <c r="P150" s="5">
        <v>18.59</v>
      </c>
      <c r="Q150" s="5">
        <v>18.59</v>
      </c>
      <c r="R150" s="5">
        <v>18.59</v>
      </c>
    </row>
    <row r="151" spans="1:18" x14ac:dyDescent="0.25">
      <c r="A151">
        <v>2004</v>
      </c>
      <c r="B151">
        <v>4</v>
      </c>
      <c r="C151">
        <v>3</v>
      </c>
      <c r="D151" t="str">
        <f t="shared" si="2"/>
        <v>DC200404-sem3</v>
      </c>
      <c r="E151" s="1">
        <v>38087</v>
      </c>
      <c r="F151" s="1">
        <v>38093</v>
      </c>
      <c r="G151" s="5">
        <v>18.59</v>
      </c>
      <c r="H151" s="5">
        <v>18.59</v>
      </c>
      <c r="I151" s="5">
        <v>18.59</v>
      </c>
      <c r="J151" s="5">
        <v>18.59</v>
      </c>
      <c r="K151" s="5">
        <v>18.59</v>
      </c>
      <c r="L151" s="5">
        <v>18.59</v>
      </c>
      <c r="M151" s="5">
        <v>18.59</v>
      </c>
      <c r="N151" s="5">
        <v>18.59</v>
      </c>
      <c r="O151" s="5">
        <v>18.59</v>
      </c>
      <c r="P151" s="5">
        <v>18.59</v>
      </c>
      <c r="Q151" s="5">
        <v>18.59</v>
      </c>
      <c r="R151" s="5">
        <v>18.59</v>
      </c>
    </row>
    <row r="152" spans="1:18" x14ac:dyDescent="0.25">
      <c r="A152">
        <v>2004</v>
      </c>
      <c r="B152">
        <v>4</v>
      </c>
      <c r="C152">
        <v>4</v>
      </c>
      <c r="D152" t="str">
        <f t="shared" si="2"/>
        <v>DC200404-sem4</v>
      </c>
      <c r="E152" s="1">
        <v>38094</v>
      </c>
      <c r="F152" s="1">
        <v>38100</v>
      </c>
      <c r="G152" s="5">
        <v>18.59</v>
      </c>
      <c r="H152" s="5">
        <v>18.59</v>
      </c>
      <c r="I152" s="5">
        <v>18.59</v>
      </c>
      <c r="J152" s="5">
        <v>18.59</v>
      </c>
      <c r="K152" s="5">
        <v>18.59</v>
      </c>
      <c r="L152" s="5">
        <v>18.59</v>
      </c>
      <c r="M152" s="5">
        <v>18.59</v>
      </c>
      <c r="N152" s="5">
        <v>18.59</v>
      </c>
      <c r="O152" s="5">
        <v>18.59</v>
      </c>
      <c r="P152" s="5">
        <v>18.59</v>
      </c>
      <c r="Q152" s="5">
        <v>18.59</v>
      </c>
      <c r="R152" s="5">
        <v>18.59</v>
      </c>
    </row>
    <row r="153" spans="1:18" x14ac:dyDescent="0.25">
      <c r="A153">
        <v>2004</v>
      </c>
      <c r="B153">
        <v>4</v>
      </c>
      <c r="C153">
        <v>5</v>
      </c>
      <c r="D153" t="str">
        <f t="shared" si="2"/>
        <v>DC200404-sem5</v>
      </c>
      <c r="E153" s="1">
        <v>38101</v>
      </c>
      <c r="F153" s="1">
        <v>38107</v>
      </c>
      <c r="G153" s="5">
        <v>18.59</v>
      </c>
      <c r="H153" s="5">
        <v>18.59</v>
      </c>
      <c r="I153" s="5">
        <v>18.59</v>
      </c>
      <c r="J153" s="5">
        <v>18.59</v>
      </c>
      <c r="K153" s="5">
        <v>18.59</v>
      </c>
      <c r="L153" s="5">
        <v>18.59</v>
      </c>
      <c r="M153" s="5">
        <v>18.59</v>
      </c>
      <c r="N153" s="5">
        <v>18.59</v>
      </c>
      <c r="O153" s="5">
        <v>18.59</v>
      </c>
      <c r="P153" s="5">
        <v>18.59</v>
      </c>
      <c r="Q153" s="5">
        <v>18.59</v>
      </c>
      <c r="R153" s="5">
        <v>18.59</v>
      </c>
    </row>
    <row r="154" spans="1:18" x14ac:dyDescent="0.25">
      <c r="A154">
        <v>2004</v>
      </c>
      <c r="B154">
        <v>5</v>
      </c>
      <c r="C154">
        <v>1</v>
      </c>
      <c r="D154" t="str">
        <f t="shared" si="2"/>
        <v>DC200405-sem1</v>
      </c>
      <c r="E154" s="1">
        <v>38108</v>
      </c>
      <c r="F154" s="1">
        <v>38114</v>
      </c>
      <c r="G154" s="5">
        <v>18.59</v>
      </c>
      <c r="H154" s="5">
        <v>18.59</v>
      </c>
      <c r="I154" s="5">
        <v>18.59</v>
      </c>
      <c r="J154" s="5">
        <v>18.59</v>
      </c>
      <c r="K154" s="5">
        <v>18.59</v>
      </c>
      <c r="L154" s="5">
        <v>18.59</v>
      </c>
      <c r="M154" s="5">
        <v>18.59</v>
      </c>
      <c r="N154" s="5">
        <v>18.59</v>
      </c>
      <c r="O154" s="5">
        <v>18.59</v>
      </c>
      <c r="P154" s="5">
        <v>18.59</v>
      </c>
      <c r="Q154" s="5">
        <v>18.59</v>
      </c>
      <c r="R154" s="5">
        <v>18.59</v>
      </c>
    </row>
    <row r="155" spans="1:18" x14ac:dyDescent="0.25">
      <c r="A155">
        <v>2004</v>
      </c>
      <c r="B155">
        <v>5</v>
      </c>
      <c r="C155">
        <v>2</v>
      </c>
      <c r="D155" t="str">
        <f t="shared" si="2"/>
        <v>DC200405-sem2</v>
      </c>
      <c r="E155" s="1">
        <v>38115</v>
      </c>
      <c r="F155" s="1">
        <v>38121</v>
      </c>
      <c r="G155" s="5">
        <v>18.59</v>
      </c>
      <c r="H155" s="5">
        <v>18.59</v>
      </c>
      <c r="I155" s="5">
        <v>18.59</v>
      </c>
      <c r="J155" s="5">
        <v>18.59</v>
      </c>
      <c r="K155" s="5">
        <v>18.59</v>
      </c>
      <c r="L155" s="5">
        <v>18.59</v>
      </c>
      <c r="M155" s="5">
        <v>18.59</v>
      </c>
      <c r="N155" s="5">
        <v>18.59</v>
      </c>
      <c r="O155" s="5">
        <v>18.59</v>
      </c>
      <c r="P155" s="5">
        <v>18.59</v>
      </c>
      <c r="Q155" s="5">
        <v>18.59</v>
      </c>
      <c r="R155" s="5">
        <v>18.59</v>
      </c>
    </row>
    <row r="156" spans="1:18" x14ac:dyDescent="0.25">
      <c r="A156">
        <v>2004</v>
      </c>
      <c r="B156">
        <v>5</v>
      </c>
      <c r="C156">
        <v>3</v>
      </c>
      <c r="D156" t="str">
        <f t="shared" si="2"/>
        <v>DC200405-sem3</v>
      </c>
      <c r="E156" s="1">
        <v>38122</v>
      </c>
      <c r="F156" s="1">
        <v>38128</v>
      </c>
      <c r="G156" s="5">
        <v>18.59</v>
      </c>
      <c r="H156" s="5">
        <v>18.59</v>
      </c>
      <c r="I156" s="5">
        <v>18.59</v>
      </c>
      <c r="J156" s="5">
        <v>18.59</v>
      </c>
      <c r="K156" s="5">
        <v>18.59</v>
      </c>
      <c r="L156" s="5">
        <v>18.59</v>
      </c>
      <c r="M156" s="5">
        <v>18.59</v>
      </c>
      <c r="N156" s="5">
        <v>18.59</v>
      </c>
      <c r="O156" s="5">
        <v>18.59</v>
      </c>
      <c r="P156" s="5">
        <v>18.59</v>
      </c>
      <c r="Q156" s="5">
        <v>18.59</v>
      </c>
      <c r="R156" s="5">
        <v>18.59</v>
      </c>
    </row>
    <row r="157" spans="1:18" x14ac:dyDescent="0.25">
      <c r="A157">
        <v>2004</v>
      </c>
      <c r="B157">
        <v>5</v>
      </c>
      <c r="C157">
        <v>4</v>
      </c>
      <c r="D157" t="str">
        <f t="shared" si="2"/>
        <v>DC200405-sem4</v>
      </c>
      <c r="E157" s="1">
        <v>38129</v>
      </c>
      <c r="F157" s="1">
        <v>38135</v>
      </c>
      <c r="G157" s="5">
        <v>18.59</v>
      </c>
      <c r="H157" s="5">
        <v>18.59</v>
      </c>
      <c r="I157" s="5">
        <v>18.59</v>
      </c>
      <c r="J157" s="5">
        <v>18.59</v>
      </c>
      <c r="K157" s="5">
        <v>18.59</v>
      </c>
      <c r="L157" s="5">
        <v>18.59</v>
      </c>
      <c r="M157" s="5">
        <v>18.59</v>
      </c>
      <c r="N157" s="5">
        <v>18.59</v>
      </c>
      <c r="O157" s="5">
        <v>18.59</v>
      </c>
      <c r="P157" s="5">
        <v>18.59</v>
      </c>
      <c r="Q157" s="5">
        <v>18.59</v>
      </c>
      <c r="R157" s="5">
        <v>18.59</v>
      </c>
    </row>
    <row r="158" spans="1:18" x14ac:dyDescent="0.25">
      <c r="A158">
        <v>2004</v>
      </c>
      <c r="B158">
        <v>6</v>
      </c>
      <c r="C158">
        <v>1</v>
      </c>
      <c r="D158" t="str">
        <f t="shared" si="2"/>
        <v>DC200406-sem1</v>
      </c>
      <c r="E158" s="1">
        <v>38136</v>
      </c>
      <c r="F158" s="1">
        <v>38142</v>
      </c>
      <c r="G158" s="5">
        <v>18.59</v>
      </c>
      <c r="H158" s="5">
        <v>18.59</v>
      </c>
      <c r="I158" s="5">
        <v>18.59</v>
      </c>
      <c r="J158" s="5">
        <v>18.59</v>
      </c>
      <c r="K158" s="5">
        <v>18.59</v>
      </c>
      <c r="L158" s="5">
        <v>18.59</v>
      </c>
      <c r="M158" s="5">
        <v>18.59</v>
      </c>
      <c r="N158" s="5">
        <v>18.59</v>
      </c>
      <c r="O158" s="5">
        <v>18.59</v>
      </c>
      <c r="P158" s="5">
        <v>18.59</v>
      </c>
      <c r="Q158" s="5">
        <v>18.59</v>
      </c>
      <c r="R158" s="5">
        <v>18.59</v>
      </c>
    </row>
    <row r="159" spans="1:18" x14ac:dyDescent="0.25">
      <c r="A159">
        <v>2004</v>
      </c>
      <c r="B159">
        <v>6</v>
      </c>
      <c r="C159">
        <v>2</v>
      </c>
      <c r="D159" t="str">
        <f t="shared" si="2"/>
        <v>DC200406-sem2</v>
      </c>
      <c r="E159" s="1">
        <v>38143</v>
      </c>
      <c r="F159" s="1">
        <v>38149</v>
      </c>
      <c r="G159" s="5">
        <v>18.59</v>
      </c>
      <c r="H159" s="5">
        <v>18.59</v>
      </c>
      <c r="I159" s="5">
        <v>18.59</v>
      </c>
      <c r="J159" s="5">
        <v>18.59</v>
      </c>
      <c r="K159" s="5">
        <v>18.59</v>
      </c>
      <c r="L159" s="5">
        <v>18.59</v>
      </c>
      <c r="M159" s="5">
        <v>18.59</v>
      </c>
      <c r="N159" s="5">
        <v>18.59</v>
      </c>
      <c r="O159" s="5">
        <v>18.59</v>
      </c>
      <c r="P159" s="5">
        <v>18.59</v>
      </c>
      <c r="Q159" s="5">
        <v>18.59</v>
      </c>
      <c r="R159" s="5">
        <v>18.59</v>
      </c>
    </row>
    <row r="160" spans="1:18" x14ac:dyDescent="0.25">
      <c r="A160">
        <v>2004</v>
      </c>
      <c r="B160">
        <v>6</v>
      </c>
      <c r="C160">
        <v>3</v>
      </c>
      <c r="D160" t="str">
        <f t="shared" si="2"/>
        <v>DC200406-sem3</v>
      </c>
      <c r="E160" s="1">
        <v>38150</v>
      </c>
      <c r="F160" s="1">
        <v>38156</v>
      </c>
      <c r="G160" s="5">
        <v>18.59</v>
      </c>
      <c r="H160" s="5">
        <v>18.59</v>
      </c>
      <c r="I160" s="5">
        <v>18.59</v>
      </c>
      <c r="J160" s="5">
        <v>18.59</v>
      </c>
      <c r="K160" s="5">
        <v>18.59</v>
      </c>
      <c r="L160" s="5">
        <v>18.59</v>
      </c>
      <c r="M160" s="5">
        <v>18.59</v>
      </c>
      <c r="N160" s="5">
        <v>18.59</v>
      </c>
      <c r="O160" s="5">
        <v>18.59</v>
      </c>
      <c r="P160" s="5">
        <v>18.59</v>
      </c>
      <c r="Q160" s="5">
        <v>18.59</v>
      </c>
      <c r="R160" s="5">
        <v>18.59</v>
      </c>
    </row>
    <row r="161" spans="1:18" x14ac:dyDescent="0.25">
      <c r="A161">
        <v>2004</v>
      </c>
      <c r="B161">
        <v>6</v>
      </c>
      <c r="C161">
        <v>4</v>
      </c>
      <c r="D161" t="str">
        <f t="shared" si="2"/>
        <v>DC200406-sem4</v>
      </c>
      <c r="E161" s="1">
        <v>38157</v>
      </c>
      <c r="F161" s="1">
        <v>38163</v>
      </c>
      <c r="G161" s="5">
        <v>18.59</v>
      </c>
      <c r="H161" s="5">
        <v>18.59</v>
      </c>
      <c r="I161" s="5">
        <v>18.59</v>
      </c>
      <c r="J161" s="5">
        <v>18.59</v>
      </c>
      <c r="K161" s="5">
        <v>18.59</v>
      </c>
      <c r="L161" s="5">
        <v>18.59</v>
      </c>
      <c r="M161" s="5">
        <v>18.59</v>
      </c>
      <c r="N161" s="5">
        <v>18.59</v>
      </c>
      <c r="O161" s="5">
        <v>18.59</v>
      </c>
      <c r="P161" s="5">
        <v>18.59</v>
      </c>
      <c r="Q161" s="5">
        <v>18.59</v>
      </c>
      <c r="R161" s="5">
        <v>18.59</v>
      </c>
    </row>
    <row r="162" spans="1:18" x14ac:dyDescent="0.25">
      <c r="A162">
        <v>2004</v>
      </c>
      <c r="B162">
        <v>7</v>
      </c>
      <c r="C162">
        <v>1</v>
      </c>
      <c r="D162" t="str">
        <f t="shared" si="2"/>
        <v>DC200407-sem1</v>
      </c>
      <c r="E162" s="1">
        <v>38164</v>
      </c>
      <c r="F162" s="1">
        <v>38170</v>
      </c>
      <c r="G162" s="5">
        <v>18.59</v>
      </c>
      <c r="H162" s="5">
        <v>18.59</v>
      </c>
      <c r="I162" s="5">
        <v>18.59</v>
      </c>
      <c r="J162" s="5">
        <v>18.59</v>
      </c>
      <c r="K162" s="5">
        <v>18.59</v>
      </c>
      <c r="L162" s="5">
        <v>18.59</v>
      </c>
      <c r="M162" s="5">
        <v>18.59</v>
      </c>
      <c r="N162" s="5">
        <v>18.59</v>
      </c>
      <c r="O162" s="5">
        <v>18.59</v>
      </c>
      <c r="P162" s="5">
        <v>18.59</v>
      </c>
      <c r="Q162" s="5">
        <v>18.59</v>
      </c>
      <c r="R162" s="5">
        <v>18.59</v>
      </c>
    </row>
    <row r="163" spans="1:18" x14ac:dyDescent="0.25">
      <c r="A163">
        <v>2004</v>
      </c>
      <c r="B163">
        <v>7</v>
      </c>
      <c r="C163">
        <v>2</v>
      </c>
      <c r="D163" t="str">
        <f t="shared" si="2"/>
        <v>DC200407-sem2</v>
      </c>
      <c r="E163" s="1">
        <v>38171</v>
      </c>
      <c r="F163" s="1">
        <v>38177</v>
      </c>
      <c r="G163" s="5">
        <v>18.59</v>
      </c>
      <c r="H163" s="5">
        <v>18.59</v>
      </c>
      <c r="I163" s="5">
        <v>18.59</v>
      </c>
      <c r="J163" s="5">
        <v>18.59</v>
      </c>
      <c r="K163" s="5">
        <v>18.59</v>
      </c>
      <c r="L163" s="5">
        <v>18.59</v>
      </c>
      <c r="M163" s="5">
        <v>18.59</v>
      </c>
      <c r="N163" s="5">
        <v>18.59</v>
      </c>
      <c r="O163" s="5">
        <v>18.59</v>
      </c>
      <c r="P163" s="5">
        <v>18.59</v>
      </c>
      <c r="Q163" s="5">
        <v>18.59</v>
      </c>
      <c r="R163" s="5">
        <v>18.59</v>
      </c>
    </row>
    <row r="164" spans="1:18" x14ac:dyDescent="0.25">
      <c r="A164">
        <v>2004</v>
      </c>
      <c r="B164">
        <v>7</v>
      </c>
      <c r="C164">
        <v>3</v>
      </c>
      <c r="D164" t="str">
        <f t="shared" si="2"/>
        <v>DC200407-sem3</v>
      </c>
      <c r="E164" s="1">
        <v>38178</v>
      </c>
      <c r="F164" s="1">
        <v>38184</v>
      </c>
      <c r="G164" s="5">
        <v>18.59</v>
      </c>
      <c r="H164" s="5">
        <v>18.59</v>
      </c>
      <c r="I164" s="5">
        <v>18.59</v>
      </c>
      <c r="J164" s="5">
        <v>18.59</v>
      </c>
      <c r="K164" s="5">
        <v>18.59</v>
      </c>
      <c r="L164" s="5">
        <v>18.59</v>
      </c>
      <c r="M164" s="5">
        <v>18.59</v>
      </c>
      <c r="N164" s="5">
        <v>18.59</v>
      </c>
      <c r="O164" s="5">
        <v>18.59</v>
      </c>
      <c r="P164" s="5">
        <v>18.59</v>
      </c>
      <c r="Q164" s="5">
        <v>18.59</v>
      </c>
      <c r="R164" s="5">
        <v>18.59</v>
      </c>
    </row>
    <row r="165" spans="1:18" x14ac:dyDescent="0.25">
      <c r="A165">
        <v>2004</v>
      </c>
      <c r="B165">
        <v>7</v>
      </c>
      <c r="C165">
        <v>4</v>
      </c>
      <c r="D165" t="str">
        <f t="shared" si="2"/>
        <v>DC200407-sem4</v>
      </c>
      <c r="E165" s="1">
        <v>38185</v>
      </c>
      <c r="F165" s="1">
        <v>38191</v>
      </c>
      <c r="G165" s="5">
        <v>18.59</v>
      </c>
      <c r="H165" s="5">
        <v>18.59</v>
      </c>
      <c r="I165" s="5">
        <v>18.59</v>
      </c>
      <c r="J165" s="5">
        <v>18.59</v>
      </c>
      <c r="K165" s="5">
        <v>18.59</v>
      </c>
      <c r="L165" s="5">
        <v>18.59</v>
      </c>
      <c r="M165" s="5">
        <v>18.59</v>
      </c>
      <c r="N165" s="5">
        <v>18.59</v>
      </c>
      <c r="O165" s="5">
        <v>18.59</v>
      </c>
      <c r="P165" s="5">
        <v>18.59</v>
      </c>
      <c r="Q165" s="5">
        <v>18.59</v>
      </c>
      <c r="R165" s="5">
        <v>18.59</v>
      </c>
    </row>
    <row r="166" spans="1:18" x14ac:dyDescent="0.25">
      <c r="A166">
        <v>2004</v>
      </c>
      <c r="B166">
        <v>7</v>
      </c>
      <c r="C166">
        <v>5</v>
      </c>
      <c r="D166" t="str">
        <f t="shared" si="2"/>
        <v>DC200407-sem5</v>
      </c>
      <c r="E166" s="1">
        <v>38192</v>
      </c>
      <c r="F166" s="1">
        <v>38198</v>
      </c>
      <c r="G166" s="5">
        <v>18.59</v>
      </c>
      <c r="H166" s="5">
        <v>18.59</v>
      </c>
      <c r="I166" s="5">
        <v>18.59</v>
      </c>
      <c r="J166" s="5">
        <v>18.59</v>
      </c>
      <c r="K166" s="5">
        <v>18.59</v>
      </c>
      <c r="L166" s="5">
        <v>18.59</v>
      </c>
      <c r="M166" s="5">
        <v>18.59</v>
      </c>
      <c r="N166" s="5">
        <v>18.59</v>
      </c>
      <c r="O166" s="5">
        <v>18.59</v>
      </c>
      <c r="P166" s="5">
        <v>18.59</v>
      </c>
      <c r="Q166" s="5">
        <v>18.59</v>
      </c>
      <c r="R166" s="5">
        <v>18.59</v>
      </c>
    </row>
    <row r="167" spans="1:18" x14ac:dyDescent="0.25">
      <c r="A167">
        <v>2004</v>
      </c>
      <c r="B167">
        <v>8</v>
      </c>
      <c r="C167">
        <v>1</v>
      </c>
      <c r="D167" t="str">
        <f t="shared" si="2"/>
        <v>DC200408-sem1</v>
      </c>
      <c r="E167" s="1">
        <v>38199</v>
      </c>
      <c r="F167" s="1">
        <v>38205</v>
      </c>
      <c r="G167" s="5">
        <v>18.59</v>
      </c>
      <c r="H167" s="5">
        <v>18.59</v>
      </c>
      <c r="I167" s="5">
        <v>18.59</v>
      </c>
      <c r="J167" s="5">
        <v>18.59</v>
      </c>
      <c r="K167" s="5">
        <v>18.59</v>
      </c>
      <c r="L167" s="5">
        <v>18.59</v>
      </c>
      <c r="M167" s="5">
        <v>18.59</v>
      </c>
      <c r="N167" s="5">
        <v>18.59</v>
      </c>
      <c r="O167" s="5">
        <v>18.59</v>
      </c>
      <c r="P167" s="5">
        <v>18.59</v>
      </c>
      <c r="Q167" s="5">
        <v>18.59</v>
      </c>
      <c r="R167" s="5">
        <v>18.59</v>
      </c>
    </row>
    <row r="168" spans="1:18" x14ac:dyDescent="0.25">
      <c r="A168">
        <v>2004</v>
      </c>
      <c r="B168">
        <v>8</v>
      </c>
      <c r="C168">
        <v>2</v>
      </c>
      <c r="D168" t="str">
        <f t="shared" si="2"/>
        <v>DC200408-sem2</v>
      </c>
      <c r="E168" s="1">
        <v>38206</v>
      </c>
      <c r="F168" s="1">
        <v>38212</v>
      </c>
      <c r="G168" s="5">
        <v>18.59</v>
      </c>
      <c r="H168" s="5">
        <v>18.59</v>
      </c>
      <c r="I168" s="5">
        <v>18.59</v>
      </c>
      <c r="J168" s="5">
        <v>18.59</v>
      </c>
      <c r="K168" s="5">
        <v>18.59</v>
      </c>
      <c r="L168" s="5">
        <v>18.59</v>
      </c>
      <c r="M168" s="5">
        <v>18.59</v>
      </c>
      <c r="N168" s="5">
        <v>18.59</v>
      </c>
      <c r="O168" s="5">
        <v>18.59</v>
      </c>
      <c r="P168" s="5">
        <v>18.59</v>
      </c>
      <c r="Q168" s="5">
        <v>18.59</v>
      </c>
      <c r="R168" s="5">
        <v>18.59</v>
      </c>
    </row>
    <row r="169" spans="1:18" x14ac:dyDescent="0.25">
      <c r="A169">
        <v>2004</v>
      </c>
      <c r="B169">
        <v>8</v>
      </c>
      <c r="C169">
        <v>3</v>
      </c>
      <c r="D169" t="str">
        <f t="shared" si="2"/>
        <v>DC200408-sem3</v>
      </c>
      <c r="E169" s="1">
        <v>38213</v>
      </c>
      <c r="F169" s="1">
        <v>38219</v>
      </c>
      <c r="G169" s="5">
        <v>18.59</v>
      </c>
      <c r="H169" s="5">
        <v>18.59</v>
      </c>
      <c r="I169" s="5">
        <v>18.59</v>
      </c>
      <c r="J169" s="5">
        <v>18.59</v>
      </c>
      <c r="K169" s="5">
        <v>18.59</v>
      </c>
      <c r="L169" s="5">
        <v>18.59</v>
      </c>
      <c r="M169" s="5">
        <v>18.59</v>
      </c>
      <c r="N169" s="5">
        <v>18.59</v>
      </c>
      <c r="O169" s="5">
        <v>18.59</v>
      </c>
      <c r="P169" s="5">
        <v>18.59</v>
      </c>
      <c r="Q169" s="5">
        <v>18.59</v>
      </c>
      <c r="R169" s="5">
        <v>18.59</v>
      </c>
    </row>
    <row r="170" spans="1:18" x14ac:dyDescent="0.25">
      <c r="A170">
        <v>2004</v>
      </c>
      <c r="B170">
        <v>8</v>
      </c>
      <c r="C170">
        <v>4</v>
      </c>
      <c r="D170" t="str">
        <f t="shared" si="2"/>
        <v>DC200408-sem4</v>
      </c>
      <c r="E170" s="1">
        <v>38220</v>
      </c>
      <c r="F170" s="1">
        <v>38226</v>
      </c>
      <c r="G170" s="5">
        <v>18.59</v>
      </c>
      <c r="H170" s="5">
        <v>18.59</v>
      </c>
      <c r="I170" s="5">
        <v>18.59</v>
      </c>
      <c r="J170" s="5">
        <v>18.59</v>
      </c>
      <c r="K170" s="5">
        <v>18.59</v>
      </c>
      <c r="L170" s="5">
        <v>18.59</v>
      </c>
      <c r="M170" s="5">
        <v>18.59</v>
      </c>
      <c r="N170" s="5">
        <v>18.59</v>
      </c>
      <c r="O170" s="5">
        <v>18.59</v>
      </c>
      <c r="P170" s="5">
        <v>18.59</v>
      </c>
      <c r="Q170" s="5">
        <v>18.59</v>
      </c>
      <c r="R170" s="5">
        <v>18.59</v>
      </c>
    </row>
    <row r="171" spans="1:18" x14ac:dyDescent="0.25">
      <c r="A171">
        <v>2004</v>
      </c>
      <c r="B171">
        <v>9</v>
      </c>
      <c r="C171">
        <v>1</v>
      </c>
      <c r="D171" t="str">
        <f t="shared" si="2"/>
        <v>DC200409-sem1</v>
      </c>
      <c r="E171" s="1">
        <v>38227</v>
      </c>
      <c r="F171" s="1">
        <v>38233</v>
      </c>
      <c r="G171" s="5">
        <v>18.59</v>
      </c>
      <c r="H171" s="5">
        <v>18.59</v>
      </c>
      <c r="I171" s="5">
        <v>18.59</v>
      </c>
      <c r="J171" s="5">
        <v>18.59</v>
      </c>
      <c r="K171" s="5">
        <v>18.59</v>
      </c>
      <c r="L171" s="5">
        <v>18.59</v>
      </c>
      <c r="M171" s="5">
        <v>18.59</v>
      </c>
      <c r="N171" s="5">
        <v>18.59</v>
      </c>
      <c r="O171" s="5">
        <v>18.59</v>
      </c>
      <c r="P171" s="5">
        <v>18.59</v>
      </c>
      <c r="Q171" s="5">
        <v>18.59</v>
      </c>
      <c r="R171" s="5">
        <v>18.59</v>
      </c>
    </row>
    <row r="172" spans="1:18" x14ac:dyDescent="0.25">
      <c r="A172">
        <v>2004</v>
      </c>
      <c r="B172">
        <v>9</v>
      </c>
      <c r="C172">
        <v>2</v>
      </c>
      <c r="D172" t="str">
        <f t="shared" si="2"/>
        <v>DC200409-sem2</v>
      </c>
      <c r="E172" s="1">
        <v>38234</v>
      </c>
      <c r="F172" s="1">
        <v>38240</v>
      </c>
      <c r="G172" s="5">
        <v>18.59</v>
      </c>
      <c r="H172" s="5">
        <v>18.59</v>
      </c>
      <c r="I172" s="5">
        <v>18.59</v>
      </c>
      <c r="J172" s="5">
        <v>18.59</v>
      </c>
      <c r="K172" s="5">
        <v>18.59</v>
      </c>
      <c r="L172" s="5">
        <v>18.59</v>
      </c>
      <c r="M172" s="5">
        <v>18.59</v>
      </c>
      <c r="N172" s="5">
        <v>18.59</v>
      </c>
      <c r="O172" s="5">
        <v>18.59</v>
      </c>
      <c r="P172" s="5">
        <v>18.59</v>
      </c>
      <c r="Q172" s="5">
        <v>18.59</v>
      </c>
      <c r="R172" s="5">
        <v>18.59</v>
      </c>
    </row>
    <row r="173" spans="1:18" x14ac:dyDescent="0.25">
      <c r="A173">
        <v>2004</v>
      </c>
      <c r="B173">
        <v>9</v>
      </c>
      <c r="C173">
        <v>3</v>
      </c>
      <c r="D173" t="str">
        <f t="shared" si="2"/>
        <v>DC200409-sem3</v>
      </c>
      <c r="E173" s="1">
        <v>38241</v>
      </c>
      <c r="F173" s="1">
        <v>38247</v>
      </c>
      <c r="G173" s="5">
        <v>18.59</v>
      </c>
      <c r="H173" s="5">
        <v>18.59</v>
      </c>
      <c r="I173" s="5">
        <v>18.59</v>
      </c>
      <c r="J173" s="5">
        <v>18.59</v>
      </c>
      <c r="K173" s="5">
        <v>18.59</v>
      </c>
      <c r="L173" s="5">
        <v>18.59</v>
      </c>
      <c r="M173" s="5">
        <v>18.59</v>
      </c>
      <c r="N173" s="5">
        <v>18.59</v>
      </c>
      <c r="O173" s="5">
        <v>18.59</v>
      </c>
      <c r="P173" s="5">
        <v>18.59</v>
      </c>
      <c r="Q173" s="5">
        <v>18.59</v>
      </c>
      <c r="R173" s="5">
        <v>18.59</v>
      </c>
    </row>
    <row r="174" spans="1:18" x14ac:dyDescent="0.25">
      <c r="A174">
        <v>2004</v>
      </c>
      <c r="B174">
        <v>9</v>
      </c>
      <c r="C174">
        <v>4</v>
      </c>
      <c r="D174" t="str">
        <f t="shared" si="2"/>
        <v>DC200409-sem4</v>
      </c>
      <c r="E174" s="1">
        <v>38248</v>
      </c>
      <c r="F174" s="1">
        <v>38254</v>
      </c>
      <c r="G174" s="5">
        <v>18.59</v>
      </c>
      <c r="H174" s="5">
        <v>18.59</v>
      </c>
      <c r="I174" s="5">
        <v>18.59</v>
      </c>
      <c r="J174" s="5">
        <v>18.59</v>
      </c>
      <c r="K174" s="5">
        <v>18.59</v>
      </c>
      <c r="L174" s="5">
        <v>18.59</v>
      </c>
      <c r="M174" s="5">
        <v>18.59</v>
      </c>
      <c r="N174" s="5">
        <v>18.59</v>
      </c>
      <c r="O174" s="5">
        <v>18.59</v>
      </c>
      <c r="P174" s="5">
        <v>18.59</v>
      </c>
      <c r="Q174" s="5">
        <v>18.59</v>
      </c>
      <c r="R174" s="5">
        <v>18.59</v>
      </c>
    </row>
    <row r="175" spans="1:18" x14ac:dyDescent="0.25">
      <c r="A175">
        <v>2004</v>
      </c>
      <c r="B175">
        <v>10</v>
      </c>
      <c r="C175">
        <v>1</v>
      </c>
      <c r="D175" t="str">
        <f t="shared" si="2"/>
        <v>DC200410-sem1</v>
      </c>
      <c r="E175" s="1">
        <v>38255</v>
      </c>
      <c r="F175" s="1">
        <v>38261</v>
      </c>
      <c r="G175" s="5">
        <v>18.59</v>
      </c>
      <c r="H175" s="5">
        <v>18.59</v>
      </c>
      <c r="I175" s="5">
        <v>18.59</v>
      </c>
      <c r="J175" s="5">
        <v>18.59</v>
      </c>
      <c r="K175" s="5">
        <v>18.59</v>
      </c>
      <c r="L175" s="5">
        <v>18.59</v>
      </c>
      <c r="M175" s="5">
        <v>18.59</v>
      </c>
      <c r="N175" s="5">
        <v>18.59</v>
      </c>
      <c r="O175" s="5">
        <v>18.59</v>
      </c>
      <c r="P175" s="5">
        <v>18.59</v>
      </c>
      <c r="Q175" s="5">
        <v>18.59</v>
      </c>
      <c r="R175" s="5">
        <v>18.59</v>
      </c>
    </row>
    <row r="176" spans="1:18" x14ac:dyDescent="0.25">
      <c r="A176">
        <v>2004</v>
      </c>
      <c r="B176">
        <v>10</v>
      </c>
      <c r="C176">
        <v>2</v>
      </c>
      <c r="D176" t="str">
        <f t="shared" si="2"/>
        <v>DC200410-sem2</v>
      </c>
      <c r="E176" s="1">
        <v>38262</v>
      </c>
      <c r="F176" s="1">
        <v>38268</v>
      </c>
      <c r="G176" s="5">
        <v>18.59</v>
      </c>
      <c r="H176" s="5">
        <v>18.59</v>
      </c>
      <c r="I176" s="5">
        <v>18.59</v>
      </c>
      <c r="J176" s="5">
        <v>18.59</v>
      </c>
      <c r="K176" s="5">
        <v>18.59</v>
      </c>
      <c r="L176" s="5">
        <v>18.59</v>
      </c>
      <c r="M176" s="5">
        <v>18.59</v>
      </c>
      <c r="N176" s="5">
        <v>18.59</v>
      </c>
      <c r="O176" s="5">
        <v>18.59</v>
      </c>
      <c r="P176" s="5">
        <v>18.59</v>
      </c>
      <c r="Q176" s="5">
        <v>18.59</v>
      </c>
      <c r="R176" s="5">
        <v>18.59</v>
      </c>
    </row>
    <row r="177" spans="1:18" x14ac:dyDescent="0.25">
      <c r="A177">
        <v>2004</v>
      </c>
      <c r="B177">
        <v>10</v>
      </c>
      <c r="C177">
        <v>3</v>
      </c>
      <c r="D177" t="str">
        <f t="shared" si="2"/>
        <v>DC200410-sem3</v>
      </c>
      <c r="E177" s="1">
        <v>38269</v>
      </c>
      <c r="F177" s="1">
        <v>38275</v>
      </c>
      <c r="G177" s="5">
        <v>19.489999999999998</v>
      </c>
      <c r="H177" s="5">
        <v>19.3</v>
      </c>
      <c r="I177" s="5">
        <v>19.3</v>
      </c>
      <c r="J177" s="5">
        <v>19.489999999999998</v>
      </c>
      <c r="K177" s="5">
        <v>19.3</v>
      </c>
      <c r="L177" s="5">
        <v>19.3</v>
      </c>
      <c r="M177" s="5">
        <v>18.59</v>
      </c>
      <c r="N177" s="5">
        <v>18.59</v>
      </c>
      <c r="O177" s="5">
        <v>18.59</v>
      </c>
      <c r="P177" s="5">
        <v>19.489999999999998</v>
      </c>
      <c r="Q177" s="5">
        <v>19.3</v>
      </c>
      <c r="R177" s="5">
        <v>19.3</v>
      </c>
    </row>
    <row r="178" spans="1:18" x14ac:dyDescent="0.25">
      <c r="A178">
        <v>2004</v>
      </c>
      <c r="B178">
        <v>10</v>
      </c>
      <c r="C178">
        <v>4</v>
      </c>
      <c r="D178" t="str">
        <f t="shared" si="2"/>
        <v>DC200410-sem4</v>
      </c>
      <c r="E178" s="1">
        <v>38276</v>
      </c>
      <c r="F178" s="1">
        <v>38282</v>
      </c>
      <c r="G178" s="5">
        <v>18.59</v>
      </c>
      <c r="H178" s="5">
        <v>18.59</v>
      </c>
      <c r="I178" s="5">
        <v>18.59</v>
      </c>
      <c r="J178" s="5">
        <v>18.59</v>
      </c>
      <c r="K178" s="5">
        <v>18.59</v>
      </c>
      <c r="L178" s="5">
        <v>18.59</v>
      </c>
      <c r="M178" s="5">
        <v>18.59</v>
      </c>
      <c r="N178" s="5">
        <v>18.59</v>
      </c>
      <c r="O178" s="5">
        <v>18.59</v>
      </c>
      <c r="P178" s="5">
        <v>18.59</v>
      </c>
      <c r="Q178" s="5">
        <v>18.59</v>
      </c>
      <c r="R178" s="5">
        <v>18.59</v>
      </c>
    </row>
    <row r="179" spans="1:18" x14ac:dyDescent="0.25">
      <c r="A179">
        <v>2004</v>
      </c>
      <c r="B179">
        <v>10</v>
      </c>
      <c r="C179">
        <v>5</v>
      </c>
      <c r="D179" t="str">
        <f t="shared" si="2"/>
        <v>DC200410-sem5</v>
      </c>
      <c r="E179" s="1">
        <v>38283</v>
      </c>
      <c r="F179" s="1">
        <v>38289</v>
      </c>
      <c r="G179" s="5">
        <v>18.59</v>
      </c>
      <c r="H179" s="5">
        <v>18.59</v>
      </c>
      <c r="I179" s="5">
        <v>18.59</v>
      </c>
      <c r="J179" s="5">
        <v>18.59</v>
      </c>
      <c r="K179" s="5">
        <v>18.59</v>
      </c>
      <c r="L179" s="5">
        <v>18.59</v>
      </c>
      <c r="M179" s="5">
        <v>18.59</v>
      </c>
      <c r="N179" s="5">
        <v>18.59</v>
      </c>
      <c r="O179" s="5">
        <v>18.59</v>
      </c>
      <c r="P179" s="5">
        <v>18.59</v>
      </c>
      <c r="Q179" s="5">
        <v>18.59</v>
      </c>
      <c r="R179" s="5">
        <v>18.59</v>
      </c>
    </row>
    <row r="180" spans="1:18" x14ac:dyDescent="0.25">
      <c r="A180">
        <v>2004</v>
      </c>
      <c r="B180">
        <v>11</v>
      </c>
      <c r="C180">
        <v>1</v>
      </c>
      <c r="D180" t="str">
        <f t="shared" si="2"/>
        <v>DC200411-sem1</v>
      </c>
      <c r="E180" s="1">
        <v>38290</v>
      </c>
      <c r="F180" s="1">
        <v>38296</v>
      </c>
      <c r="G180" s="5">
        <v>18.59</v>
      </c>
      <c r="H180" s="5">
        <v>18.59</v>
      </c>
      <c r="I180" s="5">
        <v>18.59</v>
      </c>
      <c r="J180" s="5">
        <v>18.59</v>
      </c>
      <c r="K180" s="5">
        <v>18.59</v>
      </c>
      <c r="L180" s="5">
        <v>18.59</v>
      </c>
      <c r="M180" s="5">
        <v>18.59</v>
      </c>
      <c r="N180" s="5">
        <v>18.59</v>
      </c>
      <c r="O180" s="5">
        <v>18.59</v>
      </c>
      <c r="P180" s="5">
        <v>18.59</v>
      </c>
      <c r="Q180" s="5">
        <v>18.59</v>
      </c>
      <c r="R180" s="5">
        <v>18.59</v>
      </c>
    </row>
    <row r="181" spans="1:18" x14ac:dyDescent="0.25">
      <c r="A181">
        <v>2004</v>
      </c>
      <c r="B181">
        <v>11</v>
      </c>
      <c r="C181">
        <v>2</v>
      </c>
      <c r="D181" t="str">
        <f t="shared" si="2"/>
        <v>DC200411-sem2</v>
      </c>
      <c r="E181" s="1">
        <v>38297</v>
      </c>
      <c r="F181" s="1">
        <v>38303</v>
      </c>
      <c r="G181" s="5">
        <v>18.59</v>
      </c>
      <c r="H181" s="5">
        <v>18.59</v>
      </c>
      <c r="I181" s="5">
        <v>18.59</v>
      </c>
      <c r="J181" s="5">
        <v>18.59</v>
      </c>
      <c r="K181" s="5">
        <v>18.59</v>
      </c>
      <c r="L181" s="5">
        <v>18.59</v>
      </c>
      <c r="M181" s="5">
        <v>18.59</v>
      </c>
      <c r="N181" s="5">
        <v>18.59</v>
      </c>
      <c r="O181" s="5">
        <v>18.59</v>
      </c>
      <c r="P181" s="5">
        <v>18.59</v>
      </c>
      <c r="Q181" s="5">
        <v>18.59</v>
      </c>
      <c r="R181" s="5">
        <v>18.59</v>
      </c>
    </row>
    <row r="182" spans="1:18" x14ac:dyDescent="0.25">
      <c r="A182">
        <v>2004</v>
      </c>
      <c r="B182">
        <v>11</v>
      </c>
      <c r="C182">
        <v>3</v>
      </c>
      <c r="D182" t="str">
        <f t="shared" si="2"/>
        <v>DC200411-sem3</v>
      </c>
      <c r="E182" s="1">
        <v>38304</v>
      </c>
      <c r="F182" s="1">
        <v>38310</v>
      </c>
      <c r="G182" s="5">
        <v>18.59</v>
      </c>
      <c r="H182" s="5">
        <v>18.59</v>
      </c>
      <c r="I182" s="5">
        <v>18.59</v>
      </c>
      <c r="J182" s="5">
        <v>18.59</v>
      </c>
      <c r="K182" s="5">
        <v>18.59</v>
      </c>
      <c r="L182" s="5">
        <v>18.59</v>
      </c>
      <c r="M182" s="5">
        <v>18.59</v>
      </c>
      <c r="N182" s="5">
        <v>18.59</v>
      </c>
      <c r="O182" s="5">
        <v>18.59</v>
      </c>
      <c r="P182" s="5">
        <v>18.59</v>
      </c>
      <c r="Q182" s="5">
        <v>18.59</v>
      </c>
      <c r="R182" s="5">
        <v>18.59</v>
      </c>
    </row>
    <row r="183" spans="1:18" x14ac:dyDescent="0.25">
      <c r="A183">
        <v>2004</v>
      </c>
      <c r="B183">
        <v>11</v>
      </c>
      <c r="C183">
        <v>4</v>
      </c>
      <c r="D183" t="str">
        <f t="shared" si="2"/>
        <v>DC200411-sem4</v>
      </c>
      <c r="E183" s="1">
        <v>38311</v>
      </c>
      <c r="F183" s="1">
        <v>38317</v>
      </c>
      <c r="G183" s="5">
        <v>18.59</v>
      </c>
      <c r="H183" s="5">
        <v>18.59</v>
      </c>
      <c r="I183" s="5">
        <v>18.59</v>
      </c>
      <c r="J183" s="5">
        <v>18.59</v>
      </c>
      <c r="K183" s="5">
        <v>18.59</v>
      </c>
      <c r="L183" s="5">
        <v>18.59</v>
      </c>
      <c r="M183" s="5">
        <v>18.59</v>
      </c>
      <c r="N183" s="5">
        <v>18.59</v>
      </c>
      <c r="O183" s="5">
        <v>18.59</v>
      </c>
      <c r="P183" s="5">
        <v>18.59</v>
      </c>
      <c r="Q183" s="5">
        <v>18.59</v>
      </c>
      <c r="R183" s="5">
        <v>18.59</v>
      </c>
    </row>
    <row r="184" spans="1:18" x14ac:dyDescent="0.25">
      <c r="A184">
        <v>2004</v>
      </c>
      <c r="B184">
        <v>12</v>
      </c>
      <c r="C184">
        <v>1</v>
      </c>
      <c r="D184" t="str">
        <f t="shared" si="2"/>
        <v>DC200412-sem1</v>
      </c>
      <c r="E184" s="1">
        <v>38318</v>
      </c>
      <c r="F184" s="1">
        <v>38324</v>
      </c>
      <c r="G184" s="5">
        <v>18.59</v>
      </c>
      <c r="H184" s="5">
        <v>18.59</v>
      </c>
      <c r="I184" s="5">
        <v>18.59</v>
      </c>
      <c r="J184" s="5">
        <v>18.59</v>
      </c>
      <c r="K184" s="5">
        <v>18.59</v>
      </c>
      <c r="L184" s="5">
        <v>18.59</v>
      </c>
      <c r="M184" s="5">
        <v>18.59</v>
      </c>
      <c r="N184" s="5">
        <v>18.59</v>
      </c>
      <c r="O184" s="5">
        <v>18.59</v>
      </c>
      <c r="P184" s="5">
        <v>18.59</v>
      </c>
      <c r="Q184" s="5">
        <v>18.59</v>
      </c>
      <c r="R184" s="5">
        <v>18.59</v>
      </c>
    </row>
    <row r="185" spans="1:18" x14ac:dyDescent="0.25">
      <c r="A185">
        <v>2004</v>
      </c>
      <c r="B185">
        <v>12</v>
      </c>
      <c r="C185">
        <v>2</v>
      </c>
      <c r="D185" t="str">
        <f t="shared" si="2"/>
        <v>DC200412-sem2</v>
      </c>
      <c r="E185" s="1">
        <v>38325</v>
      </c>
      <c r="F185" s="1">
        <v>38331</v>
      </c>
      <c r="G185" s="5">
        <v>18.59</v>
      </c>
      <c r="H185" s="5">
        <v>18.59</v>
      </c>
      <c r="I185" s="5">
        <v>18.59</v>
      </c>
      <c r="J185" s="5">
        <v>18.59</v>
      </c>
      <c r="K185" s="5">
        <v>18.59</v>
      </c>
      <c r="L185" s="5">
        <v>18.59</v>
      </c>
      <c r="M185" s="5">
        <v>18.59</v>
      </c>
      <c r="N185" s="5">
        <v>18.59</v>
      </c>
      <c r="O185" s="5">
        <v>18.59</v>
      </c>
      <c r="P185" s="5">
        <v>18.59</v>
      </c>
      <c r="Q185" s="5">
        <v>18.59</v>
      </c>
      <c r="R185" s="5">
        <v>18.59</v>
      </c>
    </row>
    <row r="186" spans="1:18" x14ac:dyDescent="0.25">
      <c r="A186">
        <v>2004</v>
      </c>
      <c r="B186">
        <v>12</v>
      </c>
      <c r="C186">
        <v>3</v>
      </c>
      <c r="D186" t="str">
        <f t="shared" si="2"/>
        <v>DC200412-sem3</v>
      </c>
      <c r="E186" s="1">
        <v>38332</v>
      </c>
      <c r="F186" s="1">
        <v>38338</v>
      </c>
      <c r="G186" s="5">
        <v>18.59</v>
      </c>
      <c r="H186" s="5">
        <v>18.59</v>
      </c>
      <c r="I186" s="5">
        <v>18.59</v>
      </c>
      <c r="J186" s="5">
        <v>18.59</v>
      </c>
      <c r="K186" s="5">
        <v>18.59</v>
      </c>
      <c r="L186" s="5">
        <v>18.59</v>
      </c>
      <c r="M186" s="5">
        <v>18.59</v>
      </c>
      <c r="N186" s="5">
        <v>18.59</v>
      </c>
      <c r="O186" s="5">
        <v>18.59</v>
      </c>
      <c r="P186" s="5">
        <v>18.59</v>
      </c>
      <c r="Q186" s="5">
        <v>18.59</v>
      </c>
      <c r="R186" s="5">
        <v>18.59</v>
      </c>
    </row>
    <row r="187" spans="1:18" x14ac:dyDescent="0.25">
      <c r="A187">
        <v>2004</v>
      </c>
      <c r="B187">
        <v>12</v>
      </c>
      <c r="C187">
        <v>4</v>
      </c>
      <c r="D187" t="str">
        <f t="shared" si="2"/>
        <v>DC200412-sem4</v>
      </c>
      <c r="E187" s="1">
        <v>38339</v>
      </c>
      <c r="F187" s="1">
        <v>38345</v>
      </c>
      <c r="G187" s="5">
        <v>18.59</v>
      </c>
      <c r="H187" s="5">
        <v>18.59</v>
      </c>
      <c r="I187" s="5">
        <v>18.59</v>
      </c>
      <c r="J187" s="5">
        <v>18.59</v>
      </c>
      <c r="K187" s="5">
        <v>18.59</v>
      </c>
      <c r="L187" s="5">
        <v>18.59</v>
      </c>
      <c r="M187" s="5">
        <v>18.59</v>
      </c>
      <c r="N187" s="5">
        <v>18.59</v>
      </c>
      <c r="O187" s="5">
        <v>18.59</v>
      </c>
      <c r="P187" s="5">
        <v>18.59</v>
      </c>
      <c r="Q187" s="5">
        <v>18.59</v>
      </c>
      <c r="R187" s="5">
        <v>18.59</v>
      </c>
    </row>
    <row r="188" spans="1:18" x14ac:dyDescent="0.25">
      <c r="A188">
        <v>2004</v>
      </c>
      <c r="B188">
        <v>12</v>
      </c>
      <c r="C188">
        <v>5</v>
      </c>
      <c r="D188" t="str">
        <f t="shared" si="2"/>
        <v>DC200412-sem5</v>
      </c>
      <c r="E188" s="1">
        <v>38346</v>
      </c>
      <c r="F188" s="1">
        <v>38352</v>
      </c>
      <c r="G188" s="5">
        <v>18.59</v>
      </c>
      <c r="H188" s="5">
        <v>18.59</v>
      </c>
      <c r="I188" s="5">
        <v>18.59</v>
      </c>
      <c r="J188" s="5">
        <v>18.59</v>
      </c>
      <c r="K188" s="5">
        <v>18.59</v>
      </c>
      <c r="L188" s="5">
        <v>18.59</v>
      </c>
      <c r="M188" s="5">
        <v>18.59</v>
      </c>
      <c r="N188" s="5">
        <v>18.59</v>
      </c>
      <c r="O188" s="5">
        <v>18.59</v>
      </c>
      <c r="P188" s="5">
        <v>18.59</v>
      </c>
      <c r="Q188" s="5">
        <v>18.59</v>
      </c>
      <c r="R188" s="5">
        <v>18.59</v>
      </c>
    </row>
    <row r="189" spans="1:18" x14ac:dyDescent="0.25">
      <c r="A189">
        <v>2005</v>
      </c>
      <c r="B189">
        <v>1</v>
      </c>
      <c r="C189">
        <v>1</v>
      </c>
      <c r="D189" t="str">
        <f t="shared" si="2"/>
        <v>DC200501-sem1</v>
      </c>
      <c r="E189" s="1">
        <v>38353</v>
      </c>
      <c r="F189" s="1">
        <v>38359</v>
      </c>
      <c r="G189" s="5">
        <v>18.329999999999998</v>
      </c>
      <c r="H189" s="5">
        <v>18.329999999999998</v>
      </c>
      <c r="I189" s="5">
        <v>18.329999999999998</v>
      </c>
      <c r="J189" s="5">
        <v>18.329999999999998</v>
      </c>
      <c r="K189" s="5">
        <v>18.329999999999998</v>
      </c>
      <c r="L189" s="5">
        <v>18.329999999999998</v>
      </c>
      <c r="M189" s="5">
        <v>18.329999999999998</v>
      </c>
      <c r="N189" s="5">
        <v>18.329999999999998</v>
      </c>
      <c r="O189" s="5">
        <v>18.329999999999998</v>
      </c>
      <c r="P189" s="5">
        <v>18.329999999999998</v>
      </c>
      <c r="Q189" s="5">
        <v>18.329999999999998</v>
      </c>
      <c r="R189" s="5">
        <v>18.329999999999998</v>
      </c>
    </row>
    <row r="190" spans="1:18" x14ac:dyDescent="0.25">
      <c r="A190">
        <v>2005</v>
      </c>
      <c r="B190">
        <v>1</v>
      </c>
      <c r="C190">
        <v>2</v>
      </c>
      <c r="D190" t="str">
        <f t="shared" si="2"/>
        <v>DC200501-sem2</v>
      </c>
      <c r="E190" s="1">
        <v>38360</v>
      </c>
      <c r="F190" s="1">
        <v>38366</v>
      </c>
      <c r="G190" s="5">
        <v>18.329999999999998</v>
      </c>
      <c r="H190" s="5">
        <v>18.329999999999998</v>
      </c>
      <c r="I190" s="5">
        <v>18.329999999999998</v>
      </c>
      <c r="J190" s="5">
        <v>18.329999999999998</v>
      </c>
      <c r="K190" s="5">
        <v>18.329999999999998</v>
      </c>
      <c r="L190" s="5">
        <v>18.329999999999998</v>
      </c>
      <c r="M190" s="5">
        <v>18.329999999999998</v>
      </c>
      <c r="N190" s="5">
        <v>18.329999999999998</v>
      </c>
      <c r="O190" s="5">
        <v>18.329999999999998</v>
      </c>
      <c r="P190" s="5">
        <v>18.329999999999998</v>
      </c>
      <c r="Q190" s="5">
        <v>18.329999999999998</v>
      </c>
      <c r="R190" s="5">
        <v>18.329999999999998</v>
      </c>
    </row>
    <row r="191" spans="1:18" x14ac:dyDescent="0.25">
      <c r="A191">
        <v>2005</v>
      </c>
      <c r="B191">
        <v>1</v>
      </c>
      <c r="C191">
        <v>3</v>
      </c>
      <c r="D191" t="str">
        <f t="shared" si="2"/>
        <v>DC200501-sem3</v>
      </c>
      <c r="E191" s="1">
        <v>38367</v>
      </c>
      <c r="F191" s="1">
        <v>38373</v>
      </c>
      <c r="G191" s="5">
        <v>18.329999999999998</v>
      </c>
      <c r="H191" s="5">
        <v>18.329999999999998</v>
      </c>
      <c r="I191" s="5">
        <v>18.329999999999998</v>
      </c>
      <c r="J191" s="5">
        <v>18.329999999999998</v>
      </c>
      <c r="K191" s="5">
        <v>18.329999999999998</v>
      </c>
      <c r="L191" s="5">
        <v>18.329999999999998</v>
      </c>
      <c r="M191" s="5">
        <v>18.329999999999998</v>
      </c>
      <c r="N191" s="5">
        <v>18.329999999999998</v>
      </c>
      <c r="O191" s="5">
        <v>18.329999999999998</v>
      </c>
      <c r="P191" s="5">
        <v>18.329999999999998</v>
      </c>
      <c r="Q191" s="5">
        <v>18.329999999999998</v>
      </c>
      <c r="R191" s="5">
        <v>18.329999999999998</v>
      </c>
    </row>
    <row r="192" spans="1:18" x14ac:dyDescent="0.25">
      <c r="A192">
        <v>2005</v>
      </c>
      <c r="B192">
        <v>1</v>
      </c>
      <c r="C192">
        <v>4</v>
      </c>
      <c r="D192" t="str">
        <f t="shared" si="2"/>
        <v>DC200501-sem4</v>
      </c>
      <c r="E192" s="1">
        <v>38374</v>
      </c>
      <c r="F192" s="1">
        <v>38380</v>
      </c>
      <c r="G192" s="5">
        <v>18.329999999999998</v>
      </c>
      <c r="H192" s="5">
        <v>18.329999999999998</v>
      </c>
      <c r="I192" s="5">
        <v>18.329999999999998</v>
      </c>
      <c r="J192" s="5">
        <v>18.329999999999998</v>
      </c>
      <c r="K192" s="5">
        <v>18.329999999999998</v>
      </c>
      <c r="L192" s="5">
        <v>18.329999999999998</v>
      </c>
      <c r="M192" s="5">
        <v>18.329999999999998</v>
      </c>
      <c r="N192" s="5">
        <v>18.329999999999998</v>
      </c>
      <c r="O192" s="5">
        <v>18.329999999999998</v>
      </c>
      <c r="P192" s="5">
        <v>18.329999999999998</v>
      </c>
      <c r="Q192" s="5">
        <v>18.329999999999998</v>
      </c>
      <c r="R192" s="5">
        <v>18.329999999999998</v>
      </c>
    </row>
    <row r="193" spans="1:18" x14ac:dyDescent="0.25">
      <c r="A193">
        <v>2005</v>
      </c>
      <c r="B193">
        <v>2</v>
      </c>
      <c r="C193">
        <v>1</v>
      </c>
      <c r="D193" t="str">
        <f t="shared" si="2"/>
        <v>DC200502-sem1</v>
      </c>
      <c r="E193" s="1">
        <v>38381</v>
      </c>
      <c r="F193" s="1">
        <v>38387</v>
      </c>
      <c r="G193" s="5">
        <v>18.329999999999998</v>
      </c>
      <c r="H193" s="5">
        <v>18.329999999999998</v>
      </c>
      <c r="I193" s="5">
        <v>18.329999999999998</v>
      </c>
      <c r="J193" s="5">
        <v>18.329999999999998</v>
      </c>
      <c r="K193" s="5">
        <v>18.329999999999998</v>
      </c>
      <c r="L193" s="5">
        <v>18.329999999999998</v>
      </c>
      <c r="M193" s="5">
        <v>18.329999999999998</v>
      </c>
      <c r="N193" s="5">
        <v>18.329999999999998</v>
      </c>
      <c r="O193" s="5">
        <v>18.329999999999998</v>
      </c>
      <c r="P193" s="5">
        <v>18.329999999999998</v>
      </c>
      <c r="Q193" s="5">
        <v>18.329999999999998</v>
      </c>
      <c r="R193" s="5">
        <v>18.329999999999998</v>
      </c>
    </row>
    <row r="194" spans="1:18" x14ac:dyDescent="0.25">
      <c r="A194">
        <v>2005</v>
      </c>
      <c r="B194">
        <v>2</v>
      </c>
      <c r="C194">
        <v>2</v>
      </c>
      <c r="D194" t="str">
        <f t="shared" si="2"/>
        <v>DC200502-sem2</v>
      </c>
      <c r="E194" s="1">
        <v>38388</v>
      </c>
      <c r="F194" s="1">
        <v>38394</v>
      </c>
      <c r="G194" s="5">
        <v>18.329999999999998</v>
      </c>
      <c r="H194" s="5">
        <v>18.329999999999998</v>
      </c>
      <c r="I194" s="5">
        <v>18.329999999999998</v>
      </c>
      <c r="J194" s="5">
        <v>18.329999999999998</v>
      </c>
      <c r="K194" s="5">
        <v>18.329999999999998</v>
      </c>
      <c r="L194" s="5">
        <v>18.329999999999998</v>
      </c>
      <c r="M194" s="5">
        <v>18.329999999999998</v>
      </c>
      <c r="N194" s="5">
        <v>18.329999999999998</v>
      </c>
      <c r="O194" s="5">
        <v>18.329999999999998</v>
      </c>
      <c r="P194" s="5">
        <v>18.329999999999998</v>
      </c>
      <c r="Q194" s="5">
        <v>18.329999999999998</v>
      </c>
      <c r="R194" s="5">
        <v>18.329999999999998</v>
      </c>
    </row>
    <row r="195" spans="1:18" x14ac:dyDescent="0.25">
      <c r="A195">
        <v>2005</v>
      </c>
      <c r="B195">
        <v>2</v>
      </c>
      <c r="C195">
        <v>3</v>
      </c>
      <c r="D195" t="str">
        <f t="shared" ref="D195:D258" si="3">"DC"&amp;A195&amp;REPT("0",2-LEN(B195))&amp;B195&amp;"-sem"&amp;C195</f>
        <v>DC200502-sem3</v>
      </c>
      <c r="E195" s="1">
        <v>38395</v>
      </c>
      <c r="F195" s="1">
        <v>38401</v>
      </c>
      <c r="G195" s="5">
        <v>18.329999999999998</v>
      </c>
      <c r="H195" s="5">
        <v>18.329999999999998</v>
      </c>
      <c r="I195" s="5">
        <v>18.329999999999998</v>
      </c>
      <c r="J195" s="5">
        <v>18.329999999999998</v>
      </c>
      <c r="K195" s="5">
        <v>18.329999999999998</v>
      </c>
      <c r="L195" s="5">
        <v>18.329999999999998</v>
      </c>
      <c r="M195" s="5">
        <v>18.329999999999998</v>
      </c>
      <c r="N195" s="5">
        <v>18.329999999999998</v>
      </c>
      <c r="O195" s="5">
        <v>18.329999999999998</v>
      </c>
      <c r="P195" s="5">
        <v>18.329999999999998</v>
      </c>
      <c r="Q195" s="5">
        <v>18.329999999999998</v>
      </c>
      <c r="R195" s="5">
        <v>18.329999999999998</v>
      </c>
    </row>
    <row r="196" spans="1:18" x14ac:dyDescent="0.25">
      <c r="A196">
        <v>2005</v>
      </c>
      <c r="B196">
        <v>2</v>
      </c>
      <c r="C196">
        <v>4</v>
      </c>
      <c r="D196" t="str">
        <f t="shared" si="3"/>
        <v>DC200502-sem4</v>
      </c>
      <c r="E196" s="1">
        <v>38402</v>
      </c>
      <c r="F196" s="1">
        <v>38408</v>
      </c>
      <c r="G196" s="5">
        <v>18.329999999999998</v>
      </c>
      <c r="H196" s="5">
        <v>18.329999999999998</v>
      </c>
      <c r="I196" s="5">
        <v>18.329999999999998</v>
      </c>
      <c r="J196" s="5">
        <v>18.329999999999998</v>
      </c>
      <c r="K196" s="5">
        <v>18.329999999999998</v>
      </c>
      <c r="L196" s="5">
        <v>18.329999999999998</v>
      </c>
      <c r="M196" s="5">
        <v>18.329999999999998</v>
      </c>
      <c r="N196" s="5">
        <v>18.329999999999998</v>
      </c>
      <c r="O196" s="5">
        <v>18.329999999999998</v>
      </c>
      <c r="P196" s="5">
        <v>18.329999999999998</v>
      </c>
      <c r="Q196" s="5">
        <v>18.329999999999998</v>
      </c>
      <c r="R196" s="5">
        <v>18.329999999999998</v>
      </c>
    </row>
    <row r="197" spans="1:18" x14ac:dyDescent="0.25">
      <c r="A197">
        <v>2005</v>
      </c>
      <c r="B197">
        <v>3</v>
      </c>
      <c r="C197">
        <v>1</v>
      </c>
      <c r="D197" t="str">
        <f t="shared" si="3"/>
        <v>DC200503-sem1</v>
      </c>
      <c r="E197" s="1">
        <v>38409</v>
      </c>
      <c r="F197" s="1">
        <v>38415</v>
      </c>
      <c r="G197" s="5">
        <v>18.329999999999998</v>
      </c>
      <c r="H197" s="5">
        <v>18.329999999999998</v>
      </c>
      <c r="I197" s="5">
        <v>18.329999999999998</v>
      </c>
      <c r="J197" s="5">
        <v>25.12</v>
      </c>
      <c r="K197" s="5">
        <v>25.12</v>
      </c>
      <c r="L197" s="5">
        <v>23.7</v>
      </c>
      <c r="M197" s="5">
        <v>18.329999999999998</v>
      </c>
      <c r="N197" s="5">
        <v>18.329999999999998</v>
      </c>
      <c r="O197" s="5">
        <v>18.329999999999998</v>
      </c>
      <c r="P197" s="5">
        <v>18.329999999999998</v>
      </c>
      <c r="Q197" s="5">
        <v>18.329999999999998</v>
      </c>
      <c r="R197" s="5">
        <v>18.329999999999998</v>
      </c>
    </row>
    <row r="198" spans="1:18" x14ac:dyDescent="0.25">
      <c r="A198">
        <v>2005</v>
      </c>
      <c r="B198">
        <v>3</v>
      </c>
      <c r="C198">
        <v>2</v>
      </c>
      <c r="D198" t="str">
        <f t="shared" si="3"/>
        <v>DC200503-sem2</v>
      </c>
      <c r="E198" s="1">
        <v>38416</v>
      </c>
      <c r="F198" s="1">
        <v>38422</v>
      </c>
      <c r="G198" s="5">
        <v>18.329999999999998</v>
      </c>
      <c r="H198" s="5">
        <v>18.329999999999998</v>
      </c>
      <c r="I198" s="5">
        <v>18.329999999999998</v>
      </c>
      <c r="J198" s="5">
        <v>27.35</v>
      </c>
      <c r="K198" s="5">
        <v>27.35</v>
      </c>
      <c r="L198" s="5">
        <v>25.66</v>
      </c>
      <c r="M198" s="5">
        <v>18.329999999999998</v>
      </c>
      <c r="N198" s="5">
        <v>18.329999999999998</v>
      </c>
      <c r="O198" s="5">
        <v>18.329999999999998</v>
      </c>
      <c r="P198" s="5">
        <v>18.329999999999998</v>
      </c>
      <c r="Q198" s="5">
        <v>18.329999999999998</v>
      </c>
      <c r="R198" s="5">
        <v>18.329999999999998</v>
      </c>
    </row>
    <row r="199" spans="1:18" x14ac:dyDescent="0.25">
      <c r="A199">
        <v>2005</v>
      </c>
      <c r="B199">
        <v>3</v>
      </c>
      <c r="C199">
        <v>3</v>
      </c>
      <c r="D199" t="str">
        <f t="shared" si="3"/>
        <v>DC200503-sem3</v>
      </c>
      <c r="E199" s="1">
        <v>38423</v>
      </c>
      <c r="F199" s="1">
        <v>38429</v>
      </c>
      <c r="G199" s="5">
        <v>18.329999999999998</v>
      </c>
      <c r="H199" s="5">
        <v>18.329999999999998</v>
      </c>
      <c r="I199" s="5">
        <v>18.329999999999998</v>
      </c>
      <c r="J199" s="5">
        <v>25.82</v>
      </c>
      <c r="K199" s="5">
        <v>25.56</v>
      </c>
      <c r="L199" s="5">
        <v>24.21</v>
      </c>
      <c r="M199" s="5">
        <v>18.329999999999998</v>
      </c>
      <c r="N199" s="5">
        <v>18.329999999999998</v>
      </c>
      <c r="O199" s="5">
        <v>18.329999999999998</v>
      </c>
      <c r="P199" s="5">
        <v>18.329999999999998</v>
      </c>
      <c r="Q199" s="5">
        <v>18.329999999999998</v>
      </c>
      <c r="R199" s="5">
        <v>18.329999999999998</v>
      </c>
    </row>
    <row r="200" spans="1:18" x14ac:dyDescent="0.25">
      <c r="A200">
        <v>2005</v>
      </c>
      <c r="B200">
        <v>3</v>
      </c>
      <c r="C200">
        <v>4</v>
      </c>
      <c r="D200" t="str">
        <f t="shared" si="3"/>
        <v>DC200503-sem4</v>
      </c>
      <c r="E200" s="1">
        <v>38430</v>
      </c>
      <c r="F200" s="1">
        <v>38436</v>
      </c>
      <c r="G200" s="5">
        <v>18.329999999999998</v>
      </c>
      <c r="H200" s="5">
        <v>18.329999999999998</v>
      </c>
      <c r="I200" s="5">
        <v>18.329999999999998</v>
      </c>
      <c r="J200" s="5">
        <v>25.96</v>
      </c>
      <c r="K200" s="5">
        <v>25.43</v>
      </c>
      <c r="L200" s="5">
        <v>24.31</v>
      </c>
      <c r="M200" s="5">
        <v>18.329999999999998</v>
      </c>
      <c r="N200" s="5">
        <v>18.329999999999998</v>
      </c>
      <c r="O200" s="5">
        <v>18.329999999999998</v>
      </c>
      <c r="P200" s="5">
        <v>18.329999999999998</v>
      </c>
      <c r="Q200" s="5">
        <v>18.329999999999998</v>
      </c>
      <c r="R200" s="5">
        <v>18.329999999999998</v>
      </c>
    </row>
    <row r="201" spans="1:18" x14ac:dyDescent="0.25">
      <c r="A201">
        <v>2005</v>
      </c>
      <c r="B201">
        <v>4</v>
      </c>
      <c r="C201">
        <v>1</v>
      </c>
      <c r="D201" t="str">
        <f t="shared" si="3"/>
        <v>DC200504-sem1</v>
      </c>
      <c r="E201" s="1">
        <v>38437</v>
      </c>
      <c r="F201" s="1">
        <v>38443</v>
      </c>
      <c r="G201" s="5">
        <v>18.329999999999998</v>
      </c>
      <c r="H201" s="5">
        <v>18.329999999999998</v>
      </c>
      <c r="I201" s="5">
        <v>18.329999999999998</v>
      </c>
      <c r="J201" s="5">
        <v>33.5</v>
      </c>
      <c r="K201" s="5">
        <v>32.909999999999997</v>
      </c>
      <c r="L201" s="5">
        <v>31.01</v>
      </c>
      <c r="M201" s="5">
        <v>18.329999999999998</v>
      </c>
      <c r="N201" s="5">
        <v>18.329999999999998</v>
      </c>
      <c r="O201" s="5">
        <v>18.329999999999998</v>
      </c>
      <c r="P201" s="5">
        <v>18.329999999999998</v>
      </c>
      <c r="Q201" s="5">
        <v>18.329999999999998</v>
      </c>
      <c r="R201" s="5">
        <v>18.329999999999998</v>
      </c>
    </row>
    <row r="202" spans="1:18" x14ac:dyDescent="0.25">
      <c r="A202">
        <v>2005</v>
      </c>
      <c r="B202">
        <v>4</v>
      </c>
      <c r="C202">
        <v>2</v>
      </c>
      <c r="D202" t="str">
        <f t="shared" si="3"/>
        <v>DC200504-sem2</v>
      </c>
      <c r="E202" s="1">
        <v>38444</v>
      </c>
      <c r="F202" s="1">
        <v>38450</v>
      </c>
      <c r="G202" s="5">
        <v>18.329999999999998</v>
      </c>
      <c r="H202" s="5">
        <v>18.329999999999998</v>
      </c>
      <c r="I202" s="5">
        <v>18.329999999999998</v>
      </c>
      <c r="J202" s="5">
        <v>137.05000000000001</v>
      </c>
      <c r="K202" s="5">
        <v>134.96</v>
      </c>
      <c r="L202" s="5">
        <v>131.02000000000001</v>
      </c>
      <c r="M202" s="5">
        <v>18.329999999999998</v>
      </c>
      <c r="N202" s="5">
        <v>18.329999999999998</v>
      </c>
      <c r="O202" s="5">
        <v>18.329999999999998</v>
      </c>
      <c r="P202" s="5">
        <v>18.329999999999998</v>
      </c>
      <c r="Q202" s="5">
        <v>18.329999999999998</v>
      </c>
      <c r="R202" s="5">
        <v>18.329999999999998</v>
      </c>
    </row>
    <row r="203" spans="1:18" x14ac:dyDescent="0.25">
      <c r="A203">
        <v>2005</v>
      </c>
      <c r="B203">
        <v>4</v>
      </c>
      <c r="C203">
        <v>3</v>
      </c>
      <c r="D203" t="str">
        <f t="shared" si="3"/>
        <v>DC200504-sem3</v>
      </c>
      <c r="E203" s="1">
        <v>38451</v>
      </c>
      <c r="F203" s="1">
        <v>38457</v>
      </c>
      <c r="G203" s="5">
        <v>20.170000000000002</v>
      </c>
      <c r="H203" s="5">
        <v>19.82</v>
      </c>
      <c r="I203" s="5">
        <v>19.739999999999998</v>
      </c>
      <c r="J203" s="5">
        <v>49.16</v>
      </c>
      <c r="K203" s="5">
        <v>47.9</v>
      </c>
      <c r="L203" s="5">
        <v>19.739999999999998</v>
      </c>
      <c r="M203" s="5">
        <v>18.329999999999998</v>
      </c>
      <c r="N203" s="5">
        <v>18.329999999999998</v>
      </c>
      <c r="O203" s="5">
        <v>18.329999999999998</v>
      </c>
      <c r="P203" s="5">
        <v>18.329999999999998</v>
      </c>
      <c r="Q203" s="5">
        <v>18.329999999999998</v>
      </c>
      <c r="R203" s="5">
        <v>18.329999999999998</v>
      </c>
    </row>
    <row r="204" spans="1:18" x14ac:dyDescent="0.25">
      <c r="A204">
        <v>2005</v>
      </c>
      <c r="B204">
        <v>4</v>
      </c>
      <c r="C204">
        <v>4</v>
      </c>
      <c r="D204" t="str">
        <f t="shared" si="3"/>
        <v>DC200504-sem4</v>
      </c>
      <c r="E204" s="1">
        <v>38458</v>
      </c>
      <c r="F204" s="1">
        <v>38464</v>
      </c>
      <c r="G204" s="5">
        <v>26.11</v>
      </c>
      <c r="H204" s="5">
        <v>25.4</v>
      </c>
      <c r="I204" s="5">
        <v>25.03</v>
      </c>
      <c r="J204" s="5">
        <v>75.819999999999993</v>
      </c>
      <c r="K204" s="5">
        <v>74.569999999999993</v>
      </c>
      <c r="L204" s="5">
        <v>73.010000000000005</v>
      </c>
      <c r="M204" s="5">
        <v>18.329999999999998</v>
      </c>
      <c r="N204" s="5">
        <v>18.329999999999998</v>
      </c>
      <c r="O204" s="5">
        <v>18.329999999999998</v>
      </c>
      <c r="P204" s="5">
        <v>18.329999999999998</v>
      </c>
      <c r="Q204" s="5">
        <v>18.329999999999998</v>
      </c>
      <c r="R204" s="5">
        <v>18.329999999999998</v>
      </c>
    </row>
    <row r="205" spans="1:18" x14ac:dyDescent="0.25">
      <c r="A205">
        <v>2005</v>
      </c>
      <c r="B205">
        <v>4</v>
      </c>
      <c r="C205">
        <v>5</v>
      </c>
      <c r="D205" t="str">
        <f t="shared" si="3"/>
        <v>DC200504-sem5</v>
      </c>
      <c r="E205" s="1">
        <v>38465</v>
      </c>
      <c r="F205" s="1">
        <v>38471</v>
      </c>
      <c r="G205" s="5">
        <v>34.76</v>
      </c>
      <c r="H205" s="5">
        <v>33.729999999999997</v>
      </c>
      <c r="I205" s="5">
        <v>33.31</v>
      </c>
      <c r="J205" s="5">
        <v>101.73</v>
      </c>
      <c r="K205" s="5">
        <v>99.68</v>
      </c>
      <c r="L205" s="5">
        <v>97.02</v>
      </c>
      <c r="M205" s="5">
        <v>18.329999999999998</v>
      </c>
      <c r="N205" s="5">
        <v>18.329999999999998</v>
      </c>
      <c r="O205" s="5">
        <v>18.329999999999998</v>
      </c>
      <c r="P205" s="5">
        <v>34.76</v>
      </c>
      <c r="Q205" s="5">
        <v>18.329999999999998</v>
      </c>
      <c r="R205" s="5">
        <v>18.329999999999998</v>
      </c>
    </row>
    <row r="206" spans="1:18" x14ac:dyDescent="0.25">
      <c r="A206">
        <v>2005</v>
      </c>
      <c r="B206">
        <v>5</v>
      </c>
      <c r="C206">
        <v>1</v>
      </c>
      <c r="D206" t="str">
        <f t="shared" si="3"/>
        <v>DC200505-sem1</v>
      </c>
      <c r="E206" s="1">
        <v>38472</v>
      </c>
      <c r="F206" s="1">
        <v>38478</v>
      </c>
      <c r="G206" s="5">
        <v>48.82</v>
      </c>
      <c r="H206" s="5">
        <v>47.99</v>
      </c>
      <c r="I206" s="5">
        <v>47.99</v>
      </c>
      <c r="J206" s="5">
        <v>89.14</v>
      </c>
      <c r="K206" s="5">
        <v>86.01</v>
      </c>
      <c r="L206" s="5">
        <v>47.99</v>
      </c>
      <c r="M206" s="5">
        <v>18.329999999999998</v>
      </c>
      <c r="N206" s="5">
        <v>18.329999999999998</v>
      </c>
      <c r="O206" s="5">
        <v>18.329999999999998</v>
      </c>
      <c r="P206" s="5">
        <v>48.82</v>
      </c>
      <c r="Q206" s="5">
        <v>18.329999999999998</v>
      </c>
      <c r="R206" s="5">
        <v>18.329999999999998</v>
      </c>
    </row>
    <row r="207" spans="1:18" x14ac:dyDescent="0.25">
      <c r="A207">
        <v>2005</v>
      </c>
      <c r="B207">
        <v>5</v>
      </c>
      <c r="C207">
        <v>2</v>
      </c>
      <c r="D207" t="str">
        <f t="shared" si="3"/>
        <v>DC200505-sem2</v>
      </c>
      <c r="E207" s="1">
        <v>38479</v>
      </c>
      <c r="F207" s="1">
        <v>38485</v>
      </c>
      <c r="G207" s="5">
        <v>42.25</v>
      </c>
      <c r="H207" s="5">
        <v>42.25</v>
      </c>
      <c r="I207" s="5">
        <v>42.25</v>
      </c>
      <c r="J207" s="5">
        <v>132.35</v>
      </c>
      <c r="K207" s="5">
        <v>126.81</v>
      </c>
      <c r="L207" s="5">
        <v>46.06</v>
      </c>
      <c r="M207" s="5">
        <v>18.329999999999998</v>
      </c>
      <c r="N207" s="5">
        <v>18.329999999999998</v>
      </c>
      <c r="O207" s="5">
        <v>18.329999999999998</v>
      </c>
      <c r="P207" s="5">
        <v>42.25</v>
      </c>
      <c r="Q207" s="5">
        <v>18.329999999999998</v>
      </c>
      <c r="R207" s="5">
        <v>18.329999999999998</v>
      </c>
    </row>
    <row r="208" spans="1:18" x14ac:dyDescent="0.25">
      <c r="A208">
        <v>2005</v>
      </c>
      <c r="B208">
        <v>5</v>
      </c>
      <c r="C208">
        <v>3</v>
      </c>
      <c r="D208" t="str">
        <f t="shared" si="3"/>
        <v>DC200505-sem3</v>
      </c>
      <c r="E208" s="1">
        <v>38486</v>
      </c>
      <c r="F208" s="1">
        <v>38492</v>
      </c>
      <c r="G208" s="5">
        <v>49.45</v>
      </c>
      <c r="H208" s="5">
        <v>49.38</v>
      </c>
      <c r="I208" s="5">
        <v>49.38</v>
      </c>
      <c r="J208" s="5">
        <v>180.73</v>
      </c>
      <c r="K208" s="5">
        <v>177.04</v>
      </c>
      <c r="L208" s="5">
        <v>49.38</v>
      </c>
      <c r="M208" s="5">
        <v>18.329999999999998</v>
      </c>
      <c r="N208" s="5">
        <v>18.329999999999998</v>
      </c>
      <c r="O208" s="5">
        <v>18.329999999999998</v>
      </c>
      <c r="P208" s="5">
        <v>49.45</v>
      </c>
      <c r="Q208" s="5">
        <v>18.329999999999998</v>
      </c>
      <c r="R208" s="5">
        <v>18.329999999999998</v>
      </c>
    </row>
    <row r="209" spans="1:18" x14ac:dyDescent="0.25">
      <c r="A209">
        <v>2005</v>
      </c>
      <c r="B209">
        <v>5</v>
      </c>
      <c r="C209">
        <v>4</v>
      </c>
      <c r="D209" t="str">
        <f t="shared" si="3"/>
        <v>DC200505-sem4</v>
      </c>
      <c r="E209" s="1">
        <v>38493</v>
      </c>
      <c r="F209" s="1">
        <v>38499</v>
      </c>
      <c r="G209" s="5">
        <v>46</v>
      </c>
      <c r="H209" s="5">
        <v>45.92</v>
      </c>
      <c r="I209" s="5">
        <v>45.01</v>
      </c>
      <c r="J209" s="5">
        <v>67.599999999999994</v>
      </c>
      <c r="K209" s="5">
        <v>45.92</v>
      </c>
      <c r="L209" s="5">
        <v>45.01</v>
      </c>
      <c r="M209" s="5">
        <v>18.329999999999998</v>
      </c>
      <c r="N209" s="5">
        <v>18.329999999999998</v>
      </c>
      <c r="O209" s="5">
        <v>18.329999999999998</v>
      </c>
      <c r="P209" s="5">
        <v>18.329999999999998</v>
      </c>
      <c r="Q209" s="5">
        <v>18.329999999999998</v>
      </c>
      <c r="R209" s="5">
        <v>18.329999999999998</v>
      </c>
    </row>
    <row r="210" spans="1:18" x14ac:dyDescent="0.25">
      <c r="A210">
        <v>2005</v>
      </c>
      <c r="B210">
        <v>6</v>
      </c>
      <c r="C210">
        <v>1</v>
      </c>
      <c r="D210" t="str">
        <f t="shared" si="3"/>
        <v>DC200506-sem1</v>
      </c>
      <c r="E210" s="1">
        <v>38500</v>
      </c>
      <c r="F210" s="1">
        <v>38506</v>
      </c>
      <c r="G210" s="5">
        <v>28.91</v>
      </c>
      <c r="H210" s="5">
        <v>28.76</v>
      </c>
      <c r="I210" s="5">
        <v>28.09</v>
      </c>
      <c r="J210" s="5">
        <v>28.76</v>
      </c>
      <c r="K210" s="5">
        <v>22.42</v>
      </c>
      <c r="L210" s="5">
        <v>21.8</v>
      </c>
      <c r="M210" s="5">
        <v>18.329999999999998</v>
      </c>
      <c r="N210" s="5">
        <v>18.329999999999998</v>
      </c>
      <c r="O210" s="5">
        <v>18.329999999999998</v>
      </c>
      <c r="P210" s="5">
        <v>18.329999999999998</v>
      </c>
      <c r="Q210" s="5">
        <v>18.329999999999998</v>
      </c>
      <c r="R210" s="5">
        <v>18.329999999999998</v>
      </c>
    </row>
    <row r="211" spans="1:18" x14ac:dyDescent="0.25">
      <c r="A211">
        <v>2005</v>
      </c>
      <c r="B211">
        <v>6</v>
      </c>
      <c r="C211">
        <v>2</v>
      </c>
      <c r="D211" t="str">
        <f t="shared" si="3"/>
        <v>DC200506-sem2</v>
      </c>
      <c r="E211" s="1">
        <v>38507</v>
      </c>
      <c r="F211" s="1">
        <v>38513</v>
      </c>
      <c r="G211" s="5">
        <v>18.329999999999998</v>
      </c>
      <c r="H211" s="5">
        <v>18.329999999999998</v>
      </c>
      <c r="I211" s="5">
        <v>18.329999999999998</v>
      </c>
      <c r="J211" s="5">
        <v>18.329999999999998</v>
      </c>
      <c r="K211" s="5">
        <v>18.329999999999998</v>
      </c>
      <c r="L211" s="5">
        <v>18.329999999999998</v>
      </c>
      <c r="M211" s="5">
        <v>18.329999999999998</v>
      </c>
      <c r="N211" s="5">
        <v>18.329999999999998</v>
      </c>
      <c r="O211" s="5">
        <v>18.329999999999998</v>
      </c>
      <c r="P211" s="5">
        <v>18.329999999999998</v>
      </c>
      <c r="Q211" s="5">
        <v>18.329999999999998</v>
      </c>
      <c r="R211" s="5">
        <v>18.329999999999998</v>
      </c>
    </row>
    <row r="212" spans="1:18" x14ac:dyDescent="0.25">
      <c r="A212">
        <v>2005</v>
      </c>
      <c r="B212">
        <v>6</v>
      </c>
      <c r="C212">
        <v>3</v>
      </c>
      <c r="D212" t="str">
        <f t="shared" si="3"/>
        <v>DC200506-sem3</v>
      </c>
      <c r="E212" s="1">
        <v>38514</v>
      </c>
      <c r="F212" s="1">
        <v>38520</v>
      </c>
      <c r="G212" s="5">
        <v>31.8</v>
      </c>
      <c r="H212" s="5">
        <v>31.55</v>
      </c>
      <c r="I212" s="5">
        <v>31.39</v>
      </c>
      <c r="J212" s="5">
        <v>31.8</v>
      </c>
      <c r="K212" s="5">
        <v>31.55</v>
      </c>
      <c r="L212" s="5">
        <v>31.39</v>
      </c>
      <c r="M212" s="5">
        <v>18.329999999999998</v>
      </c>
      <c r="N212" s="5">
        <v>18.329999999999998</v>
      </c>
      <c r="O212" s="5">
        <v>18.329999999999998</v>
      </c>
      <c r="P212" s="5">
        <v>31.8</v>
      </c>
      <c r="Q212" s="5">
        <v>31.55</v>
      </c>
      <c r="R212" s="5">
        <v>31.39</v>
      </c>
    </row>
    <row r="213" spans="1:18" x14ac:dyDescent="0.25">
      <c r="A213">
        <v>2005</v>
      </c>
      <c r="B213">
        <v>6</v>
      </c>
      <c r="C213">
        <v>4</v>
      </c>
      <c r="D213" t="str">
        <f t="shared" si="3"/>
        <v>DC200506-sem4</v>
      </c>
      <c r="E213" s="1">
        <v>38521</v>
      </c>
      <c r="F213" s="1">
        <v>38527</v>
      </c>
      <c r="G213" s="5">
        <v>31.22</v>
      </c>
      <c r="H213" s="5">
        <v>30.52</v>
      </c>
      <c r="I213" s="5">
        <v>29.72</v>
      </c>
      <c r="J213" s="5">
        <v>27.63</v>
      </c>
      <c r="K213" s="5">
        <v>27.24</v>
      </c>
      <c r="L213" s="5">
        <v>26.88</v>
      </c>
      <c r="M213" s="5">
        <v>18.329999999999998</v>
      </c>
      <c r="N213" s="5">
        <v>18.329999999999998</v>
      </c>
      <c r="O213" s="5">
        <v>18.329999999999998</v>
      </c>
      <c r="P213" s="5">
        <v>31.22</v>
      </c>
      <c r="Q213" s="5">
        <v>30.52</v>
      </c>
      <c r="R213" s="5">
        <v>29.72</v>
      </c>
    </row>
    <row r="214" spans="1:18" x14ac:dyDescent="0.25">
      <c r="A214">
        <v>2005</v>
      </c>
      <c r="B214">
        <v>7</v>
      </c>
      <c r="C214">
        <v>1</v>
      </c>
      <c r="D214" t="str">
        <f t="shared" si="3"/>
        <v>DC200507-sem1</v>
      </c>
      <c r="E214" s="1">
        <v>38528</v>
      </c>
      <c r="F214" s="1">
        <v>38534</v>
      </c>
      <c r="G214" s="5">
        <v>24.99</v>
      </c>
      <c r="H214" s="5">
        <v>24.38</v>
      </c>
      <c r="I214" s="5">
        <v>24.37</v>
      </c>
      <c r="J214" s="5">
        <v>24.99</v>
      </c>
      <c r="K214" s="5">
        <v>18.329999999999998</v>
      </c>
      <c r="L214" s="5">
        <v>18.329999999999998</v>
      </c>
      <c r="M214" s="5">
        <v>18.329999999999998</v>
      </c>
      <c r="N214" s="5">
        <v>18.329999999999998</v>
      </c>
      <c r="O214" s="5">
        <v>18.329999999999998</v>
      </c>
      <c r="P214" s="5">
        <v>24.99</v>
      </c>
      <c r="Q214" s="5">
        <v>24.38</v>
      </c>
      <c r="R214" s="5">
        <v>24.37</v>
      </c>
    </row>
    <row r="215" spans="1:18" x14ac:dyDescent="0.25">
      <c r="A215">
        <v>2005</v>
      </c>
      <c r="B215">
        <v>7</v>
      </c>
      <c r="C215">
        <v>2</v>
      </c>
      <c r="D215" t="str">
        <f t="shared" si="3"/>
        <v>DC200507-sem2</v>
      </c>
      <c r="E215" s="1">
        <v>38535</v>
      </c>
      <c r="F215" s="1">
        <v>38541</v>
      </c>
      <c r="G215" s="5">
        <v>27.18</v>
      </c>
      <c r="H215" s="5">
        <v>26.34</v>
      </c>
      <c r="I215" s="5">
        <v>26.15</v>
      </c>
      <c r="J215" s="5">
        <v>26.82</v>
      </c>
      <c r="K215" s="5">
        <v>26.34</v>
      </c>
      <c r="L215" s="5">
        <v>26.15</v>
      </c>
      <c r="M215" s="5">
        <v>18.329999999999998</v>
      </c>
      <c r="N215" s="5">
        <v>18.329999999999998</v>
      </c>
      <c r="O215" s="5">
        <v>18.329999999999998</v>
      </c>
      <c r="P215" s="5">
        <v>27.18</v>
      </c>
      <c r="Q215" s="5">
        <v>26.34</v>
      </c>
      <c r="R215" s="5">
        <v>26.15</v>
      </c>
    </row>
    <row r="216" spans="1:18" x14ac:dyDescent="0.25">
      <c r="A216">
        <v>2005</v>
      </c>
      <c r="B216">
        <v>7</v>
      </c>
      <c r="C216">
        <v>3</v>
      </c>
      <c r="D216" t="str">
        <f t="shared" si="3"/>
        <v>DC200507-sem3</v>
      </c>
      <c r="E216" s="1">
        <v>38542</v>
      </c>
      <c r="F216" s="1">
        <v>38548</v>
      </c>
      <c r="G216" s="5">
        <v>33.28</v>
      </c>
      <c r="H216" s="5">
        <v>32.74</v>
      </c>
      <c r="I216" s="5">
        <v>32.72</v>
      </c>
      <c r="J216" s="5">
        <v>33.28</v>
      </c>
      <c r="K216" s="5">
        <v>32.74</v>
      </c>
      <c r="L216" s="5">
        <v>32.72</v>
      </c>
      <c r="M216" s="5">
        <v>18.329999999999998</v>
      </c>
      <c r="N216" s="5">
        <v>18.329999999999998</v>
      </c>
      <c r="O216" s="5">
        <v>18.329999999999998</v>
      </c>
      <c r="P216" s="5">
        <v>33.28</v>
      </c>
      <c r="Q216" s="5">
        <v>32.74</v>
      </c>
      <c r="R216" s="5">
        <v>32.72</v>
      </c>
    </row>
    <row r="217" spans="1:18" x14ac:dyDescent="0.25">
      <c r="A217">
        <v>2005</v>
      </c>
      <c r="B217">
        <v>7</v>
      </c>
      <c r="C217">
        <v>4</v>
      </c>
      <c r="D217" t="str">
        <f t="shared" si="3"/>
        <v>DC200507-sem4</v>
      </c>
      <c r="E217" s="1">
        <v>38549</v>
      </c>
      <c r="F217" s="1">
        <v>38555</v>
      </c>
      <c r="G217" s="5">
        <v>36.24</v>
      </c>
      <c r="H217" s="5">
        <v>35.42</v>
      </c>
      <c r="I217" s="5">
        <v>35.26</v>
      </c>
      <c r="J217" s="5">
        <v>36.24</v>
      </c>
      <c r="K217" s="5">
        <v>35.42</v>
      </c>
      <c r="L217" s="5">
        <v>35.26</v>
      </c>
      <c r="M217" s="5">
        <v>18.329999999999998</v>
      </c>
      <c r="N217" s="5">
        <v>18.329999999999998</v>
      </c>
      <c r="O217" s="5">
        <v>18.329999999999998</v>
      </c>
      <c r="P217" s="5">
        <v>36.24</v>
      </c>
      <c r="Q217" s="5">
        <v>35.42</v>
      </c>
      <c r="R217" s="5">
        <v>35.26</v>
      </c>
    </row>
    <row r="218" spans="1:18" x14ac:dyDescent="0.25">
      <c r="A218">
        <v>2005</v>
      </c>
      <c r="B218">
        <v>7</v>
      </c>
      <c r="C218">
        <v>5</v>
      </c>
      <c r="D218" t="str">
        <f t="shared" si="3"/>
        <v>DC200507-sem5</v>
      </c>
      <c r="E218" s="1">
        <v>38556</v>
      </c>
      <c r="F218" s="1">
        <v>38562</v>
      </c>
      <c r="G218" s="5">
        <v>34.83</v>
      </c>
      <c r="H218" s="5">
        <v>34.31</v>
      </c>
      <c r="I218" s="5">
        <v>34.130000000000003</v>
      </c>
      <c r="J218" s="5">
        <v>34.83</v>
      </c>
      <c r="K218" s="5">
        <v>34.31</v>
      </c>
      <c r="L218" s="5">
        <v>34.130000000000003</v>
      </c>
      <c r="M218" s="5">
        <v>18.329999999999998</v>
      </c>
      <c r="N218" s="5">
        <v>18.329999999999998</v>
      </c>
      <c r="O218" s="5">
        <v>18.329999999999998</v>
      </c>
      <c r="P218" s="5">
        <v>34.83</v>
      </c>
      <c r="Q218" s="5">
        <v>34.31</v>
      </c>
      <c r="R218" s="5">
        <v>34.130000000000003</v>
      </c>
    </row>
    <row r="219" spans="1:18" x14ac:dyDescent="0.25">
      <c r="A219">
        <v>2005</v>
      </c>
      <c r="B219">
        <v>8</v>
      </c>
      <c r="C219">
        <v>1</v>
      </c>
      <c r="D219" t="str">
        <f t="shared" si="3"/>
        <v>DC200508-sem1</v>
      </c>
      <c r="E219" s="1">
        <v>38563</v>
      </c>
      <c r="F219" s="1">
        <v>38569</v>
      </c>
      <c r="G219" s="5">
        <v>29.62</v>
      </c>
      <c r="H219" s="5">
        <v>28.63</v>
      </c>
      <c r="I219" s="5">
        <v>28.46</v>
      </c>
      <c r="J219" s="5">
        <v>29.62</v>
      </c>
      <c r="K219" s="5">
        <v>28.63</v>
      </c>
      <c r="L219" s="5">
        <v>28.46</v>
      </c>
      <c r="M219" s="5">
        <v>18.329999999999998</v>
      </c>
      <c r="N219" s="5">
        <v>18.329999999999998</v>
      </c>
      <c r="O219" s="5">
        <v>18.329999999999998</v>
      </c>
      <c r="P219" s="5">
        <v>29.62</v>
      </c>
      <c r="Q219" s="5">
        <v>28.63</v>
      </c>
      <c r="R219" s="5">
        <v>28.46</v>
      </c>
    </row>
    <row r="220" spans="1:18" x14ac:dyDescent="0.25">
      <c r="A220">
        <v>2005</v>
      </c>
      <c r="B220">
        <v>8</v>
      </c>
      <c r="C220">
        <v>2</v>
      </c>
      <c r="D220" t="str">
        <f t="shared" si="3"/>
        <v>DC200508-sem2</v>
      </c>
      <c r="E220" s="1">
        <v>38570</v>
      </c>
      <c r="F220" s="1">
        <v>38576</v>
      </c>
      <c r="G220" s="5">
        <v>27.93</v>
      </c>
      <c r="H220" s="5">
        <v>27.49</v>
      </c>
      <c r="I220" s="5">
        <v>27.13</v>
      </c>
      <c r="J220" s="5">
        <v>27.93</v>
      </c>
      <c r="K220" s="5">
        <v>27.49</v>
      </c>
      <c r="L220" s="5">
        <v>27.13</v>
      </c>
      <c r="M220" s="5">
        <v>18.329999999999998</v>
      </c>
      <c r="N220" s="5">
        <v>18.329999999999998</v>
      </c>
      <c r="O220" s="5">
        <v>18.329999999999998</v>
      </c>
      <c r="P220" s="5">
        <v>27.93</v>
      </c>
      <c r="Q220" s="5">
        <v>27.49</v>
      </c>
      <c r="R220" s="5">
        <v>27.13</v>
      </c>
    </row>
    <row r="221" spans="1:18" x14ac:dyDescent="0.25">
      <c r="A221">
        <v>2005</v>
      </c>
      <c r="B221">
        <v>8</v>
      </c>
      <c r="C221">
        <v>3</v>
      </c>
      <c r="D221" t="str">
        <f t="shared" si="3"/>
        <v>DC200508-sem3</v>
      </c>
      <c r="E221" s="1">
        <v>38577</v>
      </c>
      <c r="F221" s="1">
        <v>38583</v>
      </c>
      <c r="G221" s="5">
        <v>38.549999999999997</v>
      </c>
      <c r="H221" s="5">
        <v>37.79</v>
      </c>
      <c r="I221" s="5">
        <v>37.36</v>
      </c>
      <c r="J221" s="5">
        <v>38.549999999999997</v>
      </c>
      <c r="K221" s="5">
        <v>37.79</v>
      </c>
      <c r="L221" s="5">
        <v>37.36</v>
      </c>
      <c r="M221" s="5">
        <v>18.329999999999998</v>
      </c>
      <c r="N221" s="5">
        <v>18.329999999999998</v>
      </c>
      <c r="O221" s="5">
        <v>18.329999999999998</v>
      </c>
      <c r="P221" s="5">
        <v>38.549999999999997</v>
      </c>
      <c r="Q221" s="5">
        <v>37.79</v>
      </c>
      <c r="R221" s="5">
        <v>37.36</v>
      </c>
    </row>
    <row r="222" spans="1:18" x14ac:dyDescent="0.25">
      <c r="A222">
        <v>2005</v>
      </c>
      <c r="B222">
        <v>8</v>
      </c>
      <c r="C222">
        <v>4</v>
      </c>
      <c r="D222" t="str">
        <f t="shared" si="3"/>
        <v>DC200508-sem4</v>
      </c>
      <c r="E222" s="1">
        <v>38584</v>
      </c>
      <c r="F222" s="1">
        <v>38590</v>
      </c>
      <c r="G222" s="5">
        <v>34.130000000000003</v>
      </c>
      <c r="H222" s="5">
        <v>33.46</v>
      </c>
      <c r="I222" s="5">
        <v>32.94</v>
      </c>
      <c r="J222" s="5">
        <v>34.130000000000003</v>
      </c>
      <c r="K222" s="5">
        <v>33.46</v>
      </c>
      <c r="L222" s="5">
        <v>32.94</v>
      </c>
      <c r="M222" s="5">
        <v>18.329999999999998</v>
      </c>
      <c r="N222" s="5">
        <v>18.329999999999998</v>
      </c>
      <c r="O222" s="5">
        <v>18.329999999999998</v>
      </c>
      <c r="P222" s="5">
        <v>34.130000000000003</v>
      </c>
      <c r="Q222" s="5">
        <v>33.46</v>
      </c>
      <c r="R222" s="5">
        <v>32.94</v>
      </c>
    </row>
    <row r="223" spans="1:18" x14ac:dyDescent="0.25">
      <c r="A223">
        <v>2005</v>
      </c>
      <c r="B223">
        <v>9</v>
      </c>
      <c r="C223">
        <v>1</v>
      </c>
      <c r="D223" t="str">
        <f t="shared" si="3"/>
        <v>DC200509-sem1</v>
      </c>
      <c r="E223" s="1">
        <v>38591</v>
      </c>
      <c r="F223" s="1">
        <v>38597</v>
      </c>
      <c r="G223" s="5">
        <v>48.35</v>
      </c>
      <c r="H223" s="5">
        <v>47.48</v>
      </c>
      <c r="I223" s="5">
        <v>47.1</v>
      </c>
      <c r="J223" s="5">
        <v>48.35</v>
      </c>
      <c r="K223" s="5">
        <v>47.48</v>
      </c>
      <c r="L223" s="5">
        <v>47.1</v>
      </c>
      <c r="M223" s="5">
        <v>19.53</v>
      </c>
      <c r="N223" s="5">
        <v>19.399999999999999</v>
      </c>
      <c r="O223" s="5">
        <v>19.399999999999999</v>
      </c>
      <c r="P223" s="5">
        <v>48.35</v>
      </c>
      <c r="Q223" s="5">
        <v>47.48</v>
      </c>
      <c r="R223" s="5">
        <v>47.1</v>
      </c>
    </row>
    <row r="224" spans="1:18" x14ac:dyDescent="0.25">
      <c r="A224">
        <v>2005</v>
      </c>
      <c r="B224">
        <v>9</v>
      </c>
      <c r="C224">
        <v>2</v>
      </c>
      <c r="D224" t="str">
        <f t="shared" si="3"/>
        <v>DC200509-sem2</v>
      </c>
      <c r="E224" s="1">
        <v>38598</v>
      </c>
      <c r="F224" s="1">
        <v>38604</v>
      </c>
      <c r="G224" s="5">
        <v>40.76</v>
      </c>
      <c r="H224" s="5">
        <v>39.76</v>
      </c>
      <c r="I224" s="5">
        <v>38.93</v>
      </c>
      <c r="J224" s="5">
        <v>40.76</v>
      </c>
      <c r="K224" s="5">
        <v>39.76</v>
      </c>
      <c r="L224" s="5">
        <v>38.93</v>
      </c>
      <c r="M224" s="5">
        <v>18.329999999999998</v>
      </c>
      <c r="N224" s="5">
        <v>18.329999999999998</v>
      </c>
      <c r="O224" s="5">
        <v>18.329999999999998</v>
      </c>
      <c r="P224" s="5">
        <v>40.76</v>
      </c>
      <c r="Q224" s="5">
        <v>39.76</v>
      </c>
      <c r="R224" s="5">
        <v>38.93</v>
      </c>
    </row>
    <row r="225" spans="1:18" x14ac:dyDescent="0.25">
      <c r="A225">
        <v>2005</v>
      </c>
      <c r="B225">
        <v>9</v>
      </c>
      <c r="C225">
        <v>3</v>
      </c>
      <c r="D225" t="str">
        <f t="shared" si="3"/>
        <v>DC200509-sem3</v>
      </c>
      <c r="E225" s="1">
        <v>38605</v>
      </c>
      <c r="F225" s="1">
        <v>38611</v>
      </c>
      <c r="G225" s="5">
        <v>33.33</v>
      </c>
      <c r="H225" s="5">
        <v>32.049999999999997</v>
      </c>
      <c r="I225" s="5">
        <v>31.76</v>
      </c>
      <c r="J225" s="5">
        <v>33.33</v>
      </c>
      <c r="K225" s="5">
        <v>32.049999999999997</v>
      </c>
      <c r="L225" s="5">
        <v>18.329999999999998</v>
      </c>
      <c r="M225" s="5">
        <v>18.329999999999998</v>
      </c>
      <c r="N225" s="5">
        <v>18.329999999999998</v>
      </c>
      <c r="O225" s="5">
        <v>18.329999999999998</v>
      </c>
      <c r="P225" s="5">
        <v>33.33</v>
      </c>
      <c r="Q225" s="5">
        <v>32.049999999999997</v>
      </c>
      <c r="R225" s="5">
        <v>31.76</v>
      </c>
    </row>
    <row r="226" spans="1:18" x14ac:dyDescent="0.25">
      <c r="A226">
        <v>2005</v>
      </c>
      <c r="B226">
        <v>9</v>
      </c>
      <c r="C226">
        <v>4</v>
      </c>
      <c r="D226" t="str">
        <f t="shared" si="3"/>
        <v>DC200509-sem4</v>
      </c>
      <c r="E226" s="1">
        <v>38612</v>
      </c>
      <c r="F226" s="1">
        <v>38618</v>
      </c>
      <c r="G226" s="5">
        <v>29.29</v>
      </c>
      <c r="H226" s="5">
        <v>28.06</v>
      </c>
      <c r="I226" s="5">
        <v>27.42</v>
      </c>
      <c r="J226" s="5">
        <v>29.29</v>
      </c>
      <c r="K226" s="5">
        <v>27.42</v>
      </c>
      <c r="L226" s="5">
        <v>18.329999999999998</v>
      </c>
      <c r="M226" s="5">
        <v>18.329999999999998</v>
      </c>
      <c r="N226" s="5">
        <v>18.329999999999998</v>
      </c>
      <c r="O226" s="5">
        <v>18.329999999999998</v>
      </c>
      <c r="P226" s="5">
        <v>29.29</v>
      </c>
      <c r="Q226" s="5">
        <v>28.06</v>
      </c>
      <c r="R226" s="5">
        <v>27.42</v>
      </c>
    </row>
    <row r="227" spans="1:18" x14ac:dyDescent="0.25">
      <c r="A227">
        <v>2005</v>
      </c>
      <c r="B227">
        <v>9</v>
      </c>
      <c r="C227">
        <v>5</v>
      </c>
      <c r="D227" t="str">
        <f t="shared" si="3"/>
        <v>DC200509-sem5</v>
      </c>
      <c r="E227" s="1">
        <v>38619</v>
      </c>
      <c r="F227" s="1">
        <v>38625</v>
      </c>
      <c r="G227" s="5">
        <v>24.55</v>
      </c>
      <c r="H227" s="5">
        <v>24.14</v>
      </c>
      <c r="I227" s="5">
        <v>23.09</v>
      </c>
      <c r="J227" s="5">
        <v>24.55</v>
      </c>
      <c r="K227" s="5">
        <v>23.09</v>
      </c>
      <c r="L227" s="5">
        <v>18.329999999999998</v>
      </c>
      <c r="M227" s="5">
        <v>18.329999999999998</v>
      </c>
      <c r="N227" s="5">
        <v>18.329999999999998</v>
      </c>
      <c r="O227" s="5">
        <v>18.329999999999998</v>
      </c>
      <c r="P227" s="5">
        <v>24.55</v>
      </c>
      <c r="Q227" s="5">
        <v>24.14</v>
      </c>
      <c r="R227" s="5">
        <v>23.09</v>
      </c>
    </row>
    <row r="228" spans="1:18" x14ac:dyDescent="0.25">
      <c r="A228">
        <v>2005</v>
      </c>
      <c r="B228">
        <v>10</v>
      </c>
      <c r="C228">
        <v>1</v>
      </c>
      <c r="D228" t="str">
        <f t="shared" si="3"/>
        <v>DC200510-sem1</v>
      </c>
      <c r="E228" s="1">
        <v>38626</v>
      </c>
      <c r="F228" s="1">
        <v>38632</v>
      </c>
      <c r="G228" s="5">
        <v>39.270000000000003</v>
      </c>
      <c r="H228" s="5">
        <v>37.28</v>
      </c>
      <c r="I228" s="5">
        <v>35.56</v>
      </c>
      <c r="J228" s="5">
        <v>18.329999999999998</v>
      </c>
      <c r="K228" s="5">
        <v>18.329999999999998</v>
      </c>
      <c r="L228" s="5">
        <v>18.329999999999998</v>
      </c>
      <c r="M228" s="5">
        <v>18.329999999999998</v>
      </c>
      <c r="N228" s="5">
        <v>18.329999999999998</v>
      </c>
      <c r="O228" s="5">
        <v>18.329999999999998</v>
      </c>
      <c r="P228" s="5">
        <v>39.270000000000003</v>
      </c>
      <c r="Q228" s="5">
        <v>37.28</v>
      </c>
      <c r="R228" s="5">
        <v>35.56</v>
      </c>
    </row>
    <row r="229" spans="1:18" x14ac:dyDescent="0.25">
      <c r="A229">
        <v>2005</v>
      </c>
      <c r="B229">
        <v>10</v>
      </c>
      <c r="C229">
        <v>2</v>
      </c>
      <c r="D229" t="str">
        <f t="shared" si="3"/>
        <v>DC200510-sem2</v>
      </c>
      <c r="E229" s="1">
        <v>38633</v>
      </c>
      <c r="F229" s="1">
        <v>38639</v>
      </c>
      <c r="G229" s="5">
        <v>43.27</v>
      </c>
      <c r="H229" s="5">
        <v>41.18</v>
      </c>
      <c r="I229" s="5">
        <v>39.44</v>
      </c>
      <c r="J229" s="5">
        <v>43.27</v>
      </c>
      <c r="K229" s="5">
        <v>18.329999999999998</v>
      </c>
      <c r="L229" s="5">
        <v>18.329999999999998</v>
      </c>
      <c r="M229" s="5">
        <v>18.329999999999998</v>
      </c>
      <c r="N229" s="5">
        <v>18.329999999999998</v>
      </c>
      <c r="O229" s="5">
        <v>18.329999999999998</v>
      </c>
      <c r="P229" s="5">
        <v>43.27</v>
      </c>
      <c r="Q229" s="5">
        <v>41.18</v>
      </c>
      <c r="R229" s="5">
        <v>39.44</v>
      </c>
    </row>
    <row r="230" spans="1:18" x14ac:dyDescent="0.25">
      <c r="A230">
        <v>2005</v>
      </c>
      <c r="B230">
        <v>10</v>
      </c>
      <c r="C230">
        <v>3</v>
      </c>
      <c r="D230" t="str">
        <f t="shared" si="3"/>
        <v>DC200510-sem3</v>
      </c>
      <c r="E230" s="1">
        <v>38640</v>
      </c>
      <c r="F230" s="1">
        <v>38646</v>
      </c>
      <c r="G230" s="5">
        <v>45.21</v>
      </c>
      <c r="H230" s="5">
        <v>43.06</v>
      </c>
      <c r="I230" s="5">
        <v>41.24</v>
      </c>
      <c r="J230" s="5">
        <v>18.329999999999998</v>
      </c>
      <c r="K230" s="5">
        <v>18.329999999999998</v>
      </c>
      <c r="L230" s="5">
        <v>18.329999999999998</v>
      </c>
      <c r="M230" s="5">
        <v>18.329999999999998</v>
      </c>
      <c r="N230" s="5">
        <v>18.329999999999998</v>
      </c>
      <c r="O230" s="5">
        <v>18.329999999999998</v>
      </c>
      <c r="P230" s="5">
        <v>45.21</v>
      </c>
      <c r="Q230" s="5">
        <v>43.06</v>
      </c>
      <c r="R230" s="5">
        <v>41.24</v>
      </c>
    </row>
    <row r="231" spans="1:18" x14ac:dyDescent="0.25">
      <c r="A231">
        <v>2005</v>
      </c>
      <c r="B231">
        <v>10</v>
      </c>
      <c r="C231">
        <v>4</v>
      </c>
      <c r="D231" t="str">
        <f t="shared" si="3"/>
        <v>DC200510-sem4</v>
      </c>
      <c r="E231" s="1">
        <v>38647</v>
      </c>
      <c r="F231" s="1">
        <v>38653</v>
      </c>
      <c r="G231" s="5">
        <v>52.97</v>
      </c>
      <c r="H231" s="5">
        <v>50.62</v>
      </c>
      <c r="I231" s="5">
        <v>47.98</v>
      </c>
      <c r="J231" s="5">
        <v>18.329999999999998</v>
      </c>
      <c r="K231" s="5">
        <v>18.329999999999998</v>
      </c>
      <c r="L231" s="5">
        <v>18.329999999999998</v>
      </c>
      <c r="M231" s="5">
        <v>19.55</v>
      </c>
      <c r="N231" s="5">
        <v>19.55</v>
      </c>
      <c r="O231" s="5">
        <v>19.420000000000002</v>
      </c>
      <c r="P231" s="5">
        <v>52.97</v>
      </c>
      <c r="Q231" s="5">
        <v>50.62</v>
      </c>
      <c r="R231" s="5">
        <v>47.98</v>
      </c>
    </row>
    <row r="232" spans="1:18" x14ac:dyDescent="0.25">
      <c r="A232">
        <v>2005</v>
      </c>
      <c r="B232">
        <v>11</v>
      </c>
      <c r="C232">
        <v>1</v>
      </c>
      <c r="D232" t="str">
        <f t="shared" si="3"/>
        <v>DC200511-sem1</v>
      </c>
      <c r="E232" s="1">
        <v>38654</v>
      </c>
      <c r="F232" s="1">
        <v>38660</v>
      </c>
      <c r="G232" s="5">
        <v>50.8</v>
      </c>
      <c r="H232" s="5">
        <v>49.73</v>
      </c>
      <c r="I232" s="5">
        <v>47.48</v>
      </c>
      <c r="J232" s="5">
        <v>18.329999999999998</v>
      </c>
      <c r="K232" s="5">
        <v>18.329999999999998</v>
      </c>
      <c r="L232" s="5">
        <v>18.329999999999998</v>
      </c>
      <c r="M232" s="5">
        <v>21.21</v>
      </c>
      <c r="N232" s="5">
        <v>21.01</v>
      </c>
      <c r="O232" s="5">
        <v>21.01</v>
      </c>
      <c r="P232" s="5">
        <v>50.81</v>
      </c>
      <c r="Q232" s="5">
        <v>49.73</v>
      </c>
      <c r="R232" s="5">
        <v>47.48</v>
      </c>
    </row>
    <row r="233" spans="1:18" x14ac:dyDescent="0.25">
      <c r="A233">
        <v>2005</v>
      </c>
      <c r="B233">
        <v>11</v>
      </c>
      <c r="C233">
        <v>2</v>
      </c>
      <c r="D233" t="str">
        <f t="shared" si="3"/>
        <v>DC200511-sem2</v>
      </c>
      <c r="E233" s="1">
        <v>38661</v>
      </c>
      <c r="F233" s="1">
        <v>38667</v>
      </c>
      <c r="G233" s="5">
        <v>33.64</v>
      </c>
      <c r="H233" s="5">
        <v>32.72</v>
      </c>
      <c r="I233" s="5">
        <v>31</v>
      </c>
      <c r="J233" s="5">
        <v>18.329999999999998</v>
      </c>
      <c r="K233" s="5">
        <v>18.329999999999998</v>
      </c>
      <c r="L233" s="5">
        <v>18.329999999999998</v>
      </c>
      <c r="M233" s="5">
        <v>18.579999999999998</v>
      </c>
      <c r="N233" s="5">
        <v>18.579999999999998</v>
      </c>
      <c r="O233" s="5">
        <v>18.579999999999998</v>
      </c>
      <c r="P233" s="5">
        <v>33.64</v>
      </c>
      <c r="Q233" s="5">
        <v>32.72</v>
      </c>
      <c r="R233" s="5">
        <v>31</v>
      </c>
    </row>
    <row r="234" spans="1:18" x14ac:dyDescent="0.25">
      <c r="A234">
        <v>2005</v>
      </c>
      <c r="B234">
        <v>11</v>
      </c>
      <c r="C234">
        <v>3</v>
      </c>
      <c r="D234" t="str">
        <f t="shared" si="3"/>
        <v>DC200511-sem3</v>
      </c>
      <c r="E234" s="1">
        <v>38668</v>
      </c>
      <c r="F234" s="1">
        <v>38674</v>
      </c>
      <c r="G234" s="5">
        <v>34.69</v>
      </c>
      <c r="H234" s="5">
        <v>33.92</v>
      </c>
      <c r="I234" s="5">
        <v>32.06</v>
      </c>
      <c r="J234" s="5">
        <v>18.329999999999998</v>
      </c>
      <c r="K234" s="5">
        <v>18.329999999999998</v>
      </c>
      <c r="L234" s="5">
        <v>18.329999999999998</v>
      </c>
      <c r="M234" s="5">
        <v>18.54</v>
      </c>
      <c r="N234" s="5">
        <v>18.54</v>
      </c>
      <c r="O234" s="5">
        <v>18.54</v>
      </c>
      <c r="P234" s="5">
        <v>34.69</v>
      </c>
      <c r="Q234" s="5">
        <v>33.92</v>
      </c>
      <c r="R234" s="5">
        <v>32.06</v>
      </c>
    </row>
    <row r="235" spans="1:18" x14ac:dyDescent="0.25">
      <c r="A235">
        <v>2005</v>
      </c>
      <c r="B235">
        <v>11</v>
      </c>
      <c r="C235">
        <v>4</v>
      </c>
      <c r="D235" t="str">
        <f t="shared" si="3"/>
        <v>DC200511-sem4</v>
      </c>
      <c r="E235" s="1">
        <v>38675</v>
      </c>
      <c r="F235" s="1">
        <v>38681</v>
      </c>
      <c r="G235" s="5">
        <v>38.11</v>
      </c>
      <c r="H235" s="5">
        <v>37.24</v>
      </c>
      <c r="I235" s="5">
        <v>35.5</v>
      </c>
      <c r="J235" s="5">
        <v>33.380000000000003</v>
      </c>
      <c r="K235" s="5">
        <v>33.380000000000003</v>
      </c>
      <c r="L235" s="5">
        <v>33.35</v>
      </c>
      <c r="M235" s="5">
        <v>21.36</v>
      </c>
      <c r="N235" s="5">
        <v>21.36</v>
      </c>
      <c r="O235" s="5">
        <v>21.36</v>
      </c>
      <c r="P235" s="5">
        <v>38.11</v>
      </c>
      <c r="Q235" s="5">
        <v>37.24</v>
      </c>
      <c r="R235" s="5">
        <v>35.5</v>
      </c>
    </row>
    <row r="236" spans="1:18" x14ac:dyDescent="0.25">
      <c r="A236">
        <v>2005</v>
      </c>
      <c r="B236">
        <v>12</v>
      </c>
      <c r="C236">
        <v>1</v>
      </c>
      <c r="D236" t="str">
        <f t="shared" si="3"/>
        <v>DC200512-sem1</v>
      </c>
      <c r="E236" s="1">
        <v>38682</v>
      </c>
      <c r="F236" s="1">
        <v>38688</v>
      </c>
      <c r="G236" s="5">
        <v>33.380000000000003</v>
      </c>
      <c r="H236" s="5">
        <v>32.619999999999997</v>
      </c>
      <c r="I236" s="5">
        <v>31.8</v>
      </c>
      <c r="J236" s="5">
        <v>32.619999999999997</v>
      </c>
      <c r="K236" s="5">
        <v>32.619999999999997</v>
      </c>
      <c r="L236" s="5">
        <v>31.8</v>
      </c>
      <c r="M236" s="5">
        <v>20.149999999999999</v>
      </c>
      <c r="N236" s="5">
        <v>20.03</v>
      </c>
      <c r="O236" s="5">
        <v>20.03</v>
      </c>
      <c r="P236" s="5">
        <v>33.380000000000003</v>
      </c>
      <c r="Q236" s="5">
        <v>32.619999999999997</v>
      </c>
      <c r="R236" s="5">
        <v>31.8</v>
      </c>
    </row>
    <row r="237" spans="1:18" x14ac:dyDescent="0.25">
      <c r="A237">
        <v>2005</v>
      </c>
      <c r="B237">
        <v>12</v>
      </c>
      <c r="C237">
        <v>2</v>
      </c>
      <c r="D237" t="str">
        <f t="shared" si="3"/>
        <v>DC200512-sem2</v>
      </c>
      <c r="E237" s="1">
        <v>38689</v>
      </c>
      <c r="F237" s="1">
        <v>38695</v>
      </c>
      <c r="G237" s="5">
        <v>18.329999999999998</v>
      </c>
      <c r="H237" s="5">
        <v>18.329999999999998</v>
      </c>
      <c r="I237" s="5">
        <v>18.329999999999998</v>
      </c>
      <c r="J237" s="5">
        <v>18.329999999999998</v>
      </c>
      <c r="K237" s="5">
        <v>18.329999999999998</v>
      </c>
      <c r="L237" s="5">
        <v>18.329999999999998</v>
      </c>
      <c r="M237" s="5">
        <v>18.329999999999998</v>
      </c>
      <c r="N237" s="5">
        <v>18.329999999999998</v>
      </c>
      <c r="O237" s="5">
        <v>18.329999999999998</v>
      </c>
      <c r="P237" s="5">
        <v>18.329999999999998</v>
      </c>
      <c r="Q237" s="5">
        <v>18.329999999999998</v>
      </c>
      <c r="R237" s="5">
        <v>18.329999999999998</v>
      </c>
    </row>
    <row r="238" spans="1:18" x14ac:dyDescent="0.25">
      <c r="A238">
        <v>2005</v>
      </c>
      <c r="B238">
        <v>12</v>
      </c>
      <c r="C238">
        <v>3</v>
      </c>
      <c r="D238" t="str">
        <f t="shared" si="3"/>
        <v>DC200512-sem3</v>
      </c>
      <c r="E238" s="1">
        <v>38696</v>
      </c>
      <c r="F238" s="1">
        <v>38702</v>
      </c>
      <c r="G238" s="5">
        <v>18.329999999999998</v>
      </c>
      <c r="H238" s="5">
        <v>18.329999999999998</v>
      </c>
      <c r="I238" s="5">
        <v>18.329999999999998</v>
      </c>
      <c r="J238" s="5">
        <v>18.329999999999998</v>
      </c>
      <c r="K238" s="5">
        <v>18.329999999999998</v>
      </c>
      <c r="L238" s="5">
        <v>18.329999999999998</v>
      </c>
      <c r="M238" s="5">
        <v>18.329999999999998</v>
      </c>
      <c r="N238" s="5">
        <v>18.329999999999998</v>
      </c>
      <c r="O238" s="5">
        <v>18.329999999999998</v>
      </c>
      <c r="P238" s="5">
        <v>18.329999999999998</v>
      </c>
      <c r="Q238" s="5">
        <v>18.329999999999998</v>
      </c>
      <c r="R238" s="5">
        <v>18.329999999999998</v>
      </c>
    </row>
    <row r="239" spans="1:18" x14ac:dyDescent="0.25">
      <c r="A239">
        <v>2005</v>
      </c>
      <c r="B239">
        <v>12</v>
      </c>
      <c r="C239">
        <v>4</v>
      </c>
      <c r="D239" t="str">
        <f t="shared" si="3"/>
        <v>DC200512-sem4</v>
      </c>
      <c r="E239" s="1">
        <v>38703</v>
      </c>
      <c r="F239" s="1">
        <v>38709</v>
      </c>
      <c r="G239" s="5">
        <v>18.329999999999998</v>
      </c>
      <c r="H239" s="5">
        <v>18.329999999999998</v>
      </c>
      <c r="I239" s="5">
        <v>18.329999999999998</v>
      </c>
      <c r="J239" s="5">
        <v>18.329999999999998</v>
      </c>
      <c r="K239" s="5">
        <v>18.329999999999998</v>
      </c>
      <c r="L239" s="5">
        <v>18.329999999999998</v>
      </c>
      <c r="M239" s="5">
        <v>18.329999999999998</v>
      </c>
      <c r="N239" s="5">
        <v>18.329999999999998</v>
      </c>
      <c r="O239" s="5">
        <v>18.329999999999998</v>
      </c>
      <c r="P239" s="5">
        <v>18.329999999999998</v>
      </c>
      <c r="Q239" s="5">
        <v>18.329999999999998</v>
      </c>
      <c r="R239" s="5">
        <v>18.329999999999998</v>
      </c>
    </row>
    <row r="240" spans="1:18" x14ac:dyDescent="0.25">
      <c r="A240">
        <v>2005</v>
      </c>
      <c r="B240">
        <v>12</v>
      </c>
      <c r="C240">
        <v>5</v>
      </c>
      <c r="D240" t="str">
        <f t="shared" si="3"/>
        <v>DC200512-sem5</v>
      </c>
      <c r="E240" s="1">
        <v>38710</v>
      </c>
      <c r="F240" s="1">
        <v>38716</v>
      </c>
      <c r="G240" s="5">
        <v>18.329999999999998</v>
      </c>
      <c r="H240" s="5">
        <v>18.329999999999998</v>
      </c>
      <c r="I240" s="5">
        <v>18.329999999999998</v>
      </c>
      <c r="J240" s="5">
        <v>18.329999999999998</v>
      </c>
      <c r="K240" s="5">
        <v>18.329999999999998</v>
      </c>
      <c r="L240" s="5">
        <v>18.329999999999998</v>
      </c>
      <c r="M240" s="5">
        <v>18.329999999999998</v>
      </c>
      <c r="N240" s="5">
        <v>18.329999999999998</v>
      </c>
      <c r="O240" s="5">
        <v>18.329999999999998</v>
      </c>
      <c r="P240" s="5">
        <v>18.329999999999998</v>
      </c>
      <c r="Q240" s="5">
        <v>18.329999999999998</v>
      </c>
      <c r="R240" s="5">
        <v>18.329999999999998</v>
      </c>
    </row>
    <row r="241" spans="1:18" x14ac:dyDescent="0.25">
      <c r="A241">
        <v>2006</v>
      </c>
      <c r="B241">
        <v>1</v>
      </c>
      <c r="C241">
        <v>1</v>
      </c>
      <c r="D241" t="str">
        <f t="shared" si="3"/>
        <v>DC200601-sem1</v>
      </c>
      <c r="E241" s="1">
        <v>38717</v>
      </c>
      <c r="F241" s="1">
        <v>38723</v>
      </c>
      <c r="G241" s="5">
        <v>16.920000000000002</v>
      </c>
      <c r="H241" s="5">
        <v>16.920000000000002</v>
      </c>
      <c r="I241" s="5">
        <v>16.920000000000002</v>
      </c>
      <c r="J241" s="5">
        <v>16.920000000000002</v>
      </c>
      <c r="K241" s="5">
        <v>16.920000000000002</v>
      </c>
      <c r="L241" s="5">
        <v>16.920000000000002</v>
      </c>
      <c r="M241" s="5">
        <v>16.920000000000002</v>
      </c>
      <c r="N241" s="5">
        <v>16.920000000000002</v>
      </c>
      <c r="O241" s="5">
        <v>16.920000000000002</v>
      </c>
      <c r="P241" s="5">
        <v>16.920000000000002</v>
      </c>
      <c r="Q241" s="5">
        <v>16.920000000000002</v>
      </c>
      <c r="R241" s="5">
        <v>16.920000000000002</v>
      </c>
    </row>
    <row r="242" spans="1:18" x14ac:dyDescent="0.25">
      <c r="A242">
        <v>2006</v>
      </c>
      <c r="B242">
        <v>1</v>
      </c>
      <c r="C242">
        <v>2</v>
      </c>
      <c r="D242" t="str">
        <f t="shared" si="3"/>
        <v>DC200601-sem2</v>
      </c>
      <c r="E242" s="1">
        <v>38724</v>
      </c>
      <c r="F242" s="1">
        <v>38730</v>
      </c>
      <c r="G242" s="5">
        <v>16.920000000000002</v>
      </c>
      <c r="H242" s="5">
        <v>16.920000000000002</v>
      </c>
      <c r="I242" s="5">
        <v>16.920000000000002</v>
      </c>
      <c r="J242" s="5">
        <v>16.920000000000002</v>
      </c>
      <c r="K242" s="5">
        <v>16.920000000000002</v>
      </c>
      <c r="L242" s="5">
        <v>16.920000000000002</v>
      </c>
      <c r="M242" s="5">
        <v>16.920000000000002</v>
      </c>
      <c r="N242" s="5">
        <v>16.920000000000002</v>
      </c>
      <c r="O242" s="5">
        <v>16.920000000000002</v>
      </c>
      <c r="P242" s="5">
        <v>16.920000000000002</v>
      </c>
      <c r="Q242" s="5">
        <v>16.920000000000002</v>
      </c>
      <c r="R242" s="5">
        <v>16.920000000000002</v>
      </c>
    </row>
    <row r="243" spans="1:18" x14ac:dyDescent="0.25">
      <c r="A243">
        <v>2006</v>
      </c>
      <c r="B243">
        <v>1</v>
      </c>
      <c r="C243">
        <v>3</v>
      </c>
      <c r="D243" t="str">
        <f t="shared" si="3"/>
        <v>DC200601-sem3</v>
      </c>
      <c r="E243" s="1">
        <v>38731</v>
      </c>
      <c r="F243" s="1">
        <v>38737</v>
      </c>
      <c r="G243" s="5">
        <v>16.920000000000002</v>
      </c>
      <c r="H243" s="5">
        <v>16.920000000000002</v>
      </c>
      <c r="I243" s="5">
        <v>16.920000000000002</v>
      </c>
      <c r="J243" s="5">
        <v>16.920000000000002</v>
      </c>
      <c r="K243" s="5">
        <v>16.920000000000002</v>
      </c>
      <c r="L243" s="5">
        <v>16.920000000000002</v>
      </c>
      <c r="M243" s="5">
        <v>16.920000000000002</v>
      </c>
      <c r="N243" s="5">
        <v>16.920000000000002</v>
      </c>
      <c r="O243" s="5">
        <v>16.920000000000002</v>
      </c>
      <c r="P243" s="5">
        <v>16.920000000000002</v>
      </c>
      <c r="Q243" s="5">
        <v>16.920000000000002</v>
      </c>
      <c r="R243" s="5">
        <v>16.920000000000002</v>
      </c>
    </row>
    <row r="244" spans="1:18" x14ac:dyDescent="0.25">
      <c r="A244">
        <v>2006</v>
      </c>
      <c r="B244">
        <v>1</v>
      </c>
      <c r="C244">
        <v>4</v>
      </c>
      <c r="D244" t="str">
        <f t="shared" si="3"/>
        <v>DC200601-sem4</v>
      </c>
      <c r="E244" s="1">
        <v>38738</v>
      </c>
      <c r="F244" s="1">
        <v>38744</v>
      </c>
      <c r="G244" s="5">
        <v>40.46</v>
      </c>
      <c r="H244" s="5">
        <v>40.46</v>
      </c>
      <c r="I244" s="5">
        <v>38.35</v>
      </c>
      <c r="J244" s="5">
        <v>40.46</v>
      </c>
      <c r="K244" s="5">
        <v>40.46</v>
      </c>
      <c r="L244" s="5">
        <v>40.049999999999997</v>
      </c>
      <c r="M244" s="5">
        <v>16.920000000000002</v>
      </c>
      <c r="N244" s="5">
        <v>16.920000000000002</v>
      </c>
      <c r="O244" s="5">
        <v>16.920000000000002</v>
      </c>
      <c r="P244" s="5">
        <v>16.920000000000002</v>
      </c>
      <c r="Q244" s="5">
        <v>16.920000000000002</v>
      </c>
      <c r="R244" s="5">
        <v>16.920000000000002</v>
      </c>
    </row>
    <row r="245" spans="1:18" x14ac:dyDescent="0.25">
      <c r="A245">
        <v>2006</v>
      </c>
      <c r="B245">
        <v>2</v>
      </c>
      <c r="C245">
        <v>1</v>
      </c>
      <c r="D245" t="str">
        <f t="shared" si="3"/>
        <v>DC200602-sem1</v>
      </c>
      <c r="E245" s="1">
        <v>38745</v>
      </c>
      <c r="F245" s="1">
        <v>38751</v>
      </c>
      <c r="G245" s="5">
        <v>68.78</v>
      </c>
      <c r="H245" s="5">
        <v>68.78</v>
      </c>
      <c r="I245" s="5">
        <v>66.75</v>
      </c>
      <c r="J245" s="5">
        <v>68.78</v>
      </c>
      <c r="K245" s="5">
        <v>68.78</v>
      </c>
      <c r="L245" s="5">
        <v>66.75</v>
      </c>
      <c r="M245" s="5">
        <v>34.32</v>
      </c>
      <c r="N245" s="5">
        <v>34.1</v>
      </c>
      <c r="O245" s="5">
        <v>34.1</v>
      </c>
      <c r="P245" s="5">
        <v>34.32</v>
      </c>
      <c r="Q245" s="5">
        <v>34.1</v>
      </c>
      <c r="R245" s="5">
        <v>34.1</v>
      </c>
    </row>
    <row r="246" spans="1:18" x14ac:dyDescent="0.25">
      <c r="A246">
        <v>2006</v>
      </c>
      <c r="B246">
        <v>2</v>
      </c>
      <c r="C246">
        <v>2</v>
      </c>
      <c r="D246" t="str">
        <f t="shared" si="3"/>
        <v>DC200602-sem2</v>
      </c>
      <c r="E246" s="1">
        <v>38752</v>
      </c>
      <c r="F246" s="1">
        <v>38758</v>
      </c>
      <c r="G246" s="5">
        <v>62.84</v>
      </c>
      <c r="H246" s="5">
        <v>62.72</v>
      </c>
      <c r="I246" s="5">
        <v>57.13</v>
      </c>
      <c r="J246" s="5">
        <v>62.84</v>
      </c>
      <c r="K246" s="5">
        <v>62.72</v>
      </c>
      <c r="L246" s="5">
        <v>60.15</v>
      </c>
      <c r="M246" s="5">
        <v>37.619999999999997</v>
      </c>
      <c r="N246" s="5">
        <v>37.619999999999997</v>
      </c>
      <c r="O246" s="5">
        <v>37.369999999999997</v>
      </c>
      <c r="P246" s="5">
        <v>16.920000000000002</v>
      </c>
      <c r="Q246" s="5">
        <v>16.920000000000002</v>
      </c>
      <c r="R246" s="5">
        <v>16.920000000000002</v>
      </c>
    </row>
    <row r="247" spans="1:18" x14ac:dyDescent="0.25">
      <c r="A247">
        <v>2006</v>
      </c>
      <c r="B247">
        <v>2</v>
      </c>
      <c r="C247">
        <v>3</v>
      </c>
      <c r="D247" t="str">
        <f t="shared" si="3"/>
        <v>DC200602-sem3</v>
      </c>
      <c r="E247" s="1">
        <v>38759</v>
      </c>
      <c r="F247" s="1">
        <v>38765</v>
      </c>
      <c r="G247" s="5">
        <v>86.64</v>
      </c>
      <c r="H247" s="5">
        <v>86.54</v>
      </c>
      <c r="I247" s="5">
        <v>82.97</v>
      </c>
      <c r="J247" s="5">
        <v>86.64</v>
      </c>
      <c r="K247" s="5">
        <v>86.54</v>
      </c>
      <c r="L247" s="5">
        <v>82.97</v>
      </c>
      <c r="M247" s="5">
        <v>45.04</v>
      </c>
      <c r="N247" s="5">
        <v>45.04</v>
      </c>
      <c r="O247" s="5">
        <v>44.74</v>
      </c>
      <c r="P247" s="5">
        <v>45.04</v>
      </c>
      <c r="Q247" s="5">
        <v>45.04</v>
      </c>
      <c r="R247" s="5">
        <v>44.74</v>
      </c>
    </row>
    <row r="248" spans="1:18" x14ac:dyDescent="0.25">
      <c r="A248">
        <v>2006</v>
      </c>
      <c r="B248">
        <v>2</v>
      </c>
      <c r="C248">
        <v>4</v>
      </c>
      <c r="D248" t="str">
        <f t="shared" si="3"/>
        <v>DC200602-sem4</v>
      </c>
      <c r="E248" s="1">
        <v>38766</v>
      </c>
      <c r="F248" s="1">
        <v>38772</v>
      </c>
      <c r="G248" s="5">
        <v>37.78</v>
      </c>
      <c r="H248" s="5">
        <v>36.54</v>
      </c>
      <c r="I248" s="5">
        <v>33.04</v>
      </c>
      <c r="J248" s="5">
        <v>54.1</v>
      </c>
      <c r="K248" s="5">
        <v>54.1</v>
      </c>
      <c r="L248" s="5">
        <v>53.07</v>
      </c>
      <c r="M248" s="5">
        <v>30.73</v>
      </c>
      <c r="N248" s="5">
        <v>30.73</v>
      </c>
      <c r="O248" s="5">
        <v>30.53</v>
      </c>
      <c r="P248" s="5">
        <v>30.73</v>
      </c>
      <c r="Q248" s="5">
        <v>30.73</v>
      </c>
      <c r="R248" s="5">
        <v>30.53</v>
      </c>
    </row>
    <row r="249" spans="1:18" x14ac:dyDescent="0.25">
      <c r="A249">
        <v>2006</v>
      </c>
      <c r="B249">
        <v>3</v>
      </c>
      <c r="C249">
        <v>1</v>
      </c>
      <c r="D249" t="str">
        <f t="shared" si="3"/>
        <v>DC200603-sem1</v>
      </c>
      <c r="E249" s="1">
        <v>38773</v>
      </c>
      <c r="F249" s="1">
        <v>38779</v>
      </c>
      <c r="G249" s="5">
        <v>40</v>
      </c>
      <c r="H249" s="5">
        <v>38.93</v>
      </c>
      <c r="I249" s="5">
        <v>36.78</v>
      </c>
      <c r="J249" s="5">
        <v>43.56</v>
      </c>
      <c r="K249" s="5">
        <v>43.36</v>
      </c>
      <c r="L249" s="5">
        <v>42.67</v>
      </c>
      <c r="M249" s="5">
        <v>40</v>
      </c>
      <c r="N249" s="5">
        <v>40</v>
      </c>
      <c r="O249" s="5">
        <v>39.74</v>
      </c>
      <c r="P249" s="5">
        <v>16.920000000000002</v>
      </c>
      <c r="Q249" s="5">
        <v>16.920000000000002</v>
      </c>
      <c r="R249" s="5">
        <v>16.920000000000002</v>
      </c>
    </row>
    <row r="250" spans="1:18" x14ac:dyDescent="0.25">
      <c r="A250">
        <v>2006</v>
      </c>
      <c r="B250">
        <v>3</v>
      </c>
      <c r="C250">
        <v>2</v>
      </c>
      <c r="D250" t="str">
        <f t="shared" si="3"/>
        <v>DC200603-sem2</v>
      </c>
      <c r="E250" s="1">
        <v>38780</v>
      </c>
      <c r="F250" s="1">
        <v>38786</v>
      </c>
      <c r="G250" s="5">
        <v>40.6</v>
      </c>
      <c r="H250" s="5">
        <v>40.020000000000003</v>
      </c>
      <c r="I250" s="5">
        <v>37.85</v>
      </c>
      <c r="J250" s="5">
        <v>45.06</v>
      </c>
      <c r="K250" s="5">
        <v>45.06</v>
      </c>
      <c r="L250" s="5">
        <v>43.75</v>
      </c>
      <c r="M250" s="5">
        <v>40.270000000000003</v>
      </c>
      <c r="N250" s="5">
        <v>40.020000000000003</v>
      </c>
      <c r="O250" s="5">
        <v>39.76</v>
      </c>
      <c r="P250" s="5">
        <v>16.920000000000002</v>
      </c>
      <c r="Q250" s="5">
        <v>16.920000000000002</v>
      </c>
      <c r="R250" s="5">
        <v>16.920000000000002</v>
      </c>
    </row>
    <row r="251" spans="1:18" x14ac:dyDescent="0.25">
      <c r="A251">
        <v>2006</v>
      </c>
      <c r="B251">
        <v>3</v>
      </c>
      <c r="C251">
        <v>3</v>
      </c>
      <c r="D251" t="str">
        <f t="shared" si="3"/>
        <v>DC200603-sem3</v>
      </c>
      <c r="E251" s="1">
        <v>38787</v>
      </c>
      <c r="F251" s="1">
        <v>38793</v>
      </c>
      <c r="G251" s="5">
        <v>16.920000000000002</v>
      </c>
      <c r="H251" s="5">
        <v>16.920000000000002</v>
      </c>
      <c r="I251" s="5">
        <v>16.920000000000002</v>
      </c>
      <c r="J251" s="5">
        <v>45.36</v>
      </c>
      <c r="K251" s="5">
        <v>45.36</v>
      </c>
      <c r="L251" s="5">
        <v>43.91</v>
      </c>
      <c r="M251" s="5">
        <v>39.270000000000003</v>
      </c>
      <c r="N251" s="5">
        <v>39.270000000000003</v>
      </c>
      <c r="O251" s="5">
        <v>39.01</v>
      </c>
      <c r="P251" s="5">
        <v>16.920000000000002</v>
      </c>
      <c r="Q251" s="5">
        <v>16.920000000000002</v>
      </c>
      <c r="R251" s="5">
        <v>16.920000000000002</v>
      </c>
    </row>
    <row r="252" spans="1:18" x14ac:dyDescent="0.25">
      <c r="A252">
        <v>2006</v>
      </c>
      <c r="B252">
        <v>3</v>
      </c>
      <c r="C252">
        <v>4</v>
      </c>
      <c r="D252" t="str">
        <f t="shared" si="3"/>
        <v>DC200603-sem4</v>
      </c>
      <c r="E252" s="1">
        <v>38794</v>
      </c>
      <c r="F252" s="1">
        <v>38800</v>
      </c>
      <c r="G252" s="5">
        <v>16.920000000000002</v>
      </c>
      <c r="H252" s="5">
        <v>16.920000000000002</v>
      </c>
      <c r="I252" s="5">
        <v>16.920000000000002</v>
      </c>
      <c r="J252" s="5">
        <v>42.09</v>
      </c>
      <c r="K252" s="5">
        <v>42.09</v>
      </c>
      <c r="L252" s="5">
        <v>41.08</v>
      </c>
      <c r="M252" s="5">
        <v>32.67</v>
      </c>
      <c r="N252" s="5">
        <v>32.67</v>
      </c>
      <c r="O252" s="5">
        <v>32.67</v>
      </c>
      <c r="P252" s="5">
        <v>16.920000000000002</v>
      </c>
      <c r="Q252" s="5">
        <v>16.920000000000002</v>
      </c>
      <c r="R252" s="5">
        <v>16.920000000000002</v>
      </c>
    </row>
    <row r="253" spans="1:18" x14ac:dyDescent="0.25">
      <c r="A253">
        <v>2006</v>
      </c>
      <c r="B253">
        <v>3</v>
      </c>
      <c r="C253">
        <v>5</v>
      </c>
      <c r="D253" t="str">
        <f t="shared" si="3"/>
        <v>DC200603-sem5</v>
      </c>
      <c r="E253" s="1">
        <v>38801</v>
      </c>
      <c r="F253" s="1">
        <v>38807</v>
      </c>
      <c r="G253" s="5">
        <v>39.35</v>
      </c>
      <c r="H253" s="5">
        <v>38.119999999999997</v>
      </c>
      <c r="I253" s="5">
        <v>34.369999999999997</v>
      </c>
      <c r="J253" s="5">
        <v>39.69</v>
      </c>
      <c r="K253" s="5">
        <v>39.69</v>
      </c>
      <c r="L253" s="5">
        <v>38.65</v>
      </c>
      <c r="M253" s="5">
        <v>31.16</v>
      </c>
      <c r="N253" s="5">
        <v>30.95</v>
      </c>
      <c r="O253" s="5">
        <v>30.95</v>
      </c>
      <c r="P253" s="5">
        <v>31.16</v>
      </c>
      <c r="Q253" s="5">
        <v>30.95</v>
      </c>
      <c r="R253" s="5">
        <v>16.920000000000002</v>
      </c>
    </row>
    <row r="254" spans="1:18" x14ac:dyDescent="0.25">
      <c r="A254">
        <v>2006</v>
      </c>
      <c r="B254">
        <v>4</v>
      </c>
      <c r="C254">
        <v>1</v>
      </c>
      <c r="D254" t="str">
        <f t="shared" si="3"/>
        <v>DC200604-sem1</v>
      </c>
      <c r="E254" s="1">
        <v>38808</v>
      </c>
      <c r="F254" s="1">
        <v>38814</v>
      </c>
      <c r="G254" s="5">
        <v>24.21</v>
      </c>
      <c r="H254" s="5">
        <v>23.91</v>
      </c>
      <c r="I254" s="5">
        <v>22.46</v>
      </c>
      <c r="J254" s="5">
        <v>24.21</v>
      </c>
      <c r="K254" s="5">
        <v>23.91</v>
      </c>
      <c r="L254" s="5">
        <v>22.83</v>
      </c>
      <c r="M254" s="5">
        <v>16.920000000000002</v>
      </c>
      <c r="N254" s="5">
        <v>16.920000000000002</v>
      </c>
      <c r="O254" s="5">
        <v>16.920000000000002</v>
      </c>
      <c r="P254" s="5">
        <v>16.920000000000002</v>
      </c>
      <c r="Q254" s="5">
        <v>16.920000000000002</v>
      </c>
      <c r="R254" s="5">
        <v>16.920000000000002</v>
      </c>
    </row>
    <row r="255" spans="1:18" x14ac:dyDescent="0.25">
      <c r="A255">
        <v>2006</v>
      </c>
      <c r="B255">
        <v>4</v>
      </c>
      <c r="C255">
        <v>2</v>
      </c>
      <c r="D255" t="str">
        <f t="shared" si="3"/>
        <v>DC200604-sem2</v>
      </c>
      <c r="E255" s="1">
        <v>38815</v>
      </c>
      <c r="F255" s="1">
        <v>38821</v>
      </c>
      <c r="G255" s="5">
        <v>22.14</v>
      </c>
      <c r="H255" s="5">
        <v>21.81</v>
      </c>
      <c r="I255" s="5">
        <v>20.78</v>
      </c>
      <c r="J255" s="5">
        <v>22.21</v>
      </c>
      <c r="K255" s="5">
        <v>22.11</v>
      </c>
      <c r="L255" s="5">
        <v>21.6</v>
      </c>
      <c r="M255" s="5">
        <v>16.920000000000002</v>
      </c>
      <c r="N255" s="5">
        <v>16.920000000000002</v>
      </c>
      <c r="O255" s="5">
        <v>16.920000000000002</v>
      </c>
      <c r="P255" s="5">
        <v>16.920000000000002</v>
      </c>
      <c r="Q255" s="5">
        <v>16.920000000000002</v>
      </c>
      <c r="R255" s="5">
        <v>16.920000000000002</v>
      </c>
    </row>
    <row r="256" spans="1:18" x14ac:dyDescent="0.25">
      <c r="A256">
        <v>2006</v>
      </c>
      <c r="B256">
        <v>4</v>
      </c>
      <c r="C256">
        <v>3</v>
      </c>
      <c r="D256" t="str">
        <f t="shared" si="3"/>
        <v>DC200604-sem3</v>
      </c>
      <c r="E256" s="1">
        <v>38822</v>
      </c>
      <c r="F256" s="1">
        <v>38828</v>
      </c>
      <c r="G256" s="5">
        <v>18.02</v>
      </c>
      <c r="H256" s="5">
        <v>17.55</v>
      </c>
      <c r="I256" s="5">
        <v>17.059999999999999</v>
      </c>
      <c r="J256" s="5">
        <v>18.02</v>
      </c>
      <c r="K256" s="5">
        <v>17.739999999999998</v>
      </c>
      <c r="L256" s="5">
        <v>17.059999999999999</v>
      </c>
      <c r="M256" s="5">
        <v>16.920000000000002</v>
      </c>
      <c r="N256" s="5">
        <v>16.920000000000002</v>
      </c>
      <c r="O256" s="5">
        <v>16.920000000000002</v>
      </c>
      <c r="P256" s="5">
        <v>16.920000000000002</v>
      </c>
      <c r="Q256" s="5">
        <v>16.920000000000002</v>
      </c>
      <c r="R256" s="5">
        <v>16.920000000000002</v>
      </c>
    </row>
    <row r="257" spans="1:18" x14ac:dyDescent="0.25">
      <c r="A257">
        <v>2006</v>
      </c>
      <c r="B257">
        <v>4</v>
      </c>
      <c r="C257">
        <v>4</v>
      </c>
      <c r="D257" t="str">
        <f t="shared" si="3"/>
        <v>DC200604-sem4</v>
      </c>
      <c r="E257" s="1">
        <v>38829</v>
      </c>
      <c r="F257" s="1">
        <v>38835</v>
      </c>
      <c r="G257" s="5">
        <v>16.920000000000002</v>
      </c>
      <c r="H257" s="5">
        <v>16.920000000000002</v>
      </c>
      <c r="I257" s="5">
        <v>16.920000000000002</v>
      </c>
      <c r="J257" s="5">
        <v>16.920000000000002</v>
      </c>
      <c r="K257" s="5">
        <v>16.920000000000002</v>
      </c>
      <c r="L257" s="5">
        <v>16.920000000000002</v>
      </c>
      <c r="M257" s="5">
        <v>16.920000000000002</v>
      </c>
      <c r="N257" s="5">
        <v>16.920000000000002</v>
      </c>
      <c r="O257" s="5">
        <v>16.920000000000002</v>
      </c>
      <c r="P257" s="5">
        <v>16.920000000000002</v>
      </c>
      <c r="Q257" s="5">
        <v>16.920000000000002</v>
      </c>
      <c r="R257" s="5">
        <v>16.920000000000002</v>
      </c>
    </row>
    <row r="258" spans="1:18" x14ac:dyDescent="0.25">
      <c r="A258">
        <v>2006</v>
      </c>
      <c r="B258">
        <v>5</v>
      </c>
      <c r="C258">
        <v>1</v>
      </c>
      <c r="D258" t="str">
        <f t="shared" si="3"/>
        <v>DC200605-sem1</v>
      </c>
      <c r="E258" s="1">
        <v>38836</v>
      </c>
      <c r="F258" s="1">
        <v>38842</v>
      </c>
      <c r="G258" s="5">
        <v>37.520000000000003</v>
      </c>
      <c r="H258" s="5">
        <v>36.64</v>
      </c>
      <c r="I258" s="5">
        <v>35.76</v>
      </c>
      <c r="J258" s="5">
        <v>37.520000000000003</v>
      </c>
      <c r="K258" s="5">
        <v>37.26</v>
      </c>
      <c r="L258" s="5">
        <v>35.76</v>
      </c>
      <c r="M258" s="5">
        <v>16.920000000000002</v>
      </c>
      <c r="N258" s="5">
        <v>16.920000000000002</v>
      </c>
      <c r="O258" s="5">
        <v>16.920000000000002</v>
      </c>
      <c r="P258" s="5">
        <v>16.920000000000002</v>
      </c>
      <c r="Q258" s="5">
        <v>16.920000000000002</v>
      </c>
      <c r="R258" s="5">
        <v>16.920000000000002</v>
      </c>
    </row>
    <row r="259" spans="1:18" x14ac:dyDescent="0.25">
      <c r="A259">
        <v>2006</v>
      </c>
      <c r="B259">
        <v>5</v>
      </c>
      <c r="C259">
        <v>2</v>
      </c>
      <c r="D259" t="str">
        <f t="shared" ref="D259:D322" si="4">"DC"&amp;A259&amp;REPT("0",2-LEN(B259))&amp;B259&amp;"-sem"&amp;C259</f>
        <v>DC200605-sem2</v>
      </c>
      <c r="E259" s="1">
        <v>38843</v>
      </c>
      <c r="F259" s="1">
        <v>38849</v>
      </c>
      <c r="G259" s="5">
        <v>50.04</v>
      </c>
      <c r="H259" s="5">
        <v>49.06</v>
      </c>
      <c r="I259" s="5">
        <v>48.9</v>
      </c>
      <c r="J259" s="5">
        <v>50.04</v>
      </c>
      <c r="K259" s="5">
        <v>49.66</v>
      </c>
      <c r="L259" s="5">
        <v>48.9</v>
      </c>
      <c r="M259" s="5">
        <v>18.940000000000001</v>
      </c>
      <c r="N259" s="5">
        <v>18.940000000000001</v>
      </c>
      <c r="O259" s="5">
        <v>18.82</v>
      </c>
      <c r="P259" s="5">
        <v>18.940000000000001</v>
      </c>
      <c r="Q259" s="5">
        <v>16.920000000000002</v>
      </c>
      <c r="R259" s="5">
        <v>16.920000000000002</v>
      </c>
    </row>
    <row r="260" spans="1:18" x14ac:dyDescent="0.25">
      <c r="A260">
        <v>2006</v>
      </c>
      <c r="B260">
        <v>5</v>
      </c>
      <c r="C260">
        <v>3</v>
      </c>
      <c r="D260" t="str">
        <f t="shared" si="4"/>
        <v>DC200605-sem3</v>
      </c>
      <c r="E260" s="1">
        <v>38850</v>
      </c>
      <c r="F260" s="1">
        <v>38856</v>
      </c>
      <c r="G260" s="5">
        <v>57.27</v>
      </c>
      <c r="H260" s="5">
        <v>56.47</v>
      </c>
      <c r="I260" s="5">
        <v>55.75</v>
      </c>
      <c r="J260" s="5">
        <v>57.27</v>
      </c>
      <c r="K260" s="5">
        <v>56.47</v>
      </c>
      <c r="L260" s="5">
        <v>55.75</v>
      </c>
      <c r="M260" s="5">
        <v>20.95</v>
      </c>
      <c r="N260" s="5">
        <v>20.86</v>
      </c>
      <c r="O260" s="5">
        <v>20.72</v>
      </c>
      <c r="P260" s="5">
        <v>16.920000000000002</v>
      </c>
      <c r="Q260" s="5">
        <v>16.920000000000002</v>
      </c>
      <c r="R260" s="5">
        <v>16.920000000000002</v>
      </c>
    </row>
    <row r="261" spans="1:18" x14ac:dyDescent="0.25">
      <c r="A261">
        <v>2006</v>
      </c>
      <c r="B261">
        <v>5</v>
      </c>
      <c r="C261">
        <v>4</v>
      </c>
      <c r="D261" t="str">
        <f t="shared" si="4"/>
        <v>DC200605-sem4</v>
      </c>
      <c r="E261" s="1">
        <v>38857</v>
      </c>
      <c r="F261" s="1">
        <v>38863</v>
      </c>
      <c r="G261" s="5">
        <v>56.42</v>
      </c>
      <c r="H261" s="5">
        <v>55.71</v>
      </c>
      <c r="I261" s="5">
        <v>55.29</v>
      </c>
      <c r="J261" s="5">
        <v>57.47</v>
      </c>
      <c r="K261" s="5">
        <v>56.88</v>
      </c>
      <c r="L261" s="5">
        <v>55.32</v>
      </c>
      <c r="M261" s="5">
        <v>20.3</v>
      </c>
      <c r="N261" s="5">
        <v>20.3</v>
      </c>
      <c r="O261" s="5">
        <v>20.16</v>
      </c>
      <c r="P261" s="5">
        <v>16.920000000000002</v>
      </c>
      <c r="Q261" s="5">
        <v>16.920000000000002</v>
      </c>
      <c r="R261" s="5">
        <v>16.920000000000002</v>
      </c>
    </row>
    <row r="262" spans="1:18" x14ac:dyDescent="0.25">
      <c r="A262">
        <v>2006</v>
      </c>
      <c r="B262">
        <v>6</v>
      </c>
      <c r="C262">
        <v>1</v>
      </c>
      <c r="D262" t="str">
        <f t="shared" si="4"/>
        <v>DC200606-sem1</v>
      </c>
      <c r="E262" s="1">
        <v>38864</v>
      </c>
      <c r="F262" s="1">
        <v>38870</v>
      </c>
      <c r="G262" s="5">
        <v>60.32</v>
      </c>
      <c r="H262" s="5">
        <v>60.21</v>
      </c>
      <c r="I262" s="5">
        <v>59.6</v>
      </c>
      <c r="J262" s="5">
        <v>63.53</v>
      </c>
      <c r="K262" s="5">
        <v>62.88</v>
      </c>
      <c r="L262" s="5">
        <v>60.21</v>
      </c>
      <c r="M262" s="5">
        <v>21.92</v>
      </c>
      <c r="N262" s="5">
        <v>21.83</v>
      </c>
      <c r="O262" s="5">
        <v>21.83</v>
      </c>
      <c r="P262" s="5">
        <v>16.920000000000002</v>
      </c>
      <c r="Q262" s="5">
        <v>16.920000000000002</v>
      </c>
      <c r="R262" s="5">
        <v>16.920000000000002</v>
      </c>
    </row>
    <row r="263" spans="1:18" x14ac:dyDescent="0.25">
      <c r="A263">
        <v>2006</v>
      </c>
      <c r="B263">
        <v>6</v>
      </c>
      <c r="C263">
        <v>2</v>
      </c>
      <c r="D263" t="str">
        <f t="shared" si="4"/>
        <v>DC200606-sem2</v>
      </c>
      <c r="E263" s="1">
        <v>38871</v>
      </c>
      <c r="F263" s="1">
        <v>38877</v>
      </c>
      <c r="G263" s="5">
        <v>63.09</v>
      </c>
      <c r="H263" s="5">
        <v>61.98</v>
      </c>
      <c r="I263" s="5">
        <v>61.31</v>
      </c>
      <c r="J263" s="5">
        <v>65.69</v>
      </c>
      <c r="K263" s="5">
        <v>65.349999999999994</v>
      </c>
      <c r="L263" s="5">
        <v>61.31</v>
      </c>
      <c r="M263" s="5">
        <v>22.38</v>
      </c>
      <c r="N263" s="5">
        <v>22.38</v>
      </c>
      <c r="O263" s="5">
        <v>22.38</v>
      </c>
      <c r="P263" s="5">
        <v>16.920000000000002</v>
      </c>
      <c r="Q263" s="5">
        <v>16.920000000000002</v>
      </c>
      <c r="R263" s="5">
        <v>16.920000000000002</v>
      </c>
    </row>
    <row r="264" spans="1:18" x14ac:dyDescent="0.25">
      <c r="A264">
        <v>2006</v>
      </c>
      <c r="B264">
        <v>6</v>
      </c>
      <c r="C264">
        <v>3</v>
      </c>
      <c r="D264" t="str">
        <f t="shared" si="4"/>
        <v>DC200606-sem3</v>
      </c>
      <c r="E264" s="1">
        <v>38878</v>
      </c>
      <c r="F264" s="1">
        <v>38884</v>
      </c>
      <c r="G264" s="5">
        <v>65.44</v>
      </c>
      <c r="H264" s="5">
        <v>64.73</v>
      </c>
      <c r="I264" s="5">
        <v>64.5</v>
      </c>
      <c r="J264" s="5">
        <v>68.63</v>
      </c>
      <c r="K264" s="5">
        <v>67.930000000000007</v>
      </c>
      <c r="L264" s="5">
        <v>64.73</v>
      </c>
      <c r="M264" s="5">
        <v>23.28</v>
      </c>
      <c r="N264" s="5">
        <v>23.13</v>
      </c>
      <c r="O264" s="5">
        <v>23.13</v>
      </c>
      <c r="P264" s="5">
        <v>23.28</v>
      </c>
      <c r="Q264" s="5">
        <v>23.13</v>
      </c>
      <c r="R264" s="5">
        <v>23.13</v>
      </c>
    </row>
    <row r="265" spans="1:18" x14ac:dyDescent="0.25">
      <c r="A265">
        <v>2006</v>
      </c>
      <c r="B265">
        <v>6</v>
      </c>
      <c r="C265">
        <v>4</v>
      </c>
      <c r="D265" t="str">
        <f t="shared" si="4"/>
        <v>DC200606-sem4</v>
      </c>
      <c r="E265" s="1">
        <v>38885</v>
      </c>
      <c r="F265" s="1">
        <v>38891</v>
      </c>
      <c r="G265" s="5">
        <v>75.23</v>
      </c>
      <c r="H265" s="5">
        <v>74.180000000000007</v>
      </c>
      <c r="I265" s="5">
        <v>73.91</v>
      </c>
      <c r="J265" s="5">
        <v>79.56</v>
      </c>
      <c r="K265" s="5">
        <v>78.150000000000006</v>
      </c>
      <c r="L265" s="5">
        <v>74.180000000000007</v>
      </c>
      <c r="M265" s="5">
        <v>24.4</v>
      </c>
      <c r="N265" s="5">
        <v>24.4</v>
      </c>
      <c r="O265" s="5">
        <v>24.4</v>
      </c>
      <c r="P265" s="5">
        <v>75.23</v>
      </c>
      <c r="Q265" s="5">
        <v>74.180000000000007</v>
      </c>
      <c r="R265" s="5">
        <v>73.91</v>
      </c>
    </row>
    <row r="266" spans="1:18" x14ac:dyDescent="0.25">
      <c r="A266">
        <v>2006</v>
      </c>
      <c r="B266">
        <v>6</v>
      </c>
      <c r="C266">
        <v>5</v>
      </c>
      <c r="D266" t="str">
        <f t="shared" si="4"/>
        <v>DC200606-sem5</v>
      </c>
      <c r="E266" s="1">
        <v>38892</v>
      </c>
      <c r="F266" s="1">
        <v>38898</v>
      </c>
      <c r="G266" s="5">
        <v>75.36</v>
      </c>
      <c r="H266" s="5">
        <v>73.62</v>
      </c>
      <c r="I266" s="5">
        <v>71.599999999999994</v>
      </c>
      <c r="J266" s="5">
        <v>77.430000000000007</v>
      </c>
      <c r="K266" s="5">
        <v>76.67</v>
      </c>
      <c r="L266" s="5">
        <v>71.599999999999994</v>
      </c>
      <c r="M266" s="5">
        <v>24.29</v>
      </c>
      <c r="N266" s="5">
        <v>24.29</v>
      </c>
      <c r="O266" s="5">
        <v>24.29</v>
      </c>
      <c r="P266" s="5">
        <v>75.36</v>
      </c>
      <c r="Q266" s="5">
        <v>73.62</v>
      </c>
      <c r="R266" s="5">
        <v>71.599999999999994</v>
      </c>
    </row>
    <row r="267" spans="1:18" x14ac:dyDescent="0.25">
      <c r="A267">
        <v>2006</v>
      </c>
      <c r="B267">
        <v>7</v>
      </c>
      <c r="C267">
        <v>1</v>
      </c>
      <c r="D267" t="str">
        <f t="shared" si="4"/>
        <v>DC200607-sem1</v>
      </c>
      <c r="E267" s="1">
        <v>38899</v>
      </c>
      <c r="F267" s="1">
        <v>38905</v>
      </c>
      <c r="G267" s="5">
        <v>93.9</v>
      </c>
      <c r="H267" s="5">
        <v>93.9</v>
      </c>
      <c r="I267" s="5">
        <v>90.66</v>
      </c>
      <c r="J267" s="5">
        <v>93.9</v>
      </c>
      <c r="K267" s="5">
        <v>93.9</v>
      </c>
      <c r="L267" s="5">
        <v>93.9</v>
      </c>
      <c r="M267" s="5">
        <v>28.72</v>
      </c>
      <c r="N267" s="5">
        <v>28.72</v>
      </c>
      <c r="O267" s="5">
        <v>28.72</v>
      </c>
      <c r="P267" s="5">
        <v>93.9</v>
      </c>
      <c r="Q267" s="5">
        <v>93.9</v>
      </c>
      <c r="R267" s="5">
        <v>90.66</v>
      </c>
    </row>
    <row r="268" spans="1:18" x14ac:dyDescent="0.25">
      <c r="A268">
        <v>2006</v>
      </c>
      <c r="B268">
        <v>7</v>
      </c>
      <c r="C268">
        <v>2</v>
      </c>
      <c r="D268" t="str">
        <f t="shared" si="4"/>
        <v>DC200607-sem2</v>
      </c>
      <c r="E268" s="1">
        <v>38906</v>
      </c>
      <c r="F268" s="1">
        <v>38912</v>
      </c>
      <c r="G268" s="5">
        <v>89.97</v>
      </c>
      <c r="H268" s="5">
        <v>89.05</v>
      </c>
      <c r="I268" s="5">
        <v>86.34</v>
      </c>
      <c r="J268" s="5">
        <v>89.97</v>
      </c>
      <c r="K268" s="5">
        <v>89.05</v>
      </c>
      <c r="L268" s="5">
        <v>89.05</v>
      </c>
      <c r="M268" s="5">
        <v>28.64</v>
      </c>
      <c r="N268" s="5">
        <v>28.64</v>
      </c>
      <c r="O268" s="5">
        <v>28.45</v>
      </c>
      <c r="P268" s="5">
        <v>89.97</v>
      </c>
      <c r="Q268" s="5">
        <v>89.05</v>
      </c>
      <c r="R268" s="5">
        <v>86.34</v>
      </c>
    </row>
    <row r="269" spans="1:18" x14ac:dyDescent="0.25">
      <c r="A269">
        <v>2006</v>
      </c>
      <c r="B269">
        <v>7</v>
      </c>
      <c r="C269">
        <v>3</v>
      </c>
      <c r="D269" t="str">
        <f t="shared" si="4"/>
        <v>DC200607-sem3</v>
      </c>
      <c r="E269" s="1">
        <v>38913</v>
      </c>
      <c r="F269" s="1">
        <v>38919</v>
      </c>
      <c r="G269" s="5">
        <v>86.57</v>
      </c>
      <c r="H269" s="5">
        <v>85.44</v>
      </c>
      <c r="I269" s="5">
        <v>85.07</v>
      </c>
      <c r="J269" s="5">
        <v>86.57</v>
      </c>
      <c r="K269" s="5">
        <v>85.44</v>
      </c>
      <c r="L269" s="5">
        <v>85.07</v>
      </c>
      <c r="M269" s="5">
        <v>28.42</v>
      </c>
      <c r="N269" s="5">
        <v>28.42</v>
      </c>
      <c r="O269" s="5">
        <v>28.42</v>
      </c>
      <c r="P269" s="5">
        <v>86.57</v>
      </c>
      <c r="Q269" s="5">
        <v>85.44</v>
      </c>
      <c r="R269" s="5">
        <v>85.07</v>
      </c>
    </row>
    <row r="270" spans="1:18" x14ac:dyDescent="0.25">
      <c r="A270">
        <v>2006</v>
      </c>
      <c r="B270">
        <v>7</v>
      </c>
      <c r="C270">
        <v>4</v>
      </c>
      <c r="D270" t="str">
        <f t="shared" si="4"/>
        <v>DC200607-sem4</v>
      </c>
      <c r="E270" s="1">
        <v>38920</v>
      </c>
      <c r="F270" s="1">
        <v>38926</v>
      </c>
      <c r="G270" s="5">
        <v>92.65</v>
      </c>
      <c r="H270" s="5">
        <v>91.49</v>
      </c>
      <c r="I270" s="5">
        <v>90.49</v>
      </c>
      <c r="J270" s="5">
        <v>92.65</v>
      </c>
      <c r="K270" s="5">
        <v>91.49</v>
      </c>
      <c r="L270" s="5">
        <v>90.49</v>
      </c>
      <c r="M270" s="5">
        <v>28.9</v>
      </c>
      <c r="N270" s="5">
        <v>28.9</v>
      </c>
      <c r="O270" s="5">
        <v>28.71</v>
      </c>
      <c r="P270" s="5">
        <v>92.65</v>
      </c>
      <c r="Q270" s="5">
        <v>91.5</v>
      </c>
      <c r="R270" s="5">
        <v>90.49</v>
      </c>
    </row>
    <row r="271" spans="1:18" x14ac:dyDescent="0.25">
      <c r="A271">
        <v>2006</v>
      </c>
      <c r="B271">
        <v>8</v>
      </c>
      <c r="C271">
        <v>1</v>
      </c>
      <c r="D271" t="str">
        <f t="shared" si="4"/>
        <v>DC200608-sem1</v>
      </c>
      <c r="E271" s="1">
        <v>38927</v>
      </c>
      <c r="F271" s="1">
        <v>38933</v>
      </c>
      <c r="G271" s="5">
        <v>108.13</v>
      </c>
      <c r="H271" s="5">
        <v>105.77</v>
      </c>
      <c r="I271" s="5">
        <v>103.63</v>
      </c>
      <c r="J271" s="5">
        <v>108.13</v>
      </c>
      <c r="K271" s="5">
        <v>105.77</v>
      </c>
      <c r="L271" s="5">
        <v>104.9</v>
      </c>
      <c r="M271" s="5">
        <v>49.15</v>
      </c>
      <c r="N271" s="5">
        <v>49.15</v>
      </c>
      <c r="O271" s="5">
        <v>48.83</v>
      </c>
      <c r="P271" s="5">
        <v>108.13</v>
      </c>
      <c r="Q271" s="5">
        <v>105.77</v>
      </c>
      <c r="R271" s="5">
        <v>103.63</v>
      </c>
    </row>
    <row r="272" spans="1:18" x14ac:dyDescent="0.25">
      <c r="A272">
        <v>2006</v>
      </c>
      <c r="B272">
        <v>8</v>
      </c>
      <c r="C272">
        <v>2</v>
      </c>
      <c r="D272" t="str">
        <f t="shared" si="4"/>
        <v>DC200608-sem2</v>
      </c>
      <c r="E272" s="1">
        <v>38934</v>
      </c>
      <c r="F272" s="1">
        <v>38940</v>
      </c>
      <c r="G272" s="5">
        <v>101.83</v>
      </c>
      <c r="H272" s="5">
        <v>100.43</v>
      </c>
      <c r="I272" s="5">
        <v>98.44</v>
      </c>
      <c r="J272" s="5">
        <v>101.83</v>
      </c>
      <c r="K272" s="5">
        <v>100.43</v>
      </c>
      <c r="L272" s="5">
        <v>100.43</v>
      </c>
      <c r="M272" s="5">
        <v>47.76</v>
      </c>
      <c r="N272" s="5">
        <v>47.76</v>
      </c>
      <c r="O272" s="5">
        <v>47.76</v>
      </c>
      <c r="P272" s="5">
        <v>101.83</v>
      </c>
      <c r="Q272" s="5">
        <v>100.43</v>
      </c>
      <c r="R272" s="5">
        <v>98.44</v>
      </c>
    </row>
    <row r="273" spans="1:18" x14ac:dyDescent="0.25">
      <c r="A273">
        <v>2006</v>
      </c>
      <c r="B273">
        <v>8</v>
      </c>
      <c r="C273">
        <v>3</v>
      </c>
      <c r="D273" t="str">
        <f t="shared" si="4"/>
        <v>DC200608-sem3</v>
      </c>
      <c r="E273" s="1">
        <v>38941</v>
      </c>
      <c r="F273" s="1">
        <v>38947</v>
      </c>
      <c r="G273" s="5">
        <v>103.35</v>
      </c>
      <c r="H273" s="5">
        <v>100.03</v>
      </c>
      <c r="I273" s="5">
        <v>96.45</v>
      </c>
      <c r="J273" s="5">
        <v>103.35</v>
      </c>
      <c r="K273" s="5">
        <v>100.03</v>
      </c>
      <c r="L273" s="5">
        <v>96.45</v>
      </c>
      <c r="M273" s="5">
        <v>48.85</v>
      </c>
      <c r="N273" s="5">
        <v>48.85</v>
      </c>
      <c r="O273" s="5">
        <v>48.85</v>
      </c>
      <c r="P273" s="5">
        <v>103.35</v>
      </c>
      <c r="Q273" s="5">
        <v>100.03</v>
      </c>
      <c r="R273" s="5">
        <v>96.45</v>
      </c>
    </row>
    <row r="274" spans="1:18" x14ac:dyDescent="0.25">
      <c r="A274">
        <v>2006</v>
      </c>
      <c r="B274">
        <v>8</v>
      </c>
      <c r="C274">
        <v>4</v>
      </c>
      <c r="D274" t="str">
        <f t="shared" si="4"/>
        <v>DC200608-sem4</v>
      </c>
      <c r="E274" s="1">
        <v>38948</v>
      </c>
      <c r="F274" s="1">
        <v>38954</v>
      </c>
      <c r="G274" s="5">
        <v>102.42</v>
      </c>
      <c r="H274" s="5">
        <v>97.68</v>
      </c>
      <c r="I274" s="5">
        <v>94.53</v>
      </c>
      <c r="J274" s="5">
        <v>102.42</v>
      </c>
      <c r="K274" s="5">
        <v>97.68</v>
      </c>
      <c r="L274" s="5">
        <v>94.53</v>
      </c>
      <c r="M274" s="5">
        <v>49.86</v>
      </c>
      <c r="N274" s="5">
        <v>49.86</v>
      </c>
      <c r="O274" s="5">
        <v>49.59</v>
      </c>
      <c r="P274" s="5">
        <v>102.42</v>
      </c>
      <c r="Q274" s="5">
        <v>97.68</v>
      </c>
      <c r="R274" s="5">
        <v>94.53</v>
      </c>
    </row>
    <row r="275" spans="1:18" x14ac:dyDescent="0.25">
      <c r="A275">
        <v>2006</v>
      </c>
      <c r="B275">
        <v>9</v>
      </c>
      <c r="C275">
        <v>1</v>
      </c>
      <c r="D275" t="str">
        <f t="shared" si="4"/>
        <v>DC200609-sem1</v>
      </c>
      <c r="E275" s="1">
        <v>38955</v>
      </c>
      <c r="F275" s="1">
        <v>38961</v>
      </c>
      <c r="G275" s="5">
        <v>129.69</v>
      </c>
      <c r="H275" s="5">
        <v>127.33</v>
      </c>
      <c r="I275" s="5">
        <v>125.24</v>
      </c>
      <c r="J275" s="5">
        <v>129.69</v>
      </c>
      <c r="K275" s="5">
        <v>127.33</v>
      </c>
      <c r="L275" s="5">
        <v>125.24</v>
      </c>
      <c r="M275" s="5">
        <v>65</v>
      </c>
      <c r="N275" s="5">
        <v>64.88</v>
      </c>
      <c r="O275" s="5">
        <v>64.88</v>
      </c>
      <c r="P275" s="5">
        <v>129.69</v>
      </c>
      <c r="Q275" s="5">
        <v>127.33</v>
      </c>
      <c r="R275" s="5">
        <v>125.24</v>
      </c>
    </row>
    <row r="276" spans="1:18" x14ac:dyDescent="0.25">
      <c r="A276">
        <v>2006</v>
      </c>
      <c r="B276">
        <v>9</v>
      </c>
      <c r="C276">
        <v>2</v>
      </c>
      <c r="D276" t="str">
        <f t="shared" si="4"/>
        <v>DC200609-sem2</v>
      </c>
      <c r="E276" s="1">
        <v>38962</v>
      </c>
      <c r="F276" s="1">
        <v>38968</v>
      </c>
      <c r="G276" s="5">
        <v>128.18</v>
      </c>
      <c r="H276" s="5">
        <v>124.67</v>
      </c>
      <c r="I276" s="5">
        <v>123.42</v>
      </c>
      <c r="J276" s="5">
        <v>128.18</v>
      </c>
      <c r="K276" s="5">
        <v>124.67</v>
      </c>
      <c r="L276" s="5">
        <v>123.42</v>
      </c>
      <c r="M276" s="5">
        <v>67.11</v>
      </c>
      <c r="N276" s="5">
        <v>66.709999999999994</v>
      </c>
      <c r="O276" s="5">
        <v>66.709999999999994</v>
      </c>
      <c r="P276" s="5">
        <v>128.18</v>
      </c>
      <c r="Q276" s="5">
        <v>124.67</v>
      </c>
      <c r="R276" s="5">
        <v>123.42</v>
      </c>
    </row>
    <row r="277" spans="1:18" x14ac:dyDescent="0.25">
      <c r="A277">
        <v>2006</v>
      </c>
      <c r="B277">
        <v>9</v>
      </c>
      <c r="C277">
        <v>3</v>
      </c>
      <c r="D277" t="str">
        <f t="shared" si="4"/>
        <v>DC200609-sem3</v>
      </c>
      <c r="E277" s="1">
        <v>38969</v>
      </c>
      <c r="F277" s="1">
        <v>38975</v>
      </c>
      <c r="G277" s="5">
        <v>120.75</v>
      </c>
      <c r="H277" s="5">
        <v>116.72</v>
      </c>
      <c r="I277" s="5">
        <v>115.5</v>
      </c>
      <c r="J277" s="5">
        <v>120.75</v>
      </c>
      <c r="K277" s="5">
        <v>116.72</v>
      </c>
      <c r="L277" s="5">
        <v>115.5</v>
      </c>
      <c r="M277" s="5">
        <v>66.48</v>
      </c>
      <c r="N277" s="5">
        <v>66.48</v>
      </c>
      <c r="O277" s="5">
        <v>66.48</v>
      </c>
      <c r="P277" s="5">
        <v>120.75</v>
      </c>
      <c r="Q277" s="5">
        <v>116.72</v>
      </c>
      <c r="R277" s="5">
        <v>115.5</v>
      </c>
    </row>
    <row r="278" spans="1:18" x14ac:dyDescent="0.25">
      <c r="A278">
        <v>2006</v>
      </c>
      <c r="B278">
        <v>9</v>
      </c>
      <c r="C278">
        <v>4</v>
      </c>
      <c r="D278" t="str">
        <f t="shared" si="4"/>
        <v>DC200609-sem4</v>
      </c>
      <c r="E278" s="1">
        <v>38976</v>
      </c>
      <c r="F278" s="1">
        <v>38982</v>
      </c>
      <c r="G278" s="5">
        <v>131.59</v>
      </c>
      <c r="H278" s="5">
        <v>128.09</v>
      </c>
      <c r="I278" s="5">
        <v>123.32</v>
      </c>
      <c r="J278" s="5">
        <v>131.59</v>
      </c>
      <c r="K278" s="5">
        <v>128.09</v>
      </c>
      <c r="L278" s="5">
        <v>123.32</v>
      </c>
      <c r="M278" s="5">
        <v>70.989999999999995</v>
      </c>
      <c r="N278" s="5">
        <v>69.88</v>
      </c>
      <c r="O278" s="5">
        <v>69.42</v>
      </c>
      <c r="P278" s="5">
        <v>131.59</v>
      </c>
      <c r="Q278" s="5">
        <v>128.09</v>
      </c>
      <c r="R278" s="5">
        <v>123.32</v>
      </c>
    </row>
    <row r="279" spans="1:18" x14ac:dyDescent="0.25">
      <c r="A279">
        <v>2006</v>
      </c>
      <c r="B279">
        <v>9</v>
      </c>
      <c r="C279">
        <v>5</v>
      </c>
      <c r="D279" t="str">
        <f t="shared" si="4"/>
        <v>DC200609-sem5</v>
      </c>
      <c r="E279" s="1">
        <v>38983</v>
      </c>
      <c r="F279" s="1">
        <v>38989</v>
      </c>
      <c r="G279" s="5">
        <v>132.63</v>
      </c>
      <c r="H279" s="5">
        <v>129.81</v>
      </c>
      <c r="I279" s="5">
        <v>127.89</v>
      </c>
      <c r="J279" s="5">
        <v>132.63</v>
      </c>
      <c r="K279" s="5">
        <v>129.81</v>
      </c>
      <c r="L279" s="5">
        <v>127.89</v>
      </c>
      <c r="M279" s="5">
        <v>74.209999999999994</v>
      </c>
      <c r="N279" s="5">
        <v>74.209999999999994</v>
      </c>
      <c r="O279" s="5">
        <v>73.72</v>
      </c>
      <c r="P279" s="5">
        <v>132.63</v>
      </c>
      <c r="Q279" s="5">
        <v>129.81</v>
      </c>
      <c r="R279" s="5">
        <v>127.89</v>
      </c>
    </row>
    <row r="280" spans="1:18" x14ac:dyDescent="0.25">
      <c r="A280">
        <v>2006</v>
      </c>
      <c r="B280">
        <v>10</v>
      </c>
      <c r="C280">
        <v>1</v>
      </c>
      <c r="D280" t="str">
        <f t="shared" si="4"/>
        <v>DC200610-sem1</v>
      </c>
      <c r="E280" s="1">
        <v>38990</v>
      </c>
      <c r="F280" s="1">
        <v>38996</v>
      </c>
      <c r="G280" s="5">
        <v>110.38</v>
      </c>
      <c r="H280" s="5">
        <v>108.98</v>
      </c>
      <c r="I280" s="5">
        <v>105.57</v>
      </c>
      <c r="J280" s="5">
        <v>110.38</v>
      </c>
      <c r="K280" s="5">
        <v>108.98</v>
      </c>
      <c r="L280" s="5">
        <v>105.57</v>
      </c>
      <c r="M280" s="5">
        <v>52.23</v>
      </c>
      <c r="N280" s="5">
        <v>52.23</v>
      </c>
      <c r="O280" s="5">
        <v>52.23</v>
      </c>
      <c r="P280" s="5">
        <v>110.38</v>
      </c>
      <c r="Q280" s="5">
        <v>108.98</v>
      </c>
      <c r="R280" s="5">
        <v>105.57</v>
      </c>
    </row>
    <row r="281" spans="1:18" x14ac:dyDescent="0.25">
      <c r="A281">
        <v>2006</v>
      </c>
      <c r="B281">
        <v>10</v>
      </c>
      <c r="C281">
        <v>2</v>
      </c>
      <c r="D281" t="str">
        <f t="shared" si="4"/>
        <v>DC200610-sem2</v>
      </c>
      <c r="E281" s="1">
        <v>38997</v>
      </c>
      <c r="F281" s="1">
        <v>39003</v>
      </c>
      <c r="G281" s="5">
        <v>115.24</v>
      </c>
      <c r="H281" s="5">
        <v>113.89</v>
      </c>
      <c r="I281" s="5">
        <v>112.73</v>
      </c>
      <c r="J281" s="5">
        <v>115.24</v>
      </c>
      <c r="K281" s="5">
        <v>113.89</v>
      </c>
      <c r="L281" s="5">
        <v>112.73</v>
      </c>
      <c r="M281" s="5">
        <v>52.62</v>
      </c>
      <c r="N281" s="5">
        <v>52.62</v>
      </c>
      <c r="O281" s="5">
        <v>52.62</v>
      </c>
      <c r="P281" s="5">
        <v>115.24</v>
      </c>
      <c r="Q281" s="5">
        <v>113.89</v>
      </c>
      <c r="R281" s="5">
        <v>112.73</v>
      </c>
    </row>
    <row r="282" spans="1:18" x14ac:dyDescent="0.25">
      <c r="A282">
        <v>2006</v>
      </c>
      <c r="B282">
        <v>10</v>
      </c>
      <c r="C282">
        <v>3</v>
      </c>
      <c r="D282" t="str">
        <f t="shared" si="4"/>
        <v>DC200610-sem3</v>
      </c>
      <c r="E282" s="1">
        <v>39004</v>
      </c>
      <c r="F282" s="1">
        <v>39010</v>
      </c>
      <c r="G282" s="5">
        <v>82.89</v>
      </c>
      <c r="H282" s="5">
        <v>82.18</v>
      </c>
      <c r="I282" s="5">
        <v>81.510000000000005</v>
      </c>
      <c r="J282" s="5">
        <v>82.89</v>
      </c>
      <c r="K282" s="5">
        <v>82.18</v>
      </c>
      <c r="L282" s="5">
        <v>81.510000000000005</v>
      </c>
      <c r="M282" s="5">
        <v>48.13</v>
      </c>
      <c r="N282" s="5">
        <v>48.13</v>
      </c>
      <c r="O282" s="5">
        <v>48.13</v>
      </c>
      <c r="P282" s="5">
        <v>82.89</v>
      </c>
      <c r="Q282" s="5">
        <v>82.18</v>
      </c>
      <c r="R282" s="5">
        <v>81.510000000000005</v>
      </c>
    </row>
    <row r="283" spans="1:18" x14ac:dyDescent="0.25">
      <c r="A283">
        <v>2006</v>
      </c>
      <c r="B283">
        <v>10</v>
      </c>
      <c r="C283">
        <v>4</v>
      </c>
      <c r="D283" t="str">
        <f t="shared" si="4"/>
        <v>DC200610-sem4</v>
      </c>
      <c r="E283" s="1">
        <v>39011</v>
      </c>
      <c r="F283" s="1">
        <v>39017</v>
      </c>
      <c r="G283" s="5">
        <v>82.37</v>
      </c>
      <c r="H283" s="5">
        <v>81.53</v>
      </c>
      <c r="I283" s="5">
        <v>80.709999999999994</v>
      </c>
      <c r="J283" s="5">
        <v>82.37</v>
      </c>
      <c r="K283" s="5">
        <v>81.53</v>
      </c>
      <c r="L283" s="5">
        <v>80.709999999999994</v>
      </c>
      <c r="M283" s="5">
        <v>45.62</v>
      </c>
      <c r="N283" s="5">
        <v>45.62</v>
      </c>
      <c r="O283" s="5">
        <v>45.34</v>
      </c>
      <c r="P283" s="5">
        <v>82.37</v>
      </c>
      <c r="Q283" s="5">
        <v>81.53</v>
      </c>
      <c r="R283" s="5">
        <v>80.709999999999994</v>
      </c>
    </row>
    <row r="284" spans="1:18" x14ac:dyDescent="0.25">
      <c r="A284">
        <v>2006</v>
      </c>
      <c r="B284">
        <v>11</v>
      </c>
      <c r="C284">
        <v>1</v>
      </c>
      <c r="D284" t="str">
        <f t="shared" si="4"/>
        <v>DC200611-sem1</v>
      </c>
      <c r="E284" s="1">
        <v>39018</v>
      </c>
      <c r="F284" s="1">
        <v>39024</v>
      </c>
      <c r="G284" s="5">
        <v>70.680000000000007</v>
      </c>
      <c r="H284" s="5">
        <v>70.22</v>
      </c>
      <c r="I284" s="5">
        <v>69.650000000000006</v>
      </c>
      <c r="J284" s="5">
        <v>70.680000000000007</v>
      </c>
      <c r="K284" s="5">
        <v>70.22</v>
      </c>
      <c r="L284" s="5">
        <v>69.650000000000006</v>
      </c>
      <c r="M284" s="5">
        <v>24.17</v>
      </c>
      <c r="N284" s="5">
        <v>24.17</v>
      </c>
      <c r="O284" s="5">
        <v>24.03</v>
      </c>
      <c r="P284" s="5">
        <v>70.680000000000007</v>
      </c>
      <c r="Q284" s="5">
        <v>70.22</v>
      </c>
      <c r="R284" s="5">
        <v>69.650000000000006</v>
      </c>
    </row>
    <row r="285" spans="1:18" x14ac:dyDescent="0.25">
      <c r="A285">
        <v>2006</v>
      </c>
      <c r="B285">
        <v>11</v>
      </c>
      <c r="C285">
        <v>2</v>
      </c>
      <c r="D285" t="str">
        <f t="shared" si="4"/>
        <v>DC200611-sem2</v>
      </c>
      <c r="E285" s="1">
        <v>39025</v>
      </c>
      <c r="F285" s="1">
        <v>39031</v>
      </c>
      <c r="G285" s="5">
        <v>94.81</v>
      </c>
      <c r="H285" s="5">
        <v>94.81</v>
      </c>
      <c r="I285" s="5">
        <v>94.81</v>
      </c>
      <c r="J285" s="5">
        <v>94.81</v>
      </c>
      <c r="K285" s="5">
        <v>94.81</v>
      </c>
      <c r="L285" s="5">
        <v>94.81</v>
      </c>
      <c r="M285" s="5">
        <v>33.29</v>
      </c>
      <c r="N285" s="5">
        <v>33.29</v>
      </c>
      <c r="O285" s="5">
        <v>33.29</v>
      </c>
      <c r="P285" s="5">
        <v>94.81</v>
      </c>
      <c r="Q285" s="5">
        <v>94.81</v>
      </c>
      <c r="R285" s="5">
        <v>94.81</v>
      </c>
    </row>
    <row r="286" spans="1:18" x14ac:dyDescent="0.25">
      <c r="A286">
        <v>2006</v>
      </c>
      <c r="B286">
        <v>11</v>
      </c>
      <c r="C286">
        <v>3</v>
      </c>
      <c r="D286" t="str">
        <f t="shared" si="4"/>
        <v>DC200611-sem3</v>
      </c>
      <c r="E286" s="1">
        <v>39032</v>
      </c>
      <c r="F286" s="1">
        <v>39038</v>
      </c>
      <c r="G286" s="5">
        <v>68.989999999999995</v>
      </c>
      <c r="H286" s="5">
        <v>68.650000000000006</v>
      </c>
      <c r="I286" s="5">
        <v>68.650000000000006</v>
      </c>
      <c r="J286" s="5">
        <v>68.989999999999995</v>
      </c>
      <c r="K286" s="5">
        <v>68.650000000000006</v>
      </c>
      <c r="L286" s="5">
        <v>68.650000000000006</v>
      </c>
      <c r="M286" s="5">
        <v>23.65</v>
      </c>
      <c r="N286" s="5">
        <v>23.65</v>
      </c>
      <c r="O286" s="5">
        <v>23.44</v>
      </c>
      <c r="P286" s="5">
        <v>68.989999999999995</v>
      </c>
      <c r="Q286" s="5">
        <v>68.650000000000006</v>
      </c>
      <c r="R286" s="5">
        <v>68.650000000000006</v>
      </c>
    </row>
    <row r="287" spans="1:18" x14ac:dyDescent="0.25">
      <c r="A287">
        <v>2006</v>
      </c>
      <c r="B287">
        <v>11</v>
      </c>
      <c r="C287">
        <v>4</v>
      </c>
      <c r="D287" t="str">
        <f t="shared" si="4"/>
        <v>DC200611-sem4</v>
      </c>
      <c r="E287" s="1">
        <v>39039</v>
      </c>
      <c r="F287" s="1">
        <v>39045</v>
      </c>
      <c r="G287" s="5">
        <v>79.56</v>
      </c>
      <c r="H287" s="5">
        <v>79.56</v>
      </c>
      <c r="I287" s="5">
        <v>79.27</v>
      </c>
      <c r="J287" s="5">
        <v>79.56</v>
      </c>
      <c r="K287" s="5">
        <v>79.56</v>
      </c>
      <c r="L287" s="5">
        <v>79.27</v>
      </c>
      <c r="M287" s="5">
        <v>23.13</v>
      </c>
      <c r="N287" s="5">
        <v>22.99</v>
      </c>
      <c r="O287" s="5">
        <v>22.84</v>
      </c>
      <c r="P287" s="5">
        <v>79.56</v>
      </c>
      <c r="Q287" s="5">
        <v>79.56</v>
      </c>
      <c r="R287" s="5">
        <v>79.27</v>
      </c>
    </row>
    <row r="288" spans="1:18" x14ac:dyDescent="0.25">
      <c r="A288">
        <v>2006</v>
      </c>
      <c r="B288">
        <v>11</v>
      </c>
      <c r="C288">
        <v>5</v>
      </c>
      <c r="D288" t="str">
        <f t="shared" si="4"/>
        <v>DC200611-sem5</v>
      </c>
      <c r="E288" s="1">
        <v>39046</v>
      </c>
      <c r="F288" s="1">
        <v>39052</v>
      </c>
      <c r="G288" s="5">
        <v>86.09</v>
      </c>
      <c r="H288" s="5">
        <v>85.75</v>
      </c>
      <c r="I288" s="5">
        <v>85.75</v>
      </c>
      <c r="J288" s="5">
        <v>86.09</v>
      </c>
      <c r="K288" s="5">
        <v>85.75</v>
      </c>
      <c r="L288" s="5">
        <v>85.75</v>
      </c>
      <c r="M288" s="5">
        <v>16.920000000000002</v>
      </c>
      <c r="N288" s="5">
        <v>16.920000000000002</v>
      </c>
      <c r="O288" s="5">
        <v>16.920000000000002</v>
      </c>
      <c r="P288" s="5">
        <v>86.09</v>
      </c>
      <c r="Q288" s="5">
        <v>85.75</v>
      </c>
      <c r="R288" s="5">
        <v>85.75</v>
      </c>
    </row>
    <row r="289" spans="1:18" x14ac:dyDescent="0.25">
      <c r="A289">
        <v>2006</v>
      </c>
      <c r="B289">
        <v>12</v>
      </c>
      <c r="C289">
        <v>1</v>
      </c>
      <c r="D289" t="str">
        <f t="shared" si="4"/>
        <v>DC200612-sem1</v>
      </c>
      <c r="E289" s="1">
        <v>39053</v>
      </c>
      <c r="F289" s="1">
        <v>39059</v>
      </c>
      <c r="G289" s="5">
        <v>79.069999999999993</v>
      </c>
      <c r="H289" s="5">
        <v>79.069999999999993</v>
      </c>
      <c r="I289" s="5">
        <v>79.069999999999993</v>
      </c>
      <c r="J289" s="5">
        <v>79.069999999999993</v>
      </c>
      <c r="K289" s="5">
        <v>79.069999999999993</v>
      </c>
      <c r="L289" s="5">
        <v>79.069999999999993</v>
      </c>
      <c r="M289" s="5">
        <v>19.690000000000001</v>
      </c>
      <c r="N289" s="5">
        <v>19.690000000000001</v>
      </c>
      <c r="O289" s="5">
        <v>19.559999999999999</v>
      </c>
      <c r="P289" s="5">
        <v>79.069999999999993</v>
      </c>
      <c r="Q289" s="5">
        <v>79.069999999999993</v>
      </c>
      <c r="R289" s="5">
        <v>79.069999999999993</v>
      </c>
    </row>
    <row r="290" spans="1:18" x14ac:dyDescent="0.25">
      <c r="A290">
        <v>2006</v>
      </c>
      <c r="B290">
        <v>12</v>
      </c>
      <c r="C290">
        <v>2</v>
      </c>
      <c r="D290" t="str">
        <f t="shared" si="4"/>
        <v>DC200612-sem2</v>
      </c>
      <c r="E290" s="1">
        <v>39060</v>
      </c>
      <c r="F290" s="1">
        <v>39066</v>
      </c>
      <c r="G290" s="5">
        <v>71.099999999999994</v>
      </c>
      <c r="H290" s="5">
        <v>70.349999999999994</v>
      </c>
      <c r="I290" s="5">
        <v>69.47</v>
      </c>
      <c r="J290" s="5">
        <v>71.099999999999994</v>
      </c>
      <c r="K290" s="5">
        <v>70.349999999999994</v>
      </c>
      <c r="L290" s="5">
        <v>69.47</v>
      </c>
      <c r="M290" s="5">
        <v>16.920000000000002</v>
      </c>
      <c r="N290" s="5">
        <v>16.920000000000002</v>
      </c>
      <c r="O290" s="5">
        <v>16.920000000000002</v>
      </c>
      <c r="P290" s="5">
        <v>71.099999999999994</v>
      </c>
      <c r="Q290" s="5">
        <v>70.349999999999994</v>
      </c>
      <c r="R290" s="5">
        <v>69.47</v>
      </c>
    </row>
    <row r="291" spans="1:18" x14ac:dyDescent="0.25">
      <c r="A291">
        <v>2006</v>
      </c>
      <c r="B291">
        <v>12</v>
      </c>
      <c r="C291">
        <v>3</v>
      </c>
      <c r="D291" t="str">
        <f t="shared" si="4"/>
        <v>DC200612-sem3</v>
      </c>
      <c r="E291" s="1">
        <v>39067</v>
      </c>
      <c r="F291" s="1">
        <v>39073</v>
      </c>
      <c r="G291" s="5">
        <v>53.09</v>
      </c>
      <c r="H291" s="5">
        <v>53.09</v>
      </c>
      <c r="I291" s="5">
        <v>50.36</v>
      </c>
      <c r="J291" s="5">
        <v>53.09</v>
      </c>
      <c r="K291" s="5">
        <v>53.09</v>
      </c>
      <c r="L291" s="5">
        <v>50.36</v>
      </c>
      <c r="M291" s="5">
        <v>16.920000000000002</v>
      </c>
      <c r="N291" s="5">
        <v>16.920000000000002</v>
      </c>
      <c r="O291" s="5">
        <v>16.920000000000002</v>
      </c>
      <c r="P291" s="5">
        <v>16.920000000000002</v>
      </c>
      <c r="Q291" s="5">
        <v>16.920000000000002</v>
      </c>
      <c r="R291" s="5">
        <v>16.920000000000002</v>
      </c>
    </row>
    <row r="292" spans="1:18" x14ac:dyDescent="0.25">
      <c r="A292">
        <v>2006</v>
      </c>
      <c r="B292">
        <v>12</v>
      </c>
      <c r="C292">
        <v>4</v>
      </c>
      <c r="D292" t="str">
        <f t="shared" si="4"/>
        <v>DC200612-sem4</v>
      </c>
      <c r="E292" s="1">
        <v>39074</v>
      </c>
      <c r="F292" s="1">
        <v>39080</v>
      </c>
      <c r="G292" s="5">
        <v>37.549999999999997</v>
      </c>
      <c r="H292" s="5">
        <v>36.729999999999997</v>
      </c>
      <c r="I292" s="5">
        <v>35.89</v>
      </c>
      <c r="J292" s="5">
        <v>37.549999999999997</v>
      </c>
      <c r="K292" s="5">
        <v>37.03</v>
      </c>
      <c r="L292" s="5">
        <v>36.369999999999997</v>
      </c>
      <c r="M292" s="5">
        <v>16.920000000000002</v>
      </c>
      <c r="N292" s="5">
        <v>16.920000000000002</v>
      </c>
      <c r="O292" s="5">
        <v>16.920000000000002</v>
      </c>
      <c r="P292" s="5">
        <v>16.920000000000002</v>
      </c>
      <c r="Q292" s="5">
        <v>16.920000000000002</v>
      </c>
      <c r="R292" s="5">
        <v>16.920000000000002</v>
      </c>
    </row>
    <row r="293" spans="1:18" x14ac:dyDescent="0.25">
      <c r="A293">
        <v>2007</v>
      </c>
      <c r="B293">
        <v>1</v>
      </c>
      <c r="C293">
        <v>1</v>
      </c>
      <c r="D293" t="str">
        <f t="shared" si="4"/>
        <v>DC200701-sem1</v>
      </c>
      <c r="E293" s="1">
        <v>39081</v>
      </c>
      <c r="F293" s="1">
        <v>39087</v>
      </c>
      <c r="G293" s="5">
        <v>37.75</v>
      </c>
      <c r="H293" s="5">
        <v>37.75</v>
      </c>
      <c r="I293" s="5">
        <v>34.04</v>
      </c>
      <c r="J293" s="5">
        <v>49.6</v>
      </c>
      <c r="K293" s="5">
        <v>49.6</v>
      </c>
      <c r="L293" s="5">
        <v>34.04</v>
      </c>
      <c r="M293" s="5">
        <v>17.59</v>
      </c>
      <c r="N293" s="5">
        <v>17.59</v>
      </c>
      <c r="O293" s="5">
        <v>17.59</v>
      </c>
      <c r="P293" s="5">
        <v>17.59</v>
      </c>
      <c r="Q293" s="5">
        <v>17.59</v>
      </c>
      <c r="R293" s="5">
        <v>17.59</v>
      </c>
    </row>
    <row r="294" spans="1:18" x14ac:dyDescent="0.25">
      <c r="A294">
        <v>2007</v>
      </c>
      <c r="B294">
        <v>1</v>
      </c>
      <c r="C294">
        <v>2</v>
      </c>
      <c r="D294" t="str">
        <f t="shared" si="4"/>
        <v>DC200701-sem2</v>
      </c>
      <c r="E294" s="1">
        <v>39088</v>
      </c>
      <c r="F294" s="1">
        <v>39094</v>
      </c>
      <c r="G294" s="5">
        <v>28.16</v>
      </c>
      <c r="H294" s="5">
        <v>28.16</v>
      </c>
      <c r="I294" s="5">
        <v>23.55</v>
      </c>
      <c r="J294" s="5">
        <v>38.24</v>
      </c>
      <c r="K294" s="5">
        <v>38.24</v>
      </c>
      <c r="L294" s="5">
        <v>36.409999999999997</v>
      </c>
      <c r="M294" s="5">
        <v>17.59</v>
      </c>
      <c r="N294" s="5">
        <v>17.59</v>
      </c>
      <c r="O294" s="5">
        <v>17.59</v>
      </c>
      <c r="P294" s="5">
        <v>17.59</v>
      </c>
      <c r="Q294" s="5">
        <v>17.59</v>
      </c>
      <c r="R294" s="5">
        <v>17.59</v>
      </c>
    </row>
    <row r="295" spans="1:18" x14ac:dyDescent="0.25">
      <c r="A295">
        <v>2007</v>
      </c>
      <c r="B295">
        <v>1</v>
      </c>
      <c r="C295">
        <v>3</v>
      </c>
      <c r="D295" t="str">
        <f t="shared" si="4"/>
        <v>DC200701-sem3</v>
      </c>
      <c r="E295" s="1">
        <v>39095</v>
      </c>
      <c r="F295" s="1">
        <v>39101</v>
      </c>
      <c r="G295" s="5">
        <v>17.59</v>
      </c>
      <c r="H295" s="5">
        <v>17.59</v>
      </c>
      <c r="I295" s="5">
        <v>17.59</v>
      </c>
      <c r="J295" s="5">
        <v>17.59</v>
      </c>
      <c r="K295" s="5">
        <v>17.59</v>
      </c>
      <c r="L295" s="5">
        <v>17.59</v>
      </c>
      <c r="M295" s="5">
        <v>17.59</v>
      </c>
      <c r="N295" s="5">
        <v>17.59</v>
      </c>
      <c r="O295" s="5">
        <v>17.59</v>
      </c>
      <c r="P295" s="5">
        <v>17.59</v>
      </c>
      <c r="Q295" s="5">
        <v>17.59</v>
      </c>
      <c r="R295" s="5">
        <v>17.59</v>
      </c>
    </row>
    <row r="296" spans="1:18" x14ac:dyDescent="0.25">
      <c r="A296">
        <v>2007</v>
      </c>
      <c r="B296">
        <v>1</v>
      </c>
      <c r="C296">
        <v>4</v>
      </c>
      <c r="D296" t="str">
        <f t="shared" si="4"/>
        <v>DC200701-sem4</v>
      </c>
      <c r="E296" s="1">
        <v>39102</v>
      </c>
      <c r="F296" s="1">
        <v>39108</v>
      </c>
      <c r="G296" s="5">
        <v>17.59</v>
      </c>
      <c r="H296" s="5">
        <v>17.59</v>
      </c>
      <c r="I296" s="5">
        <v>17.59</v>
      </c>
      <c r="J296" s="5">
        <v>17.59</v>
      </c>
      <c r="K296" s="5">
        <v>17.59</v>
      </c>
      <c r="L296" s="5">
        <v>17.59</v>
      </c>
      <c r="M296" s="5">
        <v>17.59</v>
      </c>
      <c r="N296" s="5">
        <v>17.59</v>
      </c>
      <c r="O296" s="5">
        <v>17.59</v>
      </c>
      <c r="P296" s="5">
        <v>17.59</v>
      </c>
      <c r="Q296" s="5">
        <v>17.59</v>
      </c>
      <c r="R296" s="5">
        <v>17.59</v>
      </c>
    </row>
    <row r="297" spans="1:18" x14ac:dyDescent="0.25">
      <c r="A297">
        <v>2007</v>
      </c>
      <c r="B297">
        <v>2</v>
      </c>
      <c r="C297">
        <v>1</v>
      </c>
      <c r="D297" t="str">
        <f t="shared" si="4"/>
        <v>DC200702-sem1</v>
      </c>
      <c r="E297" s="1">
        <v>39109</v>
      </c>
      <c r="F297" s="1">
        <v>39115</v>
      </c>
      <c r="G297" s="5">
        <v>17.59</v>
      </c>
      <c r="H297" s="5">
        <v>17.59</v>
      </c>
      <c r="I297" s="5">
        <v>17.59</v>
      </c>
      <c r="J297" s="5">
        <v>17.59</v>
      </c>
      <c r="K297" s="5">
        <v>17.59</v>
      </c>
      <c r="L297" s="5">
        <v>17.59</v>
      </c>
      <c r="M297" s="5">
        <v>17.59</v>
      </c>
      <c r="N297" s="5">
        <v>17.59</v>
      </c>
      <c r="O297" s="5">
        <v>17.59</v>
      </c>
      <c r="P297" s="5">
        <v>17.59</v>
      </c>
      <c r="Q297" s="5">
        <v>17.59</v>
      </c>
      <c r="R297" s="5">
        <v>17.59</v>
      </c>
    </row>
    <row r="298" spans="1:18" x14ac:dyDescent="0.25">
      <c r="A298">
        <v>2007</v>
      </c>
      <c r="B298">
        <v>2</v>
      </c>
      <c r="C298">
        <v>2</v>
      </c>
      <c r="D298" t="str">
        <f t="shared" si="4"/>
        <v>DC200702-sem2</v>
      </c>
      <c r="E298" s="1">
        <v>39116</v>
      </c>
      <c r="F298" s="1">
        <v>39122</v>
      </c>
      <c r="G298" s="5">
        <v>17.59</v>
      </c>
      <c r="H298" s="5">
        <v>17.59</v>
      </c>
      <c r="I298" s="5">
        <v>17.59</v>
      </c>
      <c r="J298" s="5">
        <v>17.59</v>
      </c>
      <c r="K298" s="5">
        <v>17.59</v>
      </c>
      <c r="L298" s="5">
        <v>17.59</v>
      </c>
      <c r="M298" s="5">
        <v>17.59</v>
      </c>
      <c r="N298" s="5">
        <v>17.59</v>
      </c>
      <c r="O298" s="5">
        <v>17.59</v>
      </c>
      <c r="P298" s="5">
        <v>17.59</v>
      </c>
      <c r="Q298" s="5">
        <v>17.59</v>
      </c>
      <c r="R298" s="5">
        <v>17.59</v>
      </c>
    </row>
    <row r="299" spans="1:18" x14ac:dyDescent="0.25">
      <c r="A299">
        <v>2007</v>
      </c>
      <c r="B299">
        <v>2</v>
      </c>
      <c r="C299">
        <v>3</v>
      </c>
      <c r="D299" t="str">
        <f t="shared" si="4"/>
        <v>DC200702-sem3</v>
      </c>
      <c r="E299" s="1">
        <v>39123</v>
      </c>
      <c r="F299" s="1">
        <v>39129</v>
      </c>
      <c r="G299" s="5">
        <v>17.59</v>
      </c>
      <c r="H299" s="5">
        <v>17.59</v>
      </c>
      <c r="I299" s="5">
        <v>17.59</v>
      </c>
      <c r="J299" s="5">
        <v>17.59</v>
      </c>
      <c r="K299" s="5">
        <v>17.59</v>
      </c>
      <c r="L299" s="5">
        <v>17.59</v>
      </c>
      <c r="M299" s="5">
        <v>17.59</v>
      </c>
      <c r="N299" s="5">
        <v>17.59</v>
      </c>
      <c r="O299" s="5">
        <v>17.59</v>
      </c>
      <c r="P299" s="5">
        <v>17.59</v>
      </c>
      <c r="Q299" s="5">
        <v>17.59</v>
      </c>
      <c r="R299" s="5">
        <v>17.59</v>
      </c>
    </row>
    <row r="300" spans="1:18" x14ac:dyDescent="0.25">
      <c r="A300">
        <v>2007</v>
      </c>
      <c r="B300">
        <v>2</v>
      </c>
      <c r="C300">
        <v>4</v>
      </c>
      <c r="D300" t="str">
        <f t="shared" si="4"/>
        <v>DC200702-sem4</v>
      </c>
      <c r="E300" s="1">
        <v>39130</v>
      </c>
      <c r="F300" s="1">
        <v>39136</v>
      </c>
      <c r="G300" s="5">
        <v>17.59</v>
      </c>
      <c r="H300" s="5">
        <v>17.59</v>
      </c>
      <c r="I300" s="5">
        <v>17.59</v>
      </c>
      <c r="J300" s="5">
        <v>17.59</v>
      </c>
      <c r="K300" s="5">
        <v>17.59</v>
      </c>
      <c r="L300" s="5">
        <v>17.59</v>
      </c>
      <c r="M300" s="5">
        <v>17.59</v>
      </c>
      <c r="N300" s="5">
        <v>17.59</v>
      </c>
      <c r="O300" s="5">
        <v>17.59</v>
      </c>
      <c r="P300" s="5">
        <v>17.59</v>
      </c>
      <c r="Q300" s="5">
        <v>17.59</v>
      </c>
      <c r="R300" s="5">
        <v>17.59</v>
      </c>
    </row>
    <row r="301" spans="1:18" x14ac:dyDescent="0.25">
      <c r="A301">
        <v>2007</v>
      </c>
      <c r="B301">
        <v>2</v>
      </c>
      <c r="C301">
        <v>5</v>
      </c>
      <c r="D301" t="str">
        <f t="shared" si="4"/>
        <v>DC200702-sem5</v>
      </c>
      <c r="E301" s="1">
        <v>39137</v>
      </c>
      <c r="F301" s="1">
        <v>39143</v>
      </c>
      <c r="G301" s="5">
        <v>17.59</v>
      </c>
      <c r="H301" s="5">
        <v>17.59</v>
      </c>
      <c r="I301" s="5">
        <v>17.59</v>
      </c>
      <c r="J301" s="5">
        <v>17.59</v>
      </c>
      <c r="K301" s="5">
        <v>17.59</v>
      </c>
      <c r="L301" s="5">
        <v>17.59</v>
      </c>
      <c r="M301" s="5">
        <v>17.59</v>
      </c>
      <c r="N301" s="5">
        <v>17.59</v>
      </c>
      <c r="O301" s="5">
        <v>17.59</v>
      </c>
      <c r="P301" s="5">
        <v>17.59</v>
      </c>
      <c r="Q301" s="5">
        <v>17.59</v>
      </c>
      <c r="R301" s="5">
        <v>17.59</v>
      </c>
    </row>
    <row r="302" spans="1:18" x14ac:dyDescent="0.25">
      <c r="A302">
        <v>2007</v>
      </c>
      <c r="B302">
        <v>3</v>
      </c>
      <c r="C302">
        <v>1</v>
      </c>
      <c r="D302" t="str">
        <f t="shared" si="4"/>
        <v>DC200703-sem1</v>
      </c>
      <c r="E302" s="1">
        <v>39144</v>
      </c>
      <c r="F302" s="1">
        <v>39150</v>
      </c>
      <c r="G302" s="5">
        <v>17.59</v>
      </c>
      <c r="H302" s="5">
        <v>17.59</v>
      </c>
      <c r="I302" s="5">
        <v>17.59</v>
      </c>
      <c r="J302" s="5">
        <v>17.59</v>
      </c>
      <c r="K302" s="5">
        <v>17.59</v>
      </c>
      <c r="L302" s="5">
        <v>17.59</v>
      </c>
      <c r="M302" s="5">
        <v>17.59</v>
      </c>
      <c r="N302" s="5">
        <v>17.59</v>
      </c>
      <c r="O302" s="5">
        <v>17.59</v>
      </c>
      <c r="P302" s="5">
        <v>17.59</v>
      </c>
      <c r="Q302" s="5">
        <v>17.59</v>
      </c>
      <c r="R302" s="5">
        <v>17.59</v>
      </c>
    </row>
    <row r="303" spans="1:18" x14ac:dyDescent="0.25">
      <c r="A303">
        <v>2007</v>
      </c>
      <c r="B303">
        <v>3</v>
      </c>
      <c r="C303">
        <v>2</v>
      </c>
      <c r="D303" t="str">
        <f t="shared" si="4"/>
        <v>DC200703-sem2</v>
      </c>
      <c r="E303" s="1">
        <v>39151</v>
      </c>
      <c r="F303" s="1">
        <v>39157</v>
      </c>
      <c r="G303" s="5">
        <v>17.59</v>
      </c>
      <c r="H303" s="5">
        <v>17.59</v>
      </c>
      <c r="I303" s="5">
        <v>17.59</v>
      </c>
      <c r="J303" s="5">
        <v>17.59</v>
      </c>
      <c r="K303" s="5">
        <v>17.59</v>
      </c>
      <c r="L303" s="5">
        <v>17.59</v>
      </c>
      <c r="M303" s="5">
        <v>17.59</v>
      </c>
      <c r="N303" s="5">
        <v>17.59</v>
      </c>
      <c r="O303" s="5">
        <v>17.59</v>
      </c>
      <c r="P303" s="5">
        <v>17.59</v>
      </c>
      <c r="Q303" s="5">
        <v>17.59</v>
      </c>
      <c r="R303" s="5">
        <v>17.59</v>
      </c>
    </row>
    <row r="304" spans="1:18" x14ac:dyDescent="0.25">
      <c r="A304">
        <v>2007</v>
      </c>
      <c r="B304">
        <v>3</v>
      </c>
      <c r="C304">
        <v>3</v>
      </c>
      <c r="D304" t="str">
        <f t="shared" si="4"/>
        <v>DC200703-sem3</v>
      </c>
      <c r="E304" s="1">
        <v>39158</v>
      </c>
      <c r="F304" s="1">
        <v>39164</v>
      </c>
      <c r="G304" s="5">
        <v>17.59</v>
      </c>
      <c r="H304" s="5">
        <v>17.59</v>
      </c>
      <c r="I304" s="5">
        <v>17.59</v>
      </c>
      <c r="J304" s="5">
        <v>17.59</v>
      </c>
      <c r="K304" s="5">
        <v>17.59</v>
      </c>
      <c r="L304" s="5">
        <v>17.59</v>
      </c>
      <c r="M304" s="5">
        <v>17.59</v>
      </c>
      <c r="N304" s="5">
        <v>17.59</v>
      </c>
      <c r="O304" s="5">
        <v>17.59</v>
      </c>
      <c r="P304" s="5">
        <v>17.59</v>
      </c>
      <c r="Q304" s="5">
        <v>17.59</v>
      </c>
      <c r="R304" s="5">
        <v>17.59</v>
      </c>
    </row>
    <row r="305" spans="1:18" x14ac:dyDescent="0.25">
      <c r="A305">
        <v>2007</v>
      </c>
      <c r="B305">
        <v>3</v>
      </c>
      <c r="C305">
        <v>4</v>
      </c>
      <c r="D305" t="str">
        <f t="shared" si="4"/>
        <v>DC200703-sem4</v>
      </c>
      <c r="E305" s="1">
        <v>39165</v>
      </c>
      <c r="F305" s="1">
        <v>39171</v>
      </c>
      <c r="G305" s="5">
        <v>17.59</v>
      </c>
      <c r="H305" s="5">
        <v>17.59</v>
      </c>
      <c r="I305" s="5">
        <v>17.59</v>
      </c>
      <c r="J305" s="5">
        <v>17.59</v>
      </c>
      <c r="K305" s="5">
        <v>17.59</v>
      </c>
      <c r="L305" s="5">
        <v>17.59</v>
      </c>
      <c r="M305" s="5">
        <v>17.59</v>
      </c>
      <c r="N305" s="5">
        <v>17.59</v>
      </c>
      <c r="O305" s="5">
        <v>17.59</v>
      </c>
      <c r="P305" s="5">
        <v>17.59</v>
      </c>
      <c r="Q305" s="5">
        <v>17.59</v>
      </c>
      <c r="R305" s="5">
        <v>17.59</v>
      </c>
    </row>
    <row r="306" spans="1:18" x14ac:dyDescent="0.25">
      <c r="A306">
        <v>2007</v>
      </c>
      <c r="B306">
        <v>4</v>
      </c>
      <c r="C306">
        <v>1</v>
      </c>
      <c r="D306" t="str">
        <f t="shared" si="4"/>
        <v>DC200704-sem1</v>
      </c>
      <c r="E306" s="1">
        <v>39172</v>
      </c>
      <c r="F306" s="1">
        <v>39178</v>
      </c>
      <c r="G306" s="5">
        <v>17.59</v>
      </c>
      <c r="H306" s="5">
        <v>17.59</v>
      </c>
      <c r="I306" s="5">
        <v>17.59</v>
      </c>
      <c r="J306" s="5">
        <v>17.59</v>
      </c>
      <c r="K306" s="5">
        <v>17.59</v>
      </c>
      <c r="L306" s="5">
        <v>17.59</v>
      </c>
      <c r="M306" s="5">
        <v>17.59</v>
      </c>
      <c r="N306" s="5">
        <v>17.59</v>
      </c>
      <c r="O306" s="5">
        <v>17.59</v>
      </c>
      <c r="P306" s="5">
        <v>17.59</v>
      </c>
      <c r="Q306" s="5">
        <v>17.59</v>
      </c>
      <c r="R306" s="5">
        <v>17.59</v>
      </c>
    </row>
    <row r="307" spans="1:18" x14ac:dyDescent="0.25">
      <c r="A307">
        <v>2007</v>
      </c>
      <c r="B307">
        <v>4</v>
      </c>
      <c r="C307">
        <v>2</v>
      </c>
      <c r="D307" t="str">
        <f t="shared" si="4"/>
        <v>DC200704-sem2</v>
      </c>
      <c r="E307" s="1">
        <v>39179</v>
      </c>
      <c r="F307" s="1">
        <v>39185</v>
      </c>
      <c r="G307" s="5">
        <v>63.65</v>
      </c>
      <c r="H307" s="5">
        <v>62.64</v>
      </c>
      <c r="I307" s="5">
        <v>62.58</v>
      </c>
      <c r="J307" s="5">
        <v>63.48</v>
      </c>
      <c r="K307" s="5">
        <v>62.58</v>
      </c>
      <c r="L307" s="5">
        <v>62.58</v>
      </c>
      <c r="M307" s="5">
        <v>17.59</v>
      </c>
      <c r="N307" s="5">
        <v>17.59</v>
      </c>
      <c r="O307" s="5">
        <v>17.59</v>
      </c>
      <c r="P307" s="5">
        <v>17.59</v>
      </c>
      <c r="Q307" s="5">
        <v>17.59</v>
      </c>
      <c r="R307" s="5">
        <v>17.59</v>
      </c>
    </row>
    <row r="308" spans="1:18" x14ac:dyDescent="0.25">
      <c r="A308">
        <v>2007</v>
      </c>
      <c r="B308">
        <v>4</v>
      </c>
      <c r="C308">
        <v>3</v>
      </c>
      <c r="D308" t="str">
        <f t="shared" si="4"/>
        <v>DC200704-sem3</v>
      </c>
      <c r="E308" s="1">
        <v>39186</v>
      </c>
      <c r="F308" s="1">
        <v>39192</v>
      </c>
      <c r="G308" s="5">
        <v>54.3</v>
      </c>
      <c r="H308" s="5">
        <v>53.76</v>
      </c>
      <c r="I308" s="5">
        <v>53.76</v>
      </c>
      <c r="J308" s="5">
        <v>53.76</v>
      </c>
      <c r="K308" s="5">
        <v>53.76</v>
      </c>
      <c r="L308" s="5">
        <v>53.76</v>
      </c>
      <c r="M308" s="5">
        <v>33.94</v>
      </c>
      <c r="N308" s="5">
        <v>33.94</v>
      </c>
      <c r="O308" s="5">
        <v>33.94</v>
      </c>
      <c r="P308" s="5">
        <v>17.59</v>
      </c>
      <c r="Q308" s="5">
        <v>17.59</v>
      </c>
      <c r="R308" s="5">
        <v>17.59</v>
      </c>
    </row>
    <row r="309" spans="1:18" x14ac:dyDescent="0.25">
      <c r="A309">
        <v>2007</v>
      </c>
      <c r="B309">
        <v>4</v>
      </c>
      <c r="C309">
        <v>4</v>
      </c>
      <c r="D309" t="str">
        <f t="shared" si="4"/>
        <v>DC200704-sem4</v>
      </c>
      <c r="E309" s="1">
        <v>39193</v>
      </c>
      <c r="F309" s="1">
        <v>39199</v>
      </c>
      <c r="G309" s="5">
        <v>57.74</v>
      </c>
      <c r="H309" s="5">
        <v>57.31</v>
      </c>
      <c r="I309" s="5">
        <v>55.25</v>
      </c>
      <c r="J309" s="5">
        <v>55.25</v>
      </c>
      <c r="K309" s="5">
        <v>55.25</v>
      </c>
      <c r="L309" s="5">
        <v>55.25</v>
      </c>
      <c r="M309" s="5">
        <v>35.24</v>
      </c>
      <c r="N309" s="5">
        <v>35.03</v>
      </c>
      <c r="O309" s="5">
        <v>34.799999999999997</v>
      </c>
      <c r="P309" s="5">
        <v>35.24</v>
      </c>
      <c r="Q309" s="5">
        <v>35.03</v>
      </c>
      <c r="R309" s="5">
        <v>34.799999999999997</v>
      </c>
    </row>
    <row r="310" spans="1:18" x14ac:dyDescent="0.25">
      <c r="A310">
        <v>2007</v>
      </c>
      <c r="B310">
        <v>5</v>
      </c>
      <c r="C310">
        <v>1</v>
      </c>
      <c r="D310" t="str">
        <f t="shared" si="4"/>
        <v>DC200705-sem1</v>
      </c>
      <c r="E310" s="1">
        <v>39200</v>
      </c>
      <c r="F310" s="1">
        <v>39206</v>
      </c>
      <c r="G310" s="5">
        <v>55.15</v>
      </c>
      <c r="H310" s="5">
        <v>54.7</v>
      </c>
      <c r="I310" s="5">
        <v>54.7</v>
      </c>
      <c r="J310" s="5">
        <v>54.7</v>
      </c>
      <c r="K310" s="5">
        <v>54.7</v>
      </c>
      <c r="L310" s="5">
        <v>54.7</v>
      </c>
      <c r="M310" s="5">
        <v>43.99</v>
      </c>
      <c r="N310" s="5">
        <v>43.7</v>
      </c>
      <c r="O310" s="5">
        <v>43.7</v>
      </c>
      <c r="P310" s="5">
        <v>43.99</v>
      </c>
      <c r="Q310" s="5">
        <v>43.7</v>
      </c>
      <c r="R310" s="5">
        <v>43.7</v>
      </c>
    </row>
    <row r="311" spans="1:18" x14ac:dyDescent="0.25">
      <c r="A311">
        <v>2007</v>
      </c>
      <c r="B311">
        <v>5</v>
      </c>
      <c r="C311">
        <v>2</v>
      </c>
      <c r="D311" t="str">
        <f t="shared" si="4"/>
        <v>DC200705-sem2</v>
      </c>
      <c r="E311" s="1">
        <v>39207</v>
      </c>
      <c r="F311" s="1">
        <v>39213</v>
      </c>
      <c r="G311" s="5">
        <v>37.630000000000003</v>
      </c>
      <c r="H311" s="5">
        <v>37.25</v>
      </c>
      <c r="I311" s="5">
        <v>35.79</v>
      </c>
      <c r="J311" s="5">
        <v>20.420000000000002</v>
      </c>
      <c r="K311" s="5">
        <v>20.420000000000002</v>
      </c>
      <c r="L311" s="5">
        <v>20.420000000000002</v>
      </c>
      <c r="M311" s="5">
        <v>32.369999999999997</v>
      </c>
      <c r="N311" s="5">
        <v>32.35</v>
      </c>
      <c r="O311" s="5">
        <v>32.14</v>
      </c>
      <c r="P311" s="5">
        <v>32.369999999999997</v>
      </c>
      <c r="Q311" s="5">
        <v>32.35</v>
      </c>
      <c r="R311" s="5">
        <v>32.14</v>
      </c>
    </row>
    <row r="312" spans="1:18" x14ac:dyDescent="0.25">
      <c r="A312">
        <v>2007</v>
      </c>
      <c r="B312">
        <v>5</v>
      </c>
      <c r="C312">
        <v>3</v>
      </c>
      <c r="D312" t="str">
        <f t="shared" si="4"/>
        <v>DC200705-sem3</v>
      </c>
      <c r="E312" s="1">
        <v>39214</v>
      </c>
      <c r="F312" s="1">
        <v>39220</v>
      </c>
      <c r="G312" s="5">
        <v>45.44</v>
      </c>
      <c r="H312" s="5">
        <v>44.71</v>
      </c>
      <c r="I312" s="5">
        <v>43.12</v>
      </c>
      <c r="J312" s="5">
        <v>19.739999999999998</v>
      </c>
      <c r="K312" s="5">
        <v>19.739999999999998</v>
      </c>
      <c r="L312" s="5">
        <v>19.43</v>
      </c>
      <c r="M312" s="5">
        <v>36.97</v>
      </c>
      <c r="N312" s="5">
        <v>36.729999999999997</v>
      </c>
      <c r="O312" s="5">
        <v>36.729999999999997</v>
      </c>
      <c r="P312" s="5">
        <v>36.97</v>
      </c>
      <c r="Q312" s="5">
        <v>36.729999999999997</v>
      </c>
      <c r="R312" s="5">
        <v>36.729999999999997</v>
      </c>
    </row>
    <row r="313" spans="1:18" x14ac:dyDescent="0.25">
      <c r="A313">
        <v>2007</v>
      </c>
      <c r="B313">
        <v>5</v>
      </c>
      <c r="C313">
        <v>4</v>
      </c>
      <c r="D313" t="str">
        <f t="shared" si="4"/>
        <v>DC200705-sem4</v>
      </c>
      <c r="E313" s="1">
        <v>39221</v>
      </c>
      <c r="F313" s="1">
        <v>39227</v>
      </c>
      <c r="G313" s="5">
        <v>50.93</v>
      </c>
      <c r="H313" s="5">
        <v>50.6</v>
      </c>
      <c r="I313" s="5">
        <v>48.63</v>
      </c>
      <c r="J313" s="5">
        <v>17.59</v>
      </c>
      <c r="K313" s="5">
        <v>17.59</v>
      </c>
      <c r="L313" s="5">
        <v>17.59</v>
      </c>
      <c r="M313" s="5">
        <v>39.81</v>
      </c>
      <c r="N313" s="5">
        <v>39.729999999999997</v>
      </c>
      <c r="O313" s="5">
        <v>39.729999999999997</v>
      </c>
      <c r="P313" s="5">
        <v>39.81</v>
      </c>
      <c r="Q313" s="5">
        <v>39.729999999999997</v>
      </c>
      <c r="R313" s="5">
        <v>39.729999999999997</v>
      </c>
    </row>
    <row r="314" spans="1:18" x14ac:dyDescent="0.25">
      <c r="A314">
        <v>2007</v>
      </c>
      <c r="B314">
        <v>6</v>
      </c>
      <c r="C314">
        <v>1</v>
      </c>
      <c r="D314" t="str">
        <f t="shared" si="4"/>
        <v>DC200706-sem1</v>
      </c>
      <c r="E314" s="1">
        <v>39228</v>
      </c>
      <c r="F314" s="1">
        <v>39234</v>
      </c>
      <c r="G314" s="5">
        <v>122.91</v>
      </c>
      <c r="H314" s="5">
        <v>121.9</v>
      </c>
      <c r="I314" s="5">
        <v>118.08</v>
      </c>
      <c r="J314" s="5">
        <v>17.59</v>
      </c>
      <c r="K314" s="5">
        <v>17.59</v>
      </c>
      <c r="L314" s="5">
        <v>17.59</v>
      </c>
      <c r="M314" s="5">
        <v>122.26</v>
      </c>
      <c r="N314" s="5">
        <v>120.33</v>
      </c>
      <c r="O314" s="5">
        <v>118.08</v>
      </c>
      <c r="P314" s="5">
        <v>122.26</v>
      </c>
      <c r="Q314" s="5">
        <v>120.33</v>
      </c>
      <c r="R314" s="5">
        <v>118.08</v>
      </c>
    </row>
    <row r="315" spans="1:18" x14ac:dyDescent="0.25">
      <c r="A315">
        <v>2007</v>
      </c>
      <c r="B315">
        <v>6</v>
      </c>
      <c r="C315">
        <v>2</v>
      </c>
      <c r="D315" t="str">
        <f t="shared" si="4"/>
        <v>DC200706-sem2</v>
      </c>
      <c r="E315" s="1">
        <v>39235</v>
      </c>
      <c r="F315" s="1">
        <v>39241</v>
      </c>
      <c r="G315" s="5">
        <v>105.4</v>
      </c>
      <c r="H315" s="5">
        <v>103.51</v>
      </c>
      <c r="I315" s="5">
        <v>101.85</v>
      </c>
      <c r="J315" s="5">
        <v>29.15</v>
      </c>
      <c r="K315" s="5">
        <v>29.15</v>
      </c>
      <c r="L315" s="5">
        <v>29.15</v>
      </c>
      <c r="M315" s="5">
        <v>104.73</v>
      </c>
      <c r="N315" s="5">
        <v>103.51</v>
      </c>
      <c r="O315" s="5">
        <v>101.85</v>
      </c>
      <c r="P315" s="5">
        <v>104.73</v>
      </c>
      <c r="Q315" s="5">
        <v>103.51</v>
      </c>
      <c r="R315" s="5">
        <v>101.85</v>
      </c>
    </row>
    <row r="316" spans="1:18" x14ac:dyDescent="0.25">
      <c r="A316">
        <v>2007</v>
      </c>
      <c r="B316">
        <v>6</v>
      </c>
      <c r="C316">
        <v>3</v>
      </c>
      <c r="D316" t="str">
        <f t="shared" si="4"/>
        <v>DC200706-sem3</v>
      </c>
      <c r="E316" s="1">
        <v>39242</v>
      </c>
      <c r="F316" s="1">
        <v>39248</v>
      </c>
      <c r="G316" s="5">
        <v>119.13</v>
      </c>
      <c r="H316" s="5">
        <v>117.73</v>
      </c>
      <c r="I316" s="5">
        <v>114.6</v>
      </c>
      <c r="J316" s="5">
        <v>54.24</v>
      </c>
      <c r="K316" s="5">
        <v>54.24</v>
      </c>
      <c r="L316" s="5">
        <v>54.17</v>
      </c>
      <c r="M316" s="5">
        <v>119.13</v>
      </c>
      <c r="N316" s="5">
        <v>117.4</v>
      </c>
      <c r="O316" s="5">
        <v>114.6</v>
      </c>
      <c r="P316" s="5">
        <v>119.13</v>
      </c>
      <c r="Q316" s="5">
        <v>117.4</v>
      </c>
      <c r="R316" s="5">
        <v>114.6</v>
      </c>
    </row>
    <row r="317" spans="1:18" x14ac:dyDescent="0.25">
      <c r="A317">
        <v>2007</v>
      </c>
      <c r="B317">
        <v>6</v>
      </c>
      <c r="C317">
        <v>4</v>
      </c>
      <c r="D317" t="str">
        <f t="shared" si="4"/>
        <v>DC200706-sem4</v>
      </c>
      <c r="E317" s="1">
        <v>39249</v>
      </c>
      <c r="F317" s="1">
        <v>39255</v>
      </c>
      <c r="G317" s="5">
        <v>78.7</v>
      </c>
      <c r="H317" s="5">
        <v>77.47</v>
      </c>
      <c r="I317" s="5">
        <v>74.73</v>
      </c>
      <c r="J317" s="5">
        <v>68.760000000000005</v>
      </c>
      <c r="K317" s="5">
        <v>68.760000000000005</v>
      </c>
      <c r="L317" s="5">
        <v>65.06</v>
      </c>
      <c r="M317" s="5">
        <v>78.7</v>
      </c>
      <c r="N317" s="5">
        <v>77.47</v>
      </c>
      <c r="O317" s="5">
        <v>77.47</v>
      </c>
      <c r="P317" s="5">
        <v>78.7</v>
      </c>
      <c r="Q317" s="5">
        <v>77.47</v>
      </c>
      <c r="R317" s="5">
        <v>76.3</v>
      </c>
    </row>
    <row r="318" spans="1:18" x14ac:dyDescent="0.25">
      <c r="A318">
        <v>2007</v>
      </c>
      <c r="B318">
        <v>6</v>
      </c>
      <c r="C318">
        <v>5</v>
      </c>
      <c r="D318" t="str">
        <f t="shared" si="4"/>
        <v>DC200706-sem5</v>
      </c>
      <c r="E318" s="1">
        <v>39256</v>
      </c>
      <c r="F318" s="1">
        <v>39262</v>
      </c>
      <c r="G318" s="5">
        <v>84.72</v>
      </c>
      <c r="H318" s="5">
        <v>83.53</v>
      </c>
      <c r="I318" s="5">
        <v>81.489999999999995</v>
      </c>
      <c r="J318" s="5">
        <v>81.489999999999995</v>
      </c>
      <c r="K318" s="5">
        <v>81.489999999999995</v>
      </c>
      <c r="L318" s="5">
        <v>81.489999999999995</v>
      </c>
      <c r="M318" s="5">
        <v>84.72</v>
      </c>
      <c r="N318" s="5">
        <v>83.53</v>
      </c>
      <c r="O318" s="5">
        <v>83.53</v>
      </c>
      <c r="P318" s="5">
        <v>84.72</v>
      </c>
      <c r="Q318" s="5">
        <v>83.53</v>
      </c>
      <c r="R318" s="5">
        <v>83.31</v>
      </c>
    </row>
    <row r="319" spans="1:18" x14ac:dyDescent="0.25">
      <c r="A319">
        <v>2007</v>
      </c>
      <c r="B319">
        <v>7</v>
      </c>
      <c r="C319">
        <v>1</v>
      </c>
      <c r="D319" t="str">
        <f t="shared" si="4"/>
        <v>DC200707-sem1</v>
      </c>
      <c r="E319" s="1">
        <v>39263</v>
      </c>
      <c r="F319" s="1">
        <v>39269</v>
      </c>
      <c r="G319" s="5">
        <v>139.36000000000001</v>
      </c>
      <c r="H319" s="5">
        <v>138.97999999999999</v>
      </c>
      <c r="I319" s="5">
        <v>138.88999999999999</v>
      </c>
      <c r="J319" s="5">
        <v>139.36000000000001</v>
      </c>
      <c r="K319" s="5">
        <v>138.97999999999999</v>
      </c>
      <c r="L319" s="5">
        <v>138.88999999999999</v>
      </c>
      <c r="M319" s="5">
        <v>131.16</v>
      </c>
      <c r="N319" s="5">
        <v>130.69</v>
      </c>
      <c r="O319" s="5">
        <v>130.69</v>
      </c>
      <c r="P319" s="5">
        <v>139.36000000000001</v>
      </c>
      <c r="Q319" s="5">
        <v>138.97999999999999</v>
      </c>
      <c r="R319" s="5">
        <v>138.88999999999999</v>
      </c>
    </row>
    <row r="320" spans="1:18" x14ac:dyDescent="0.25">
      <c r="A320">
        <v>2007</v>
      </c>
      <c r="B320">
        <v>7</v>
      </c>
      <c r="C320">
        <v>2</v>
      </c>
      <c r="D320" t="str">
        <f t="shared" si="4"/>
        <v>DC200707-sem2</v>
      </c>
      <c r="E320" s="1">
        <v>39270</v>
      </c>
      <c r="F320" s="1">
        <v>39276</v>
      </c>
      <c r="G320" s="5">
        <v>142.69</v>
      </c>
      <c r="H320" s="5">
        <v>142.13999999999999</v>
      </c>
      <c r="I320" s="5">
        <v>141.55000000000001</v>
      </c>
      <c r="J320" s="5">
        <v>142.69</v>
      </c>
      <c r="K320" s="5">
        <v>142.13999999999999</v>
      </c>
      <c r="L320" s="5">
        <v>141.55000000000001</v>
      </c>
      <c r="M320" s="5">
        <v>132.72999999999999</v>
      </c>
      <c r="N320" s="5">
        <v>132.72999999999999</v>
      </c>
      <c r="O320" s="5">
        <v>130.63999999999999</v>
      </c>
      <c r="P320" s="5">
        <v>142.69</v>
      </c>
      <c r="Q320" s="5">
        <v>142.13999999999999</v>
      </c>
      <c r="R320" s="5">
        <v>141.55000000000001</v>
      </c>
    </row>
    <row r="321" spans="1:18" x14ac:dyDescent="0.25">
      <c r="A321">
        <v>2007</v>
      </c>
      <c r="B321">
        <v>7</v>
      </c>
      <c r="C321">
        <v>3</v>
      </c>
      <c r="D321" t="str">
        <f t="shared" si="4"/>
        <v>DC200707-sem3</v>
      </c>
      <c r="E321" s="1">
        <v>39277</v>
      </c>
      <c r="F321" s="1">
        <v>39283</v>
      </c>
      <c r="G321" s="5">
        <v>133.41</v>
      </c>
      <c r="H321" s="5">
        <v>130.65</v>
      </c>
      <c r="I321" s="5">
        <v>130.1</v>
      </c>
      <c r="J321" s="5">
        <v>130.65</v>
      </c>
      <c r="K321" s="5">
        <v>130.65</v>
      </c>
      <c r="L321" s="5">
        <v>130.1</v>
      </c>
      <c r="M321" s="5">
        <v>133.41</v>
      </c>
      <c r="N321" s="5">
        <v>130.1</v>
      </c>
      <c r="O321" s="5">
        <v>130.1</v>
      </c>
      <c r="P321" s="5">
        <v>133.41</v>
      </c>
      <c r="Q321" s="5">
        <v>130.65</v>
      </c>
      <c r="R321" s="5">
        <v>130.1</v>
      </c>
    </row>
    <row r="322" spans="1:18" x14ac:dyDescent="0.25">
      <c r="A322">
        <v>2007</v>
      </c>
      <c r="B322">
        <v>7</v>
      </c>
      <c r="C322">
        <v>4</v>
      </c>
      <c r="D322" t="str">
        <f t="shared" si="4"/>
        <v>DC200707-sem4</v>
      </c>
      <c r="E322" s="1">
        <v>39284</v>
      </c>
      <c r="F322" s="1">
        <v>39290</v>
      </c>
      <c r="G322" s="5">
        <v>120.18</v>
      </c>
      <c r="H322" s="5">
        <v>116.88</v>
      </c>
      <c r="I322" s="5">
        <v>116.3</v>
      </c>
      <c r="J322" s="5">
        <v>116.79</v>
      </c>
      <c r="K322" s="5">
        <v>116.79</v>
      </c>
      <c r="L322" s="5">
        <v>115.9</v>
      </c>
      <c r="M322" s="5">
        <v>120.18</v>
      </c>
      <c r="N322" s="5">
        <v>116.88</v>
      </c>
      <c r="O322" s="5">
        <v>116.3</v>
      </c>
      <c r="P322" s="5">
        <v>120.18</v>
      </c>
      <c r="Q322" s="5">
        <v>116.88</v>
      </c>
      <c r="R322" s="5">
        <v>116.3</v>
      </c>
    </row>
    <row r="323" spans="1:18" x14ac:dyDescent="0.25">
      <c r="A323">
        <v>2007</v>
      </c>
      <c r="B323">
        <v>8</v>
      </c>
      <c r="C323">
        <v>1</v>
      </c>
      <c r="D323" t="str">
        <f t="shared" ref="D323:D386" si="5">"DC"&amp;A323&amp;REPT("0",2-LEN(B323))&amp;B323&amp;"-sem"&amp;C323</f>
        <v>DC200708-sem1</v>
      </c>
      <c r="E323" s="1">
        <v>39291</v>
      </c>
      <c r="F323" s="1">
        <v>39297</v>
      </c>
      <c r="G323" s="5">
        <v>61.74</v>
      </c>
      <c r="H323" s="5">
        <v>60.44</v>
      </c>
      <c r="I323" s="5">
        <v>57.95</v>
      </c>
      <c r="J323" s="5">
        <v>57.95</v>
      </c>
      <c r="K323" s="5">
        <v>57.95</v>
      </c>
      <c r="L323" s="5">
        <v>57.95</v>
      </c>
      <c r="M323" s="5">
        <v>61.74</v>
      </c>
      <c r="N323" s="5">
        <v>61.66</v>
      </c>
      <c r="O323" s="5">
        <v>61.66</v>
      </c>
      <c r="P323" s="5">
        <v>61.74</v>
      </c>
      <c r="Q323" s="5">
        <v>61.66</v>
      </c>
      <c r="R323" s="5">
        <v>61.66</v>
      </c>
    </row>
    <row r="324" spans="1:18" x14ac:dyDescent="0.25">
      <c r="A324">
        <v>2007</v>
      </c>
      <c r="B324">
        <v>8</v>
      </c>
      <c r="C324">
        <v>2</v>
      </c>
      <c r="D324" t="str">
        <f t="shared" si="5"/>
        <v>DC200708-sem2</v>
      </c>
      <c r="E324" s="1">
        <v>39298</v>
      </c>
      <c r="F324" s="1">
        <v>39304</v>
      </c>
      <c r="G324" s="5">
        <v>29.98</v>
      </c>
      <c r="H324" s="5">
        <v>29.52</v>
      </c>
      <c r="I324" s="5">
        <v>28.31</v>
      </c>
      <c r="J324" s="5">
        <v>17.59</v>
      </c>
      <c r="K324" s="5">
        <v>17.59</v>
      </c>
      <c r="L324" s="5">
        <v>17.59</v>
      </c>
      <c r="M324" s="5">
        <v>35.270000000000003</v>
      </c>
      <c r="N324" s="5">
        <v>35.270000000000003</v>
      </c>
      <c r="O324" s="5">
        <v>35.270000000000003</v>
      </c>
      <c r="P324" s="5">
        <v>29.98</v>
      </c>
      <c r="Q324" s="5">
        <v>29.52</v>
      </c>
      <c r="R324" s="5">
        <v>29.52</v>
      </c>
    </row>
    <row r="325" spans="1:18" x14ac:dyDescent="0.25">
      <c r="A325">
        <v>2007</v>
      </c>
      <c r="B325">
        <v>8</v>
      </c>
      <c r="C325">
        <v>3</v>
      </c>
      <c r="D325" t="str">
        <f t="shared" si="5"/>
        <v>DC200708-sem3</v>
      </c>
      <c r="E325" s="1">
        <v>39305</v>
      </c>
      <c r="F325" s="1">
        <v>39311</v>
      </c>
      <c r="G325" s="5">
        <v>29.25</v>
      </c>
      <c r="H325" s="5">
        <v>28.23</v>
      </c>
      <c r="I325" s="5">
        <v>27.21</v>
      </c>
      <c r="J325" s="5">
        <v>27.21</v>
      </c>
      <c r="K325" s="5">
        <v>27.21</v>
      </c>
      <c r="L325" s="5">
        <v>26.94</v>
      </c>
      <c r="M325" s="5">
        <v>37.68</v>
      </c>
      <c r="N325" s="5">
        <v>37.68</v>
      </c>
      <c r="O325" s="5">
        <v>37.68</v>
      </c>
      <c r="P325" s="5">
        <v>37.68</v>
      </c>
      <c r="Q325" s="5">
        <v>37.68</v>
      </c>
      <c r="R325" s="5">
        <v>37.68</v>
      </c>
    </row>
    <row r="326" spans="1:18" x14ac:dyDescent="0.25">
      <c r="A326">
        <v>2007</v>
      </c>
      <c r="B326">
        <v>8</v>
      </c>
      <c r="C326">
        <v>4</v>
      </c>
      <c r="D326" t="str">
        <f t="shared" si="5"/>
        <v>DC200708-sem4</v>
      </c>
      <c r="E326" s="1">
        <v>39312</v>
      </c>
      <c r="F326" s="1">
        <v>39318</v>
      </c>
      <c r="G326" s="5">
        <v>35.19</v>
      </c>
      <c r="H326" s="5">
        <v>34.01</v>
      </c>
      <c r="I326" s="5">
        <v>33.880000000000003</v>
      </c>
      <c r="J326" s="5">
        <v>33.880000000000003</v>
      </c>
      <c r="K326" s="5">
        <v>33.880000000000003</v>
      </c>
      <c r="L326" s="5">
        <v>33.880000000000003</v>
      </c>
      <c r="M326" s="5">
        <v>41.74</v>
      </c>
      <c r="N326" s="5">
        <v>41.67</v>
      </c>
      <c r="O326" s="5">
        <v>41.67</v>
      </c>
      <c r="P326" s="5">
        <v>41.67</v>
      </c>
      <c r="Q326" s="5">
        <v>41.67</v>
      </c>
      <c r="R326" s="5">
        <v>39.71</v>
      </c>
    </row>
    <row r="327" spans="1:18" x14ac:dyDescent="0.25">
      <c r="A327">
        <v>2007</v>
      </c>
      <c r="B327">
        <v>8</v>
      </c>
      <c r="C327">
        <v>5</v>
      </c>
      <c r="D327" t="str">
        <f t="shared" si="5"/>
        <v>DC200708-sem5</v>
      </c>
      <c r="E327" s="1">
        <v>39319</v>
      </c>
      <c r="F327" s="1">
        <v>39325</v>
      </c>
      <c r="G327" s="5">
        <v>59.4</v>
      </c>
      <c r="H327" s="5">
        <v>56.92</v>
      </c>
      <c r="I327" s="5">
        <v>56.58</v>
      </c>
      <c r="J327" s="5">
        <v>56.58</v>
      </c>
      <c r="K327" s="5">
        <v>56.58</v>
      </c>
      <c r="L327" s="5">
        <v>56.58</v>
      </c>
      <c r="M327" s="5">
        <v>61.98</v>
      </c>
      <c r="N327" s="5">
        <v>61.98</v>
      </c>
      <c r="O327" s="5">
        <v>61.58</v>
      </c>
      <c r="P327" s="5">
        <v>61.98</v>
      </c>
      <c r="Q327" s="5">
        <v>61.98</v>
      </c>
      <c r="R327" s="5">
        <v>61.58</v>
      </c>
    </row>
    <row r="328" spans="1:18" x14ac:dyDescent="0.25">
      <c r="A328">
        <v>2007</v>
      </c>
      <c r="B328">
        <v>9</v>
      </c>
      <c r="C328">
        <v>1</v>
      </c>
      <c r="D328" t="str">
        <f t="shared" si="5"/>
        <v>DC200709-sem1</v>
      </c>
      <c r="E328" s="1">
        <v>39326</v>
      </c>
      <c r="F328" s="1">
        <v>39332</v>
      </c>
      <c r="G328" s="5">
        <v>129.18</v>
      </c>
      <c r="H328" s="5">
        <v>128.1</v>
      </c>
      <c r="I328" s="5">
        <v>128.1</v>
      </c>
      <c r="J328" s="5">
        <v>129.18</v>
      </c>
      <c r="K328" s="5">
        <v>128.1</v>
      </c>
      <c r="L328" s="5">
        <v>128.1</v>
      </c>
      <c r="M328" s="5">
        <v>126.97</v>
      </c>
      <c r="N328" s="5">
        <v>126.51</v>
      </c>
      <c r="O328" s="5">
        <v>126.51</v>
      </c>
      <c r="P328" s="5">
        <v>129.18</v>
      </c>
      <c r="Q328" s="5">
        <v>128.1</v>
      </c>
      <c r="R328" s="5">
        <v>128.1</v>
      </c>
    </row>
    <row r="329" spans="1:18" x14ac:dyDescent="0.25">
      <c r="A329">
        <v>2007</v>
      </c>
      <c r="B329">
        <v>9</v>
      </c>
      <c r="C329">
        <v>2</v>
      </c>
      <c r="D329" t="str">
        <f t="shared" si="5"/>
        <v>DC200709-sem2</v>
      </c>
      <c r="E329" s="1">
        <v>39333</v>
      </c>
      <c r="F329" s="1">
        <v>39339</v>
      </c>
      <c r="G329" s="5">
        <v>132.65</v>
      </c>
      <c r="H329" s="5">
        <v>130.81</v>
      </c>
      <c r="I329" s="5">
        <v>130.81</v>
      </c>
      <c r="J329" s="5">
        <v>132.65</v>
      </c>
      <c r="K329" s="5">
        <v>130.81</v>
      </c>
      <c r="L329" s="5">
        <v>130.81</v>
      </c>
      <c r="M329" s="5">
        <v>132.65</v>
      </c>
      <c r="N329" s="5">
        <v>130.81</v>
      </c>
      <c r="O329" s="5">
        <v>130.81</v>
      </c>
      <c r="P329" s="5">
        <v>132.65</v>
      </c>
      <c r="Q329" s="5">
        <v>130.81</v>
      </c>
      <c r="R329" s="5">
        <v>130.81</v>
      </c>
    </row>
    <row r="330" spans="1:18" x14ac:dyDescent="0.25">
      <c r="A330">
        <v>2007</v>
      </c>
      <c r="B330">
        <v>9</v>
      </c>
      <c r="C330">
        <v>3</v>
      </c>
      <c r="D330" t="str">
        <f t="shared" si="5"/>
        <v>DC200709-sem3</v>
      </c>
      <c r="E330" s="1">
        <v>39340</v>
      </c>
      <c r="F330" s="1">
        <v>39346</v>
      </c>
      <c r="G330" s="5">
        <v>150.11000000000001</v>
      </c>
      <c r="H330" s="5">
        <v>147.26</v>
      </c>
      <c r="I330" s="5">
        <v>147.26</v>
      </c>
      <c r="J330" s="5">
        <v>150.11000000000001</v>
      </c>
      <c r="K330" s="5">
        <v>149.41</v>
      </c>
      <c r="L330" s="5">
        <v>147.26</v>
      </c>
      <c r="M330" s="5">
        <v>150.11000000000001</v>
      </c>
      <c r="N330" s="5">
        <v>147.26</v>
      </c>
      <c r="O330" s="5">
        <v>146.72999999999999</v>
      </c>
      <c r="P330" s="5">
        <v>150.11000000000001</v>
      </c>
      <c r="Q330" s="5">
        <v>147.26</v>
      </c>
      <c r="R330" s="5">
        <v>147.26</v>
      </c>
    </row>
    <row r="331" spans="1:18" x14ac:dyDescent="0.25">
      <c r="A331">
        <v>2007</v>
      </c>
      <c r="B331">
        <v>9</v>
      </c>
      <c r="C331">
        <v>4</v>
      </c>
      <c r="D331" t="str">
        <f t="shared" si="5"/>
        <v>DC200709-sem4</v>
      </c>
      <c r="E331" s="1">
        <v>39347</v>
      </c>
      <c r="F331" s="1">
        <v>39353</v>
      </c>
      <c r="G331" s="5">
        <v>189.13</v>
      </c>
      <c r="H331" s="5">
        <v>186.16</v>
      </c>
      <c r="I331" s="5">
        <v>186.16</v>
      </c>
      <c r="J331" s="5">
        <v>189.13</v>
      </c>
      <c r="K331" s="5">
        <v>186.16</v>
      </c>
      <c r="L331" s="5">
        <v>186.16</v>
      </c>
      <c r="M331" s="5">
        <v>189.13</v>
      </c>
      <c r="N331" s="5">
        <v>186.16</v>
      </c>
      <c r="O331" s="5">
        <v>186.16</v>
      </c>
      <c r="P331" s="5">
        <v>189.13</v>
      </c>
      <c r="Q331" s="5">
        <v>186.16</v>
      </c>
      <c r="R331" s="5">
        <v>186.16</v>
      </c>
    </row>
    <row r="332" spans="1:18" x14ac:dyDescent="0.25">
      <c r="A332">
        <v>2007</v>
      </c>
      <c r="B332">
        <v>10</v>
      </c>
      <c r="C332">
        <v>1</v>
      </c>
      <c r="D332" t="str">
        <f t="shared" si="5"/>
        <v>DC200710-sem1</v>
      </c>
      <c r="E332" s="1">
        <v>39354</v>
      </c>
      <c r="F332" s="1">
        <v>39360</v>
      </c>
      <c r="G332" s="5">
        <v>168.46</v>
      </c>
      <c r="H332" s="5">
        <v>168.46</v>
      </c>
      <c r="I332" s="5">
        <v>165.13</v>
      </c>
      <c r="J332" s="5">
        <v>168.46</v>
      </c>
      <c r="K332" s="5">
        <v>168.46</v>
      </c>
      <c r="L332" s="5">
        <v>165.13</v>
      </c>
      <c r="M332" s="5">
        <v>168.46</v>
      </c>
      <c r="N332" s="5">
        <v>168.46</v>
      </c>
      <c r="O332" s="5">
        <v>165.13</v>
      </c>
      <c r="P332" s="5">
        <v>168.46</v>
      </c>
      <c r="Q332" s="5">
        <v>168.46</v>
      </c>
      <c r="R332" s="5">
        <v>165.13</v>
      </c>
    </row>
    <row r="333" spans="1:18" x14ac:dyDescent="0.25">
      <c r="A333">
        <v>2007</v>
      </c>
      <c r="B333">
        <v>10</v>
      </c>
      <c r="C333">
        <v>2</v>
      </c>
      <c r="D333" t="str">
        <f t="shared" si="5"/>
        <v>DC200710-sem2</v>
      </c>
      <c r="E333" s="1">
        <v>39361</v>
      </c>
      <c r="F333" s="1">
        <v>39367</v>
      </c>
      <c r="G333" s="5">
        <v>173.85</v>
      </c>
      <c r="H333" s="5">
        <v>172.08</v>
      </c>
      <c r="I333" s="5">
        <v>172.08</v>
      </c>
      <c r="J333" s="5">
        <v>173.85</v>
      </c>
      <c r="K333" s="5">
        <v>172.08</v>
      </c>
      <c r="L333" s="5">
        <v>172.08</v>
      </c>
      <c r="M333" s="5">
        <v>173.85</v>
      </c>
      <c r="N333" s="5">
        <v>169.29</v>
      </c>
      <c r="O333" s="5">
        <v>168.68</v>
      </c>
      <c r="P333" s="5">
        <v>173.85</v>
      </c>
      <c r="Q333" s="5">
        <v>172.08</v>
      </c>
      <c r="R333" s="5">
        <v>172.08</v>
      </c>
    </row>
    <row r="334" spans="1:18" x14ac:dyDescent="0.25">
      <c r="A334">
        <v>2007</v>
      </c>
      <c r="B334">
        <v>10</v>
      </c>
      <c r="C334">
        <v>3</v>
      </c>
      <c r="D334" t="str">
        <f t="shared" si="5"/>
        <v>DC200710-sem3</v>
      </c>
      <c r="E334" s="1">
        <v>39368</v>
      </c>
      <c r="F334" s="1">
        <v>39374</v>
      </c>
      <c r="G334" s="5">
        <v>207.66</v>
      </c>
      <c r="H334" s="5">
        <v>205.54</v>
      </c>
      <c r="I334" s="5">
        <v>205.54</v>
      </c>
      <c r="J334" s="5">
        <v>207.66</v>
      </c>
      <c r="K334" s="5">
        <v>205.54</v>
      </c>
      <c r="L334" s="5">
        <v>205.54</v>
      </c>
      <c r="M334" s="5">
        <v>207.66</v>
      </c>
      <c r="N334" s="5">
        <v>205.54</v>
      </c>
      <c r="O334" s="5">
        <v>205.54</v>
      </c>
      <c r="P334" s="5">
        <v>207.66</v>
      </c>
      <c r="Q334" s="5">
        <v>205.54</v>
      </c>
      <c r="R334" s="5">
        <v>205.54</v>
      </c>
    </row>
    <row r="335" spans="1:18" x14ac:dyDescent="0.25">
      <c r="A335">
        <v>2007</v>
      </c>
      <c r="B335">
        <v>10</v>
      </c>
      <c r="C335">
        <v>4</v>
      </c>
      <c r="D335" t="str">
        <f t="shared" si="5"/>
        <v>DC200710-sem4</v>
      </c>
      <c r="E335" s="1">
        <v>39375</v>
      </c>
      <c r="F335" s="1">
        <v>39381</v>
      </c>
      <c r="G335" s="5">
        <v>211.84</v>
      </c>
      <c r="H335" s="5">
        <v>209.96</v>
      </c>
      <c r="I335" s="5">
        <v>209.7</v>
      </c>
      <c r="J335" s="5">
        <v>211.84</v>
      </c>
      <c r="K335" s="5">
        <v>209.96</v>
      </c>
      <c r="L335" s="5">
        <v>209.7</v>
      </c>
      <c r="M335" s="5">
        <v>211.84</v>
      </c>
      <c r="N335" s="5">
        <v>209.96</v>
      </c>
      <c r="O335" s="5">
        <v>209.21</v>
      </c>
      <c r="P335" s="5">
        <v>211.84</v>
      </c>
      <c r="Q335" s="5">
        <v>209.96</v>
      </c>
      <c r="R335" s="5">
        <v>209.7</v>
      </c>
    </row>
    <row r="336" spans="1:18" x14ac:dyDescent="0.25">
      <c r="A336">
        <v>2007</v>
      </c>
      <c r="B336">
        <v>11</v>
      </c>
      <c r="C336">
        <v>1</v>
      </c>
      <c r="D336" t="str">
        <f t="shared" si="5"/>
        <v>DC200711-sem1</v>
      </c>
      <c r="E336" s="1">
        <v>39382</v>
      </c>
      <c r="F336" s="1">
        <v>39388</v>
      </c>
      <c r="G336" s="5">
        <v>237.66</v>
      </c>
      <c r="H336" s="5">
        <v>237.66</v>
      </c>
      <c r="I336" s="5">
        <v>237.66</v>
      </c>
      <c r="J336" s="5">
        <v>237.66</v>
      </c>
      <c r="K336" s="5">
        <v>237.66</v>
      </c>
      <c r="L336" s="5">
        <v>237.66</v>
      </c>
      <c r="M336" s="5">
        <v>237.66</v>
      </c>
      <c r="N336" s="5">
        <v>237.66</v>
      </c>
      <c r="O336" s="5">
        <v>237.66</v>
      </c>
      <c r="P336" s="5">
        <v>237.66</v>
      </c>
      <c r="Q336" s="5">
        <v>237.66</v>
      </c>
      <c r="R336" s="5">
        <v>237.66</v>
      </c>
    </row>
    <row r="337" spans="1:18" x14ac:dyDescent="0.25">
      <c r="A337">
        <v>2007</v>
      </c>
      <c r="B337">
        <v>11</v>
      </c>
      <c r="C337">
        <v>2</v>
      </c>
      <c r="D337" t="str">
        <f t="shared" si="5"/>
        <v>DC200711-sem2</v>
      </c>
      <c r="E337" s="1">
        <v>39389</v>
      </c>
      <c r="F337" s="1">
        <v>39395</v>
      </c>
      <c r="G337" s="5">
        <v>224.1</v>
      </c>
      <c r="H337" s="5">
        <v>223.89</v>
      </c>
      <c r="I337" s="5">
        <v>223.89</v>
      </c>
      <c r="J337" s="5">
        <v>224.1</v>
      </c>
      <c r="K337" s="5">
        <v>223.89</v>
      </c>
      <c r="L337" s="5">
        <v>223.89</v>
      </c>
      <c r="M337" s="5">
        <v>224.1</v>
      </c>
      <c r="N337" s="5">
        <v>223.89</v>
      </c>
      <c r="O337" s="5">
        <v>223.89</v>
      </c>
      <c r="P337" s="5">
        <v>224.1</v>
      </c>
      <c r="Q337" s="5">
        <v>223.89</v>
      </c>
      <c r="R337" s="5">
        <v>223.89</v>
      </c>
    </row>
    <row r="338" spans="1:18" x14ac:dyDescent="0.25">
      <c r="A338">
        <v>2007</v>
      </c>
      <c r="B338">
        <v>11</v>
      </c>
      <c r="C338">
        <v>3</v>
      </c>
      <c r="D338" t="str">
        <f t="shared" si="5"/>
        <v>DC200711-sem3</v>
      </c>
      <c r="E338" s="1">
        <v>39396</v>
      </c>
      <c r="F338" s="1">
        <v>39402</v>
      </c>
      <c r="G338" s="5">
        <v>182.68</v>
      </c>
      <c r="H338" s="5">
        <v>181.3</v>
      </c>
      <c r="I338" s="5">
        <v>181.3</v>
      </c>
      <c r="J338" s="5">
        <v>182.68</v>
      </c>
      <c r="K338" s="5">
        <v>181.3</v>
      </c>
      <c r="L338" s="5">
        <v>181.3</v>
      </c>
      <c r="M338" s="5">
        <v>182.68</v>
      </c>
      <c r="N338" s="5">
        <v>181.3</v>
      </c>
      <c r="O338" s="5">
        <v>181.3</v>
      </c>
      <c r="P338" s="5">
        <v>182.68</v>
      </c>
      <c r="Q338" s="5">
        <v>181.3</v>
      </c>
      <c r="R338" s="5">
        <v>181.3</v>
      </c>
    </row>
    <row r="339" spans="1:18" x14ac:dyDescent="0.25">
      <c r="A339">
        <v>2007</v>
      </c>
      <c r="B339">
        <v>11</v>
      </c>
      <c r="C339">
        <v>4</v>
      </c>
      <c r="D339" t="str">
        <f t="shared" si="5"/>
        <v>DC200711-sem4</v>
      </c>
      <c r="E339" s="1">
        <v>39403</v>
      </c>
      <c r="F339" s="1">
        <v>39409</v>
      </c>
      <c r="G339" s="5">
        <v>150.54</v>
      </c>
      <c r="H339" s="5">
        <v>150.54</v>
      </c>
      <c r="I339" s="5">
        <v>150.54</v>
      </c>
      <c r="J339" s="5">
        <v>150.54</v>
      </c>
      <c r="K339" s="5">
        <v>150.54</v>
      </c>
      <c r="L339" s="5">
        <v>150.54</v>
      </c>
      <c r="M339" s="5">
        <v>150.54</v>
      </c>
      <c r="N339" s="5">
        <v>150.54</v>
      </c>
      <c r="O339" s="5">
        <v>150.54</v>
      </c>
      <c r="P339" s="5">
        <v>150.54</v>
      </c>
      <c r="Q339" s="5">
        <v>150.54</v>
      </c>
      <c r="R339" s="5">
        <v>150.54</v>
      </c>
    </row>
    <row r="340" spans="1:18" x14ac:dyDescent="0.25">
      <c r="A340">
        <v>2007</v>
      </c>
      <c r="B340">
        <v>11</v>
      </c>
      <c r="C340">
        <v>5</v>
      </c>
      <c r="D340" t="str">
        <f t="shared" si="5"/>
        <v>DC200711-sem5</v>
      </c>
      <c r="E340" s="1">
        <v>39410</v>
      </c>
      <c r="F340" s="1">
        <v>39416</v>
      </c>
      <c r="G340" s="5">
        <v>170.27</v>
      </c>
      <c r="H340" s="5">
        <v>169.65</v>
      </c>
      <c r="I340" s="5">
        <v>169.19</v>
      </c>
      <c r="J340" s="5">
        <v>170.27</v>
      </c>
      <c r="K340" s="5">
        <v>169.65</v>
      </c>
      <c r="L340" s="5">
        <v>169.19</v>
      </c>
      <c r="M340" s="5">
        <v>170.27</v>
      </c>
      <c r="N340" s="5">
        <v>169.65</v>
      </c>
      <c r="O340" s="5">
        <v>169.19</v>
      </c>
      <c r="P340" s="5">
        <v>170.27</v>
      </c>
      <c r="Q340" s="5">
        <v>169.65</v>
      </c>
      <c r="R340" s="5">
        <v>169.19</v>
      </c>
    </row>
    <row r="341" spans="1:18" x14ac:dyDescent="0.25">
      <c r="A341">
        <v>2007</v>
      </c>
      <c r="B341">
        <v>12</v>
      </c>
      <c r="C341">
        <v>1</v>
      </c>
      <c r="D341" t="str">
        <f t="shared" si="5"/>
        <v>DC200712-sem1</v>
      </c>
      <c r="E341" s="1">
        <v>39417</v>
      </c>
      <c r="F341" s="1">
        <v>39423</v>
      </c>
      <c r="G341" s="5">
        <v>189.25</v>
      </c>
      <c r="H341" s="5">
        <v>189.25</v>
      </c>
      <c r="I341" s="5">
        <v>189.25</v>
      </c>
      <c r="J341" s="5">
        <v>189.25</v>
      </c>
      <c r="K341" s="5">
        <v>189.25</v>
      </c>
      <c r="L341" s="5">
        <v>189.25</v>
      </c>
      <c r="M341" s="5">
        <v>189.25</v>
      </c>
      <c r="N341" s="5">
        <v>189.25</v>
      </c>
      <c r="O341" s="5">
        <v>189.25</v>
      </c>
      <c r="P341" s="5">
        <v>189.25</v>
      </c>
      <c r="Q341" s="5">
        <v>189.25</v>
      </c>
      <c r="R341" s="5">
        <v>189.25</v>
      </c>
    </row>
    <row r="342" spans="1:18" x14ac:dyDescent="0.25">
      <c r="A342">
        <v>2007</v>
      </c>
      <c r="B342">
        <v>12</v>
      </c>
      <c r="C342">
        <v>2</v>
      </c>
      <c r="D342" t="str">
        <f t="shared" si="5"/>
        <v>DC200712-sem2</v>
      </c>
      <c r="E342" s="1">
        <v>39424</v>
      </c>
      <c r="F342" s="1">
        <v>39430</v>
      </c>
      <c r="G342" s="5">
        <v>212.2</v>
      </c>
      <c r="H342" s="5">
        <v>212.2</v>
      </c>
      <c r="I342" s="5">
        <v>212.2</v>
      </c>
      <c r="J342" s="5">
        <v>212.2</v>
      </c>
      <c r="K342" s="5">
        <v>212.2</v>
      </c>
      <c r="L342" s="5">
        <v>212.2</v>
      </c>
      <c r="M342" s="5">
        <v>212.2</v>
      </c>
      <c r="N342" s="5">
        <v>212.2</v>
      </c>
      <c r="O342" s="5">
        <v>212.2</v>
      </c>
      <c r="P342" s="5">
        <v>212.2</v>
      </c>
      <c r="Q342" s="5">
        <v>212.2</v>
      </c>
      <c r="R342" s="5">
        <v>212.2</v>
      </c>
    </row>
    <row r="343" spans="1:18" x14ac:dyDescent="0.25">
      <c r="A343">
        <v>2007</v>
      </c>
      <c r="B343">
        <v>12</v>
      </c>
      <c r="C343">
        <v>3</v>
      </c>
      <c r="D343" t="str">
        <f t="shared" si="5"/>
        <v>DC200712-sem3</v>
      </c>
      <c r="E343" s="1">
        <v>39431</v>
      </c>
      <c r="F343" s="1">
        <v>39437</v>
      </c>
      <c r="G343" s="5">
        <v>200.48</v>
      </c>
      <c r="H343" s="5">
        <v>200.48</v>
      </c>
      <c r="I343" s="5">
        <v>200.48</v>
      </c>
      <c r="J343" s="5">
        <v>200.48</v>
      </c>
      <c r="K343" s="5">
        <v>200.48</v>
      </c>
      <c r="L343" s="5">
        <v>200.48</v>
      </c>
      <c r="M343" s="5">
        <v>200.48</v>
      </c>
      <c r="N343" s="5">
        <v>200.48</v>
      </c>
      <c r="O343" s="5">
        <v>200.48</v>
      </c>
      <c r="P343" s="5">
        <v>200.48</v>
      </c>
      <c r="Q343" s="5">
        <v>200.48</v>
      </c>
      <c r="R343" s="5">
        <v>200.48</v>
      </c>
    </row>
    <row r="344" spans="1:18" x14ac:dyDescent="0.25">
      <c r="A344">
        <v>2007</v>
      </c>
      <c r="B344">
        <v>12</v>
      </c>
      <c r="C344">
        <v>4</v>
      </c>
      <c r="D344" t="str">
        <f t="shared" si="5"/>
        <v>DC200712-sem4</v>
      </c>
      <c r="E344" s="1">
        <v>39438</v>
      </c>
      <c r="F344" s="1">
        <v>39444</v>
      </c>
      <c r="G344" s="5">
        <v>199.76</v>
      </c>
      <c r="H344" s="5">
        <v>199.76</v>
      </c>
      <c r="I344" s="5">
        <v>199.76</v>
      </c>
      <c r="J344" s="5">
        <v>199.76</v>
      </c>
      <c r="K344" s="5">
        <v>199.76</v>
      </c>
      <c r="L344" s="5">
        <v>199.76</v>
      </c>
      <c r="M344" s="5">
        <v>199.76</v>
      </c>
      <c r="N344" s="5">
        <v>199.76</v>
      </c>
      <c r="O344" s="5">
        <v>199.76</v>
      </c>
      <c r="P344" s="5">
        <v>199.76</v>
      </c>
      <c r="Q344" s="5">
        <v>199.76</v>
      </c>
      <c r="R344" s="5">
        <v>199.76</v>
      </c>
    </row>
    <row r="345" spans="1:18" x14ac:dyDescent="0.25">
      <c r="A345">
        <v>2008</v>
      </c>
      <c r="B345">
        <v>1</v>
      </c>
      <c r="C345">
        <v>1</v>
      </c>
      <c r="D345" t="str">
        <f t="shared" si="5"/>
        <v>DC200801-sem1</v>
      </c>
      <c r="E345" s="1">
        <v>39445</v>
      </c>
      <c r="F345" s="1">
        <v>39451</v>
      </c>
      <c r="G345" s="5">
        <v>247.01</v>
      </c>
      <c r="H345" s="5">
        <v>247.01</v>
      </c>
      <c r="I345" s="5">
        <v>247.01</v>
      </c>
      <c r="J345" s="5">
        <v>247.01</v>
      </c>
      <c r="K345" s="5">
        <v>247.01</v>
      </c>
      <c r="L345" s="5">
        <v>247.01</v>
      </c>
      <c r="M345" s="5">
        <v>247.01</v>
      </c>
      <c r="N345" s="5">
        <v>247.01</v>
      </c>
      <c r="O345" s="5">
        <v>247.01</v>
      </c>
      <c r="P345" s="5">
        <v>247.01</v>
      </c>
      <c r="Q345" s="5">
        <v>247.01</v>
      </c>
      <c r="R345" s="5">
        <v>247.01</v>
      </c>
    </row>
    <row r="346" spans="1:18" x14ac:dyDescent="0.25">
      <c r="A346">
        <v>2008</v>
      </c>
      <c r="B346">
        <v>1</v>
      </c>
      <c r="C346">
        <v>2</v>
      </c>
      <c r="D346" t="str">
        <f t="shared" si="5"/>
        <v>DC200801-sem2</v>
      </c>
      <c r="E346" s="1">
        <v>39452</v>
      </c>
      <c r="F346" s="1">
        <v>39458</v>
      </c>
      <c r="G346" s="5">
        <v>475.53</v>
      </c>
      <c r="H346" s="5">
        <v>473.3</v>
      </c>
      <c r="I346" s="5">
        <v>472.21</v>
      </c>
      <c r="J346" s="5">
        <v>475.53</v>
      </c>
      <c r="K346" s="5">
        <v>473.3</v>
      </c>
      <c r="L346" s="5">
        <v>472.21</v>
      </c>
      <c r="M346" s="5">
        <v>475.53</v>
      </c>
      <c r="N346" s="5">
        <v>473.3</v>
      </c>
      <c r="O346" s="5">
        <v>472.21</v>
      </c>
      <c r="P346" s="5">
        <v>475.53</v>
      </c>
      <c r="Q346" s="5">
        <v>473.3</v>
      </c>
      <c r="R346" s="5">
        <v>472.21</v>
      </c>
    </row>
    <row r="347" spans="1:18" x14ac:dyDescent="0.25">
      <c r="A347">
        <v>2008</v>
      </c>
      <c r="B347">
        <v>1</v>
      </c>
      <c r="C347">
        <v>3</v>
      </c>
      <c r="D347" t="str">
        <f t="shared" si="5"/>
        <v>DC200801-sem3</v>
      </c>
      <c r="E347" s="1">
        <v>39459</v>
      </c>
      <c r="F347" s="1">
        <v>39465</v>
      </c>
      <c r="G347" s="5">
        <v>569.59</v>
      </c>
      <c r="H347" s="5">
        <v>569.59</v>
      </c>
      <c r="I347" s="5">
        <v>569.59</v>
      </c>
      <c r="J347" s="5">
        <v>569.59</v>
      </c>
      <c r="K347" s="5">
        <v>569.59</v>
      </c>
      <c r="L347" s="5">
        <v>569.59</v>
      </c>
      <c r="M347" s="5">
        <v>569.59</v>
      </c>
      <c r="N347" s="5">
        <v>569.59</v>
      </c>
      <c r="O347" s="5">
        <v>569.59</v>
      </c>
      <c r="P347" s="5">
        <v>569.59</v>
      </c>
      <c r="Q347" s="5">
        <v>569.59</v>
      </c>
      <c r="R347" s="5">
        <v>569.59</v>
      </c>
    </row>
    <row r="348" spans="1:18" x14ac:dyDescent="0.25">
      <c r="A348" s="2">
        <v>2008</v>
      </c>
      <c r="B348" s="2">
        <v>1</v>
      </c>
      <c r="C348" s="2">
        <v>4</v>
      </c>
      <c r="D348" t="str">
        <f t="shared" si="5"/>
        <v>DC200801-sem4</v>
      </c>
      <c r="E348" s="3">
        <v>39466</v>
      </c>
      <c r="F348" s="3">
        <v>39472</v>
      </c>
      <c r="G348" s="6">
        <v>569.59</v>
      </c>
      <c r="H348" s="6">
        <v>569.59</v>
      </c>
      <c r="I348" s="6">
        <v>569.59</v>
      </c>
      <c r="J348" s="6">
        <v>569.59</v>
      </c>
      <c r="K348" s="6">
        <v>569.59</v>
      </c>
      <c r="L348" s="6">
        <v>569.59</v>
      </c>
      <c r="M348" s="6">
        <v>548.14</v>
      </c>
      <c r="N348" s="6">
        <v>548.14</v>
      </c>
      <c r="O348" s="6">
        <v>548.14</v>
      </c>
      <c r="P348" s="6">
        <v>569.59</v>
      </c>
      <c r="Q348" s="6">
        <v>569.59</v>
      </c>
      <c r="R348" s="6">
        <v>569.59</v>
      </c>
    </row>
    <row r="349" spans="1:18" x14ac:dyDescent="0.25">
      <c r="A349" s="2">
        <v>2008</v>
      </c>
      <c r="B349" s="2">
        <v>2</v>
      </c>
      <c r="C349" s="2">
        <v>1</v>
      </c>
      <c r="D349" t="str">
        <f t="shared" si="5"/>
        <v>DC200802-sem1</v>
      </c>
      <c r="E349" s="3">
        <v>39473</v>
      </c>
      <c r="F349" s="3">
        <v>39479</v>
      </c>
      <c r="G349" s="6">
        <v>550.28</v>
      </c>
      <c r="H349" s="6">
        <v>550.28</v>
      </c>
      <c r="I349" s="6">
        <v>550.28</v>
      </c>
      <c r="J349" s="6">
        <v>550.28</v>
      </c>
      <c r="K349" s="6">
        <v>550.28</v>
      </c>
      <c r="L349" s="6">
        <v>550.28</v>
      </c>
      <c r="M349" s="6">
        <v>550.28</v>
      </c>
      <c r="N349" s="6">
        <v>550.28</v>
      </c>
      <c r="O349" s="6">
        <v>550.28</v>
      </c>
      <c r="P349" s="6">
        <v>550.28</v>
      </c>
      <c r="Q349" s="6">
        <v>550.28</v>
      </c>
      <c r="R349" s="6">
        <v>550.28</v>
      </c>
    </row>
    <row r="350" spans="1:18" x14ac:dyDescent="0.25">
      <c r="A350" s="2">
        <v>2008</v>
      </c>
      <c r="B350" s="2">
        <v>2</v>
      </c>
      <c r="C350" s="2">
        <v>2</v>
      </c>
      <c r="D350" t="str">
        <f t="shared" si="5"/>
        <v>DC200802-sem2</v>
      </c>
      <c r="E350" s="3">
        <v>39480</v>
      </c>
      <c r="F350" s="3">
        <v>39486</v>
      </c>
      <c r="G350" s="6">
        <v>256.05</v>
      </c>
      <c r="H350" s="6">
        <v>255.93</v>
      </c>
      <c r="I350" s="6">
        <v>253.32</v>
      </c>
      <c r="J350" s="6">
        <v>256.05</v>
      </c>
      <c r="K350" s="6">
        <v>255.93</v>
      </c>
      <c r="L350" s="6">
        <v>253.32</v>
      </c>
      <c r="M350" s="6">
        <v>256.05</v>
      </c>
      <c r="N350" s="6">
        <v>256.05</v>
      </c>
      <c r="O350" s="6">
        <v>256.05</v>
      </c>
      <c r="P350" s="6">
        <v>256.05</v>
      </c>
      <c r="Q350" s="6">
        <v>256.05</v>
      </c>
      <c r="R350" s="6">
        <v>253.32</v>
      </c>
    </row>
    <row r="351" spans="1:18" x14ac:dyDescent="0.25">
      <c r="A351" s="2">
        <v>2008</v>
      </c>
      <c r="B351" s="2">
        <v>2</v>
      </c>
      <c r="C351" s="2">
        <v>3</v>
      </c>
      <c r="D351" t="str">
        <f t="shared" si="5"/>
        <v>DC200802-sem3</v>
      </c>
      <c r="E351" s="3">
        <v>39487</v>
      </c>
      <c r="F351" s="3">
        <v>39493</v>
      </c>
      <c r="G351" s="6">
        <v>124.75</v>
      </c>
      <c r="H351" s="6">
        <v>122.93</v>
      </c>
      <c r="I351" s="6">
        <v>122.33</v>
      </c>
      <c r="J351" s="6">
        <v>124.75</v>
      </c>
      <c r="K351" s="6">
        <v>124.75</v>
      </c>
      <c r="L351" s="6">
        <v>122.33</v>
      </c>
      <c r="M351" s="6">
        <v>126.3</v>
      </c>
      <c r="N351" s="6">
        <v>126.3</v>
      </c>
      <c r="O351" s="6">
        <v>126.3</v>
      </c>
      <c r="P351" s="6">
        <v>124.75</v>
      </c>
      <c r="Q351" s="6">
        <v>122.93</v>
      </c>
      <c r="R351" s="6">
        <v>122.33</v>
      </c>
    </row>
    <row r="352" spans="1:18" x14ac:dyDescent="0.25">
      <c r="A352" s="2">
        <v>2008</v>
      </c>
      <c r="B352" s="2">
        <v>2</v>
      </c>
      <c r="C352" s="2">
        <v>4</v>
      </c>
      <c r="D352" t="str">
        <f t="shared" si="5"/>
        <v>DC200802-sem4</v>
      </c>
      <c r="E352" s="3">
        <v>39494</v>
      </c>
      <c r="F352" s="3">
        <v>39500</v>
      </c>
      <c r="G352" s="6">
        <v>163.44999999999999</v>
      </c>
      <c r="H352" s="6">
        <v>163.44999999999999</v>
      </c>
      <c r="I352" s="6">
        <v>155.84</v>
      </c>
      <c r="J352" s="6">
        <v>163.44999999999999</v>
      </c>
      <c r="K352" s="6">
        <v>163.44999999999999</v>
      </c>
      <c r="L352" s="6">
        <v>155.84</v>
      </c>
      <c r="M352" s="6">
        <v>180.33</v>
      </c>
      <c r="N352" s="6">
        <v>180.33</v>
      </c>
      <c r="O352" s="6">
        <v>180.33</v>
      </c>
      <c r="P352" s="6">
        <v>163.44999999999999</v>
      </c>
      <c r="Q352" s="6">
        <v>163.44999999999999</v>
      </c>
      <c r="R352" s="6">
        <v>155.84</v>
      </c>
    </row>
    <row r="353" spans="1:18" x14ac:dyDescent="0.25">
      <c r="A353" s="2">
        <v>2008</v>
      </c>
      <c r="B353" s="2">
        <v>2</v>
      </c>
      <c r="C353" s="2">
        <v>5</v>
      </c>
      <c r="D353" t="str">
        <f t="shared" si="5"/>
        <v>DC200802-sem5</v>
      </c>
      <c r="E353" s="3">
        <v>39501</v>
      </c>
      <c r="F353" s="3">
        <v>39507</v>
      </c>
      <c r="G353" s="6">
        <v>217.48</v>
      </c>
      <c r="H353" s="6">
        <v>216.94</v>
      </c>
      <c r="I353" s="6">
        <v>207.36</v>
      </c>
      <c r="J353" s="6">
        <v>217.48</v>
      </c>
      <c r="K353" s="6">
        <v>216.94</v>
      </c>
      <c r="L353" s="6">
        <v>207.36</v>
      </c>
      <c r="M353" s="6">
        <v>247.02</v>
      </c>
      <c r="N353" s="6">
        <v>247.02</v>
      </c>
      <c r="O353" s="6">
        <v>247.02</v>
      </c>
      <c r="P353" s="6">
        <v>217.48</v>
      </c>
      <c r="Q353" s="6">
        <v>216.94</v>
      </c>
      <c r="R353" s="6">
        <v>207.36</v>
      </c>
    </row>
    <row r="354" spans="1:18" x14ac:dyDescent="0.25">
      <c r="A354">
        <v>2008</v>
      </c>
      <c r="B354">
        <v>3</v>
      </c>
      <c r="C354">
        <v>1</v>
      </c>
      <c r="D354" t="str">
        <f t="shared" si="5"/>
        <v>DC200803-sem1</v>
      </c>
      <c r="E354" s="1">
        <v>39508</v>
      </c>
      <c r="F354" s="1">
        <v>39514</v>
      </c>
      <c r="G354" s="5">
        <v>140.13999999999999</v>
      </c>
      <c r="H354" s="5">
        <v>140.01</v>
      </c>
      <c r="I354" s="5">
        <v>137.22999999999999</v>
      </c>
      <c r="J354" s="5">
        <v>140.13999999999999</v>
      </c>
      <c r="K354" s="5">
        <v>140.08000000000001</v>
      </c>
      <c r="L354" s="5">
        <v>137.22999999999999</v>
      </c>
      <c r="M354" s="5">
        <v>137.69</v>
      </c>
      <c r="N354" s="5">
        <v>135.19</v>
      </c>
      <c r="O354" s="5">
        <v>135.19</v>
      </c>
      <c r="P354" s="5">
        <v>137.69</v>
      </c>
      <c r="Q354" s="5">
        <v>135.19</v>
      </c>
      <c r="R354" s="5">
        <v>135.19</v>
      </c>
    </row>
    <row r="355" spans="1:18" x14ac:dyDescent="0.25">
      <c r="A355">
        <v>2008</v>
      </c>
      <c r="B355">
        <v>3</v>
      </c>
      <c r="C355">
        <v>2</v>
      </c>
      <c r="D355" t="str">
        <f t="shared" si="5"/>
        <v>DC200803-sem2</v>
      </c>
      <c r="E355" s="1">
        <v>39515</v>
      </c>
      <c r="F355" s="1">
        <v>39521</v>
      </c>
      <c r="G355" s="5">
        <v>135.26</v>
      </c>
      <c r="H355" s="5">
        <v>135.26</v>
      </c>
      <c r="I355" s="5">
        <v>129.66</v>
      </c>
      <c r="J355" s="5">
        <v>135.26</v>
      </c>
      <c r="K355" s="5">
        <v>135.26</v>
      </c>
      <c r="L355" s="5">
        <v>129.66</v>
      </c>
      <c r="M355" s="5">
        <v>127.15</v>
      </c>
      <c r="N355" s="5">
        <v>125.78</v>
      </c>
      <c r="O355" s="5">
        <v>124.86</v>
      </c>
      <c r="P355" s="5">
        <v>127.15</v>
      </c>
      <c r="Q355" s="5">
        <v>125.78</v>
      </c>
      <c r="R355" s="5">
        <v>124.86</v>
      </c>
    </row>
    <row r="356" spans="1:18" x14ac:dyDescent="0.25">
      <c r="A356">
        <v>2008</v>
      </c>
      <c r="B356">
        <v>3</v>
      </c>
      <c r="C356">
        <v>3</v>
      </c>
      <c r="D356" t="str">
        <f t="shared" si="5"/>
        <v>DC200803-sem3</v>
      </c>
      <c r="E356" s="1">
        <v>39522</v>
      </c>
      <c r="F356" s="1">
        <v>39528</v>
      </c>
      <c r="G356" s="5">
        <v>179.91</v>
      </c>
      <c r="H356" s="5">
        <v>174.41</v>
      </c>
      <c r="I356" s="5">
        <v>173.39</v>
      </c>
      <c r="J356" s="5">
        <v>179.91</v>
      </c>
      <c r="K356" s="5">
        <v>178.54</v>
      </c>
      <c r="L356" s="5">
        <v>173.39</v>
      </c>
      <c r="M356" s="5">
        <v>168.71</v>
      </c>
      <c r="N356" s="5">
        <v>167.6</v>
      </c>
      <c r="O356" s="5">
        <v>167.6</v>
      </c>
      <c r="P356" s="5">
        <v>168.71</v>
      </c>
      <c r="Q356" s="5">
        <v>167.6</v>
      </c>
      <c r="R356" s="5">
        <v>167.6</v>
      </c>
    </row>
    <row r="357" spans="1:18" x14ac:dyDescent="0.25">
      <c r="A357">
        <v>2008</v>
      </c>
      <c r="B357">
        <v>3</v>
      </c>
      <c r="C357">
        <v>4</v>
      </c>
      <c r="D357" t="str">
        <f t="shared" si="5"/>
        <v>DC200803-sem4</v>
      </c>
      <c r="E357" s="1">
        <v>39529</v>
      </c>
      <c r="F357" s="1">
        <v>39535</v>
      </c>
      <c r="G357" s="5">
        <v>80.48</v>
      </c>
      <c r="H357" s="5">
        <v>71.08</v>
      </c>
      <c r="I357" s="5">
        <v>63.99</v>
      </c>
      <c r="J357" s="5">
        <v>85.52</v>
      </c>
      <c r="K357" s="5">
        <v>85.52</v>
      </c>
      <c r="L357" s="5">
        <v>63.99</v>
      </c>
      <c r="M357" s="5">
        <v>80.48</v>
      </c>
      <c r="N357" s="5">
        <v>80.48</v>
      </c>
      <c r="O357" s="5">
        <v>80.48</v>
      </c>
      <c r="P357" s="5">
        <v>80.48</v>
      </c>
      <c r="Q357" s="5">
        <v>71.08</v>
      </c>
      <c r="R357" s="5">
        <v>63.99</v>
      </c>
    </row>
    <row r="358" spans="1:18" x14ac:dyDescent="0.25">
      <c r="A358">
        <v>2008</v>
      </c>
      <c r="B358">
        <v>4</v>
      </c>
      <c r="C358">
        <v>1</v>
      </c>
      <c r="D358" t="str">
        <f t="shared" si="5"/>
        <v>DC200804-sem1</v>
      </c>
      <c r="E358" s="1">
        <v>39536</v>
      </c>
      <c r="F358" s="1">
        <v>39542</v>
      </c>
      <c r="G358" s="5">
        <v>88.21</v>
      </c>
      <c r="H358" s="5">
        <v>85.23</v>
      </c>
      <c r="I358" s="5">
        <v>82.27</v>
      </c>
      <c r="J358" s="5">
        <v>93.36</v>
      </c>
      <c r="K358" s="5">
        <v>93.36</v>
      </c>
      <c r="L358" s="5">
        <v>82.27</v>
      </c>
      <c r="M358" s="5">
        <v>85.8</v>
      </c>
      <c r="N358" s="5">
        <v>85.23</v>
      </c>
      <c r="O358" s="5">
        <v>85.23</v>
      </c>
      <c r="P358" s="5">
        <v>85.8</v>
      </c>
      <c r="Q358" s="5">
        <v>85.23</v>
      </c>
      <c r="R358" s="5">
        <v>15.47</v>
      </c>
    </row>
    <row r="359" spans="1:18" x14ac:dyDescent="0.25">
      <c r="A359">
        <v>2008</v>
      </c>
      <c r="B359">
        <v>4</v>
      </c>
      <c r="C359">
        <v>2</v>
      </c>
      <c r="D359" t="str">
        <f t="shared" si="5"/>
        <v>DC200804-sem2</v>
      </c>
      <c r="E359" s="1">
        <v>39543</v>
      </c>
      <c r="F359" s="1">
        <v>39549</v>
      </c>
      <c r="G359" s="5">
        <v>121.95</v>
      </c>
      <c r="H359" s="5">
        <v>117.14</v>
      </c>
      <c r="I359" s="5">
        <v>115.62</v>
      </c>
      <c r="J359" s="5">
        <v>124.13</v>
      </c>
      <c r="K359" s="5">
        <v>124.13</v>
      </c>
      <c r="L359" s="5">
        <v>115.62</v>
      </c>
      <c r="M359" s="5">
        <v>113.25</v>
      </c>
      <c r="N359" s="5">
        <v>113.25</v>
      </c>
      <c r="O359" s="5">
        <v>113.25</v>
      </c>
      <c r="P359" s="5">
        <v>113.25</v>
      </c>
      <c r="Q359" s="5">
        <v>113.25</v>
      </c>
      <c r="R359" s="5">
        <v>15.47</v>
      </c>
    </row>
    <row r="360" spans="1:18" x14ac:dyDescent="0.25">
      <c r="A360">
        <v>2008</v>
      </c>
      <c r="B360">
        <v>4</v>
      </c>
      <c r="C360">
        <v>3</v>
      </c>
      <c r="D360" t="str">
        <f t="shared" si="5"/>
        <v>DC200804-sem3</v>
      </c>
      <c r="E360" s="1">
        <v>39550</v>
      </c>
      <c r="F360" s="1">
        <v>39556</v>
      </c>
      <c r="G360" s="5">
        <v>70.010000000000005</v>
      </c>
      <c r="H360" s="5">
        <v>68.180000000000007</v>
      </c>
      <c r="I360" s="5">
        <v>68.180000000000007</v>
      </c>
      <c r="J360" s="5">
        <v>74.010000000000005</v>
      </c>
      <c r="K360" s="5">
        <v>74.010000000000005</v>
      </c>
      <c r="L360" s="5">
        <v>68.180000000000007</v>
      </c>
      <c r="M360" s="5">
        <v>70.010000000000005</v>
      </c>
      <c r="N360" s="5">
        <v>68.180000000000007</v>
      </c>
      <c r="O360" s="5">
        <v>68.180000000000007</v>
      </c>
      <c r="P360" s="5">
        <v>70.010000000000005</v>
      </c>
      <c r="Q360" s="5">
        <v>68.180000000000007</v>
      </c>
      <c r="R360" s="5">
        <v>15.47</v>
      </c>
    </row>
    <row r="361" spans="1:18" x14ac:dyDescent="0.25">
      <c r="A361">
        <v>2008</v>
      </c>
      <c r="B361">
        <v>4</v>
      </c>
      <c r="C361">
        <v>4</v>
      </c>
      <c r="D361" t="str">
        <f t="shared" si="5"/>
        <v>DC200804-sem4</v>
      </c>
      <c r="E361" s="1">
        <v>39557</v>
      </c>
      <c r="F361" s="1">
        <v>39563</v>
      </c>
      <c r="G361" s="5">
        <v>48.74</v>
      </c>
      <c r="H361" s="5">
        <v>43.94</v>
      </c>
      <c r="I361" s="5">
        <v>15.47</v>
      </c>
      <c r="J361" s="5">
        <v>51.6</v>
      </c>
      <c r="K361" s="5">
        <v>51.08</v>
      </c>
      <c r="L361" s="5">
        <v>15.47</v>
      </c>
      <c r="M361" s="5">
        <v>48.74</v>
      </c>
      <c r="N361" s="5">
        <v>48.24</v>
      </c>
      <c r="O361" s="5">
        <v>48.24</v>
      </c>
      <c r="P361" s="5">
        <v>48.74</v>
      </c>
      <c r="Q361" s="5">
        <v>43.94</v>
      </c>
      <c r="R361" s="5">
        <v>15.47</v>
      </c>
    </row>
    <row r="362" spans="1:18" x14ac:dyDescent="0.25">
      <c r="A362">
        <v>2008</v>
      </c>
      <c r="B362">
        <v>5</v>
      </c>
      <c r="C362">
        <v>1</v>
      </c>
      <c r="D362" t="str">
        <f t="shared" si="5"/>
        <v>DC200805-sem1</v>
      </c>
      <c r="E362" s="1">
        <v>39564</v>
      </c>
      <c r="F362" s="1">
        <v>39570</v>
      </c>
      <c r="G362" s="5">
        <v>42.11</v>
      </c>
      <c r="H362" s="5">
        <v>41.33</v>
      </c>
      <c r="I362" s="5">
        <v>39.19</v>
      </c>
      <c r="J362" s="5">
        <v>42.11</v>
      </c>
      <c r="K362" s="5">
        <v>41.38</v>
      </c>
      <c r="L362" s="5">
        <v>39.19</v>
      </c>
      <c r="M362" s="5">
        <v>42.11</v>
      </c>
      <c r="N362" s="5">
        <v>41.33</v>
      </c>
      <c r="O362" s="5">
        <v>41.33</v>
      </c>
      <c r="P362" s="5">
        <v>42.11</v>
      </c>
      <c r="Q362" s="5">
        <v>41.33</v>
      </c>
      <c r="R362" s="5">
        <v>15.47</v>
      </c>
    </row>
    <row r="363" spans="1:18" x14ac:dyDescent="0.25">
      <c r="A363">
        <v>2008</v>
      </c>
      <c r="B363">
        <v>5</v>
      </c>
      <c r="C363">
        <v>2</v>
      </c>
      <c r="D363" t="str">
        <f t="shared" si="5"/>
        <v>DC200805-sem2</v>
      </c>
      <c r="E363" s="1">
        <v>39571</v>
      </c>
      <c r="F363" s="1">
        <v>39577</v>
      </c>
      <c r="G363" s="5">
        <v>29.66</v>
      </c>
      <c r="H363" s="5">
        <v>29.32</v>
      </c>
      <c r="I363" s="5">
        <v>28.48</v>
      </c>
      <c r="J363" s="5">
        <v>29.66</v>
      </c>
      <c r="K363" s="5">
        <v>29.32</v>
      </c>
      <c r="L363" s="5">
        <v>28.48</v>
      </c>
      <c r="M363" s="5">
        <v>29.66</v>
      </c>
      <c r="N363" s="5">
        <v>29.32</v>
      </c>
      <c r="O363" s="5">
        <v>29.32</v>
      </c>
      <c r="P363" s="5">
        <v>29.66</v>
      </c>
      <c r="Q363" s="5">
        <v>29.32</v>
      </c>
      <c r="R363" s="5">
        <v>15.47</v>
      </c>
    </row>
    <row r="364" spans="1:18" x14ac:dyDescent="0.25">
      <c r="A364">
        <v>2008</v>
      </c>
      <c r="B364">
        <v>5</v>
      </c>
      <c r="C364">
        <v>3</v>
      </c>
      <c r="D364" t="str">
        <f t="shared" si="5"/>
        <v>DC200805-sem3</v>
      </c>
      <c r="E364" s="1">
        <v>39578</v>
      </c>
      <c r="F364" s="1">
        <v>39584</v>
      </c>
      <c r="G364" s="5">
        <v>15.47</v>
      </c>
      <c r="H364" s="5">
        <v>15.47</v>
      </c>
      <c r="I364" s="5">
        <v>15.47</v>
      </c>
      <c r="J364" s="5">
        <v>15.47</v>
      </c>
      <c r="K364" s="5">
        <v>15.47</v>
      </c>
      <c r="L364" s="5">
        <v>15.47</v>
      </c>
      <c r="M364" s="5">
        <v>15.47</v>
      </c>
      <c r="N364" s="5">
        <v>15.47</v>
      </c>
      <c r="O364" s="5">
        <v>15.47</v>
      </c>
      <c r="P364" s="5">
        <v>15.47</v>
      </c>
      <c r="Q364" s="5">
        <v>15.47</v>
      </c>
      <c r="R364" s="5">
        <v>15.47</v>
      </c>
    </row>
    <row r="365" spans="1:18" x14ac:dyDescent="0.25">
      <c r="A365">
        <v>2008</v>
      </c>
      <c r="B365">
        <v>5</v>
      </c>
      <c r="C365">
        <v>4</v>
      </c>
      <c r="D365" t="str">
        <f t="shared" si="5"/>
        <v>DC200805-sem4</v>
      </c>
      <c r="E365" s="1">
        <v>39585</v>
      </c>
      <c r="F365" s="1">
        <v>39591</v>
      </c>
      <c r="G365" s="5">
        <v>34.770000000000003</v>
      </c>
      <c r="H365" s="5">
        <v>34.29</v>
      </c>
      <c r="I365" s="5">
        <v>33.450000000000003</v>
      </c>
      <c r="J365" s="5">
        <v>34.770000000000003</v>
      </c>
      <c r="K365" s="5">
        <v>34.29</v>
      </c>
      <c r="L365" s="5">
        <v>33.450000000000003</v>
      </c>
      <c r="M365" s="5">
        <v>34.770000000000003</v>
      </c>
      <c r="N365" s="5">
        <v>34.29</v>
      </c>
      <c r="O365" s="5">
        <v>34.29</v>
      </c>
      <c r="P365" s="5">
        <v>34.770000000000003</v>
      </c>
      <c r="Q365" s="5">
        <v>34.29</v>
      </c>
      <c r="R365" s="5">
        <v>15.47</v>
      </c>
    </row>
    <row r="366" spans="1:18" x14ac:dyDescent="0.25">
      <c r="A366">
        <v>2008</v>
      </c>
      <c r="B366">
        <v>5</v>
      </c>
      <c r="C366">
        <v>5</v>
      </c>
      <c r="D366" t="str">
        <f t="shared" si="5"/>
        <v>DC200805-sem5</v>
      </c>
      <c r="E366" s="1">
        <v>39592</v>
      </c>
      <c r="F366" s="1">
        <v>39598</v>
      </c>
      <c r="G366" s="5">
        <v>51.62</v>
      </c>
      <c r="H366" s="5">
        <v>51.11</v>
      </c>
      <c r="I366" s="5">
        <v>49.34</v>
      </c>
      <c r="J366" s="5">
        <v>51.62</v>
      </c>
      <c r="K366" s="5">
        <v>51.11</v>
      </c>
      <c r="L366" s="5">
        <v>49.34</v>
      </c>
      <c r="M366" s="5">
        <v>51.62</v>
      </c>
      <c r="N366" s="5">
        <v>51.11</v>
      </c>
      <c r="O366" s="5">
        <v>51.11</v>
      </c>
      <c r="P366" s="5">
        <v>51.62</v>
      </c>
      <c r="Q366" s="5">
        <v>51.11</v>
      </c>
      <c r="R366" s="5">
        <v>15.47</v>
      </c>
    </row>
    <row r="367" spans="1:18" x14ac:dyDescent="0.25">
      <c r="A367">
        <v>2008</v>
      </c>
      <c r="B367">
        <v>6</v>
      </c>
      <c r="C367">
        <v>1</v>
      </c>
      <c r="D367" t="str">
        <f t="shared" si="5"/>
        <v>DC200806-sem1</v>
      </c>
      <c r="E367" s="1">
        <v>39599</v>
      </c>
      <c r="F367" s="1">
        <v>39605</v>
      </c>
      <c r="G367" s="5">
        <v>76.89</v>
      </c>
      <c r="H367" s="5">
        <v>76.12</v>
      </c>
      <c r="I367" s="5">
        <v>76.12</v>
      </c>
      <c r="J367" s="5">
        <v>76.89</v>
      </c>
      <c r="K367" s="5">
        <v>76.12</v>
      </c>
      <c r="L367" s="5">
        <v>76.12</v>
      </c>
      <c r="M367" s="5">
        <v>72.61</v>
      </c>
      <c r="N367" s="5">
        <v>71.849999999999994</v>
      </c>
      <c r="O367" s="5">
        <v>71.849999999999994</v>
      </c>
      <c r="P367" s="5">
        <v>72.61</v>
      </c>
      <c r="Q367" s="5">
        <v>71.849999999999994</v>
      </c>
      <c r="R367" s="5">
        <v>71.849999999999994</v>
      </c>
    </row>
    <row r="368" spans="1:18" x14ac:dyDescent="0.25">
      <c r="A368">
        <v>2008</v>
      </c>
      <c r="B368">
        <v>6</v>
      </c>
      <c r="C368">
        <v>2</v>
      </c>
      <c r="D368" t="str">
        <f t="shared" si="5"/>
        <v>DC200806-sem2</v>
      </c>
      <c r="E368" s="1">
        <v>39606</v>
      </c>
      <c r="F368" s="1">
        <v>39612</v>
      </c>
      <c r="G368" s="5">
        <v>77.02</v>
      </c>
      <c r="H368" s="5">
        <v>76.16</v>
      </c>
      <c r="I368" s="5">
        <v>76.03</v>
      </c>
      <c r="J368" s="5">
        <v>77.02</v>
      </c>
      <c r="K368" s="5">
        <v>76.16</v>
      </c>
      <c r="L368" s="5">
        <v>76.03</v>
      </c>
      <c r="M368" s="5">
        <v>77.02</v>
      </c>
      <c r="N368" s="5">
        <v>76.16</v>
      </c>
      <c r="O368" s="5">
        <v>76.03</v>
      </c>
      <c r="P368" s="5">
        <v>77.02</v>
      </c>
      <c r="Q368" s="5">
        <v>76.16</v>
      </c>
      <c r="R368" s="5">
        <v>76.03</v>
      </c>
    </row>
    <row r="369" spans="1:18" x14ac:dyDescent="0.25">
      <c r="A369">
        <v>2008</v>
      </c>
      <c r="B369">
        <v>6</v>
      </c>
      <c r="C369">
        <v>3</v>
      </c>
      <c r="D369" t="str">
        <f t="shared" si="5"/>
        <v>DC200806-sem3</v>
      </c>
      <c r="E369" s="1">
        <v>39613</v>
      </c>
      <c r="F369" s="1">
        <v>39619</v>
      </c>
      <c r="G369" s="5">
        <v>71.739999999999995</v>
      </c>
      <c r="H369" s="5">
        <v>70.5</v>
      </c>
      <c r="I369" s="5">
        <v>69.88</v>
      </c>
      <c r="J369" s="5">
        <v>71.739999999999995</v>
      </c>
      <c r="K369" s="5">
        <v>70.5</v>
      </c>
      <c r="L369" s="5">
        <v>69.88</v>
      </c>
      <c r="M369" s="5">
        <v>71.739999999999995</v>
      </c>
      <c r="N369" s="5">
        <v>70.510000000000005</v>
      </c>
      <c r="O369" s="5">
        <v>69.88</v>
      </c>
      <c r="P369" s="5">
        <v>71.739999999999995</v>
      </c>
      <c r="Q369" s="5">
        <v>70.510000000000005</v>
      </c>
      <c r="R369" s="5">
        <v>69.88</v>
      </c>
    </row>
    <row r="370" spans="1:18" x14ac:dyDescent="0.25">
      <c r="A370">
        <v>2008</v>
      </c>
      <c r="B370">
        <v>6</v>
      </c>
      <c r="C370">
        <v>4</v>
      </c>
      <c r="D370" t="str">
        <f t="shared" si="5"/>
        <v>DC200806-sem4</v>
      </c>
      <c r="E370" s="1">
        <v>39620</v>
      </c>
      <c r="F370" s="1">
        <v>39626</v>
      </c>
      <c r="G370" s="5">
        <v>77.73</v>
      </c>
      <c r="H370" s="5">
        <v>76.72</v>
      </c>
      <c r="I370" s="5">
        <v>76.72</v>
      </c>
      <c r="J370" s="5">
        <v>77.73</v>
      </c>
      <c r="K370" s="5">
        <v>76.72</v>
      </c>
      <c r="L370" s="5">
        <v>76.72</v>
      </c>
      <c r="M370" s="5">
        <v>77.73</v>
      </c>
      <c r="N370" s="5">
        <v>76.72</v>
      </c>
      <c r="O370" s="5">
        <v>76.72</v>
      </c>
      <c r="P370" s="5">
        <v>77.73</v>
      </c>
      <c r="Q370" s="5">
        <v>76.72</v>
      </c>
      <c r="R370" s="5">
        <v>76.72</v>
      </c>
    </row>
    <row r="371" spans="1:18" x14ac:dyDescent="0.25">
      <c r="A371">
        <v>2008</v>
      </c>
      <c r="B371">
        <v>7</v>
      </c>
      <c r="C371">
        <v>1</v>
      </c>
      <c r="D371" t="str">
        <f t="shared" si="5"/>
        <v>DC200807-sem1</v>
      </c>
      <c r="E371" s="1">
        <v>39627</v>
      </c>
      <c r="F371" s="1">
        <v>39633</v>
      </c>
      <c r="G371" s="5">
        <v>89.07</v>
      </c>
      <c r="H371" s="5">
        <v>88.11</v>
      </c>
      <c r="I371" s="5">
        <v>88.11</v>
      </c>
      <c r="J371" s="5">
        <v>89.07</v>
      </c>
      <c r="K371" s="5">
        <v>88.11</v>
      </c>
      <c r="L371" s="5">
        <v>88.11</v>
      </c>
      <c r="M371" s="5">
        <v>89.07</v>
      </c>
      <c r="N371" s="5">
        <v>88.11</v>
      </c>
      <c r="O371" s="5">
        <v>88.11</v>
      </c>
      <c r="P371" s="5">
        <v>89.07</v>
      </c>
      <c r="Q371" s="5">
        <v>88.11</v>
      </c>
      <c r="R371" s="5">
        <v>88.11</v>
      </c>
    </row>
    <row r="372" spans="1:18" x14ac:dyDescent="0.25">
      <c r="A372">
        <v>2008</v>
      </c>
      <c r="B372">
        <v>7</v>
      </c>
      <c r="C372">
        <v>2</v>
      </c>
      <c r="D372" t="str">
        <f t="shared" si="5"/>
        <v>DC200807-sem2</v>
      </c>
      <c r="E372" s="1">
        <v>39634</v>
      </c>
      <c r="F372" s="1">
        <v>39640</v>
      </c>
      <c r="G372" s="5">
        <v>91.79</v>
      </c>
      <c r="H372" s="5">
        <v>91.32</v>
      </c>
      <c r="I372" s="5">
        <v>91.32</v>
      </c>
      <c r="J372" s="5">
        <v>91.79</v>
      </c>
      <c r="K372" s="5">
        <v>91.32</v>
      </c>
      <c r="L372" s="5">
        <v>91.32</v>
      </c>
      <c r="M372" s="5">
        <v>91.79</v>
      </c>
      <c r="N372" s="5">
        <v>91.32</v>
      </c>
      <c r="O372" s="5">
        <v>91.32</v>
      </c>
      <c r="P372" s="5">
        <v>91.79</v>
      </c>
      <c r="Q372" s="5">
        <v>91.32</v>
      </c>
      <c r="R372" s="5">
        <v>91.32</v>
      </c>
    </row>
    <row r="373" spans="1:18" x14ac:dyDescent="0.25">
      <c r="A373">
        <v>2008</v>
      </c>
      <c r="B373">
        <v>7</v>
      </c>
      <c r="C373">
        <v>3</v>
      </c>
      <c r="D373" t="str">
        <f t="shared" si="5"/>
        <v>DC200807-sem3</v>
      </c>
      <c r="E373" s="1">
        <v>39641</v>
      </c>
      <c r="F373" s="1">
        <v>39647</v>
      </c>
      <c r="G373" s="5">
        <v>103.31</v>
      </c>
      <c r="H373" s="5">
        <v>102.58</v>
      </c>
      <c r="I373" s="5">
        <v>102.53</v>
      </c>
      <c r="J373" s="5">
        <v>103.31</v>
      </c>
      <c r="K373" s="5">
        <v>102.58</v>
      </c>
      <c r="L373" s="5">
        <v>102.53</v>
      </c>
      <c r="M373" s="5">
        <v>103.31</v>
      </c>
      <c r="N373" s="5">
        <v>102.58</v>
      </c>
      <c r="O373" s="5">
        <v>102.53</v>
      </c>
      <c r="P373" s="5">
        <v>103.31</v>
      </c>
      <c r="Q373" s="5">
        <v>102.58</v>
      </c>
      <c r="R373" s="5">
        <v>102.53</v>
      </c>
    </row>
    <row r="374" spans="1:18" x14ac:dyDescent="0.25">
      <c r="A374">
        <v>2008</v>
      </c>
      <c r="B374">
        <v>7</v>
      </c>
      <c r="C374">
        <v>4</v>
      </c>
      <c r="D374" t="str">
        <f t="shared" si="5"/>
        <v>DC200807-sem4</v>
      </c>
      <c r="E374" s="1">
        <v>39648</v>
      </c>
      <c r="F374" s="1">
        <v>39654</v>
      </c>
      <c r="G374" s="5">
        <v>111.69</v>
      </c>
      <c r="H374" s="5">
        <v>110.23</v>
      </c>
      <c r="I374" s="5">
        <v>110.12</v>
      </c>
      <c r="J374" s="5">
        <v>111.69</v>
      </c>
      <c r="K374" s="5">
        <v>110.23</v>
      </c>
      <c r="L374" s="5">
        <v>110.12</v>
      </c>
      <c r="M374" s="5">
        <v>111.69</v>
      </c>
      <c r="N374" s="5">
        <v>110.23</v>
      </c>
      <c r="O374" s="5">
        <v>110.12</v>
      </c>
      <c r="P374" s="5">
        <v>111.69</v>
      </c>
      <c r="Q374" s="5">
        <v>110.23</v>
      </c>
      <c r="R374" s="5">
        <v>110.12</v>
      </c>
    </row>
    <row r="375" spans="1:18" x14ac:dyDescent="0.25">
      <c r="A375">
        <v>2008</v>
      </c>
      <c r="B375">
        <v>8</v>
      </c>
      <c r="C375">
        <v>1</v>
      </c>
      <c r="D375" t="str">
        <f t="shared" si="5"/>
        <v>DC200808-sem1</v>
      </c>
      <c r="E375" s="1">
        <v>39655</v>
      </c>
      <c r="F375" s="1">
        <v>39661</v>
      </c>
      <c r="G375" s="5">
        <v>147.75</v>
      </c>
      <c r="H375" s="5">
        <v>146.66</v>
      </c>
      <c r="I375" s="5">
        <v>145.35</v>
      </c>
      <c r="J375" s="5">
        <v>147.75</v>
      </c>
      <c r="K375" s="5">
        <v>146.66</v>
      </c>
      <c r="L375" s="5">
        <v>145.35</v>
      </c>
      <c r="M375" s="5">
        <v>147.75</v>
      </c>
      <c r="N375" s="5">
        <v>146.66</v>
      </c>
      <c r="O375" s="5">
        <v>145.35</v>
      </c>
      <c r="P375" s="5">
        <v>147.75</v>
      </c>
      <c r="Q375" s="5">
        <v>146.66</v>
      </c>
      <c r="R375" s="5">
        <v>145.35</v>
      </c>
    </row>
    <row r="376" spans="1:18" x14ac:dyDescent="0.25">
      <c r="A376">
        <v>2008</v>
      </c>
      <c r="B376">
        <v>8</v>
      </c>
      <c r="C376">
        <v>2</v>
      </c>
      <c r="D376" t="str">
        <f t="shared" si="5"/>
        <v>DC200808-sem2</v>
      </c>
      <c r="E376" s="1">
        <v>39662</v>
      </c>
      <c r="F376" s="1">
        <v>39668</v>
      </c>
      <c r="G376" s="5">
        <v>140.43</v>
      </c>
      <c r="H376" s="5">
        <v>138.63999999999999</v>
      </c>
      <c r="I376" s="5">
        <v>138.25</v>
      </c>
      <c r="J376" s="5">
        <v>140.43</v>
      </c>
      <c r="K376" s="5">
        <v>138.63999999999999</v>
      </c>
      <c r="L376" s="5">
        <v>138.25</v>
      </c>
      <c r="M376" s="5">
        <v>140.43</v>
      </c>
      <c r="N376" s="5">
        <v>138.63999999999999</v>
      </c>
      <c r="O376" s="5">
        <v>138.25</v>
      </c>
      <c r="P376" s="5">
        <v>140.43</v>
      </c>
      <c r="Q376" s="5">
        <v>138.63999999999999</v>
      </c>
      <c r="R376" s="5">
        <v>138.25</v>
      </c>
    </row>
    <row r="377" spans="1:18" x14ac:dyDescent="0.25">
      <c r="A377">
        <v>2008</v>
      </c>
      <c r="B377">
        <v>8</v>
      </c>
      <c r="C377">
        <v>3</v>
      </c>
      <c r="D377" t="str">
        <f t="shared" si="5"/>
        <v>DC200808-sem3</v>
      </c>
      <c r="E377" s="1">
        <v>39669</v>
      </c>
      <c r="F377" s="1">
        <v>39675</v>
      </c>
      <c r="G377" s="5">
        <v>121.54</v>
      </c>
      <c r="H377" s="5">
        <v>117.87</v>
      </c>
      <c r="I377" s="5">
        <v>117.49</v>
      </c>
      <c r="J377" s="5">
        <v>121.54</v>
      </c>
      <c r="K377" s="5">
        <v>117.87</v>
      </c>
      <c r="L377" s="5">
        <v>117.49</v>
      </c>
      <c r="M377" s="5">
        <v>121.54</v>
      </c>
      <c r="N377" s="5">
        <v>117.87</v>
      </c>
      <c r="O377" s="5">
        <v>117.49</v>
      </c>
      <c r="P377" s="5">
        <v>121.54</v>
      </c>
      <c r="Q377" s="5">
        <v>117.87</v>
      </c>
      <c r="R377" s="5">
        <v>117.49</v>
      </c>
    </row>
    <row r="378" spans="1:18" x14ac:dyDescent="0.25">
      <c r="A378">
        <v>2008</v>
      </c>
      <c r="B378">
        <v>8</v>
      </c>
      <c r="C378">
        <v>4</v>
      </c>
      <c r="D378" t="str">
        <f t="shared" si="5"/>
        <v>DC200808-sem4</v>
      </c>
      <c r="E378" s="1">
        <v>39676</v>
      </c>
      <c r="F378" s="1">
        <v>39682</v>
      </c>
      <c r="G378" s="5">
        <v>81.489999999999995</v>
      </c>
      <c r="H378" s="5">
        <v>80.13</v>
      </c>
      <c r="I378" s="5">
        <v>77.05</v>
      </c>
      <c r="J378" s="5">
        <v>77.05</v>
      </c>
      <c r="K378" s="5">
        <v>77.05</v>
      </c>
      <c r="L378" s="5">
        <v>77.05</v>
      </c>
      <c r="M378" s="5">
        <v>81.489999999999995</v>
      </c>
      <c r="N378" s="5">
        <v>80.13</v>
      </c>
      <c r="O378" s="5">
        <v>77.05</v>
      </c>
      <c r="P378" s="5">
        <v>81.489999999999995</v>
      </c>
      <c r="Q378" s="5">
        <v>80.13</v>
      </c>
      <c r="R378" s="5">
        <v>77.05</v>
      </c>
    </row>
    <row r="379" spans="1:18" x14ac:dyDescent="0.25">
      <c r="A379">
        <v>2008</v>
      </c>
      <c r="B379">
        <v>8</v>
      </c>
      <c r="C379">
        <v>5</v>
      </c>
      <c r="D379" t="str">
        <f t="shared" si="5"/>
        <v>DC200808-sem5</v>
      </c>
      <c r="E379" s="1">
        <v>39683</v>
      </c>
      <c r="F379" s="1">
        <v>39689</v>
      </c>
      <c r="G379" s="5">
        <v>74.290000000000006</v>
      </c>
      <c r="H379" s="5">
        <v>72.650000000000006</v>
      </c>
      <c r="I379" s="5">
        <v>69.38</v>
      </c>
      <c r="J379" s="5">
        <v>66.790000000000006</v>
      </c>
      <c r="K379" s="5">
        <v>66.790000000000006</v>
      </c>
      <c r="L379" s="5">
        <v>66.790000000000006</v>
      </c>
      <c r="M379" s="5">
        <v>74.06</v>
      </c>
      <c r="N379" s="5">
        <v>72.650000000000006</v>
      </c>
      <c r="O379" s="5">
        <v>69.38</v>
      </c>
      <c r="P379" s="5">
        <v>74.290000000000006</v>
      </c>
      <c r="Q379" s="5">
        <v>72.650000000000006</v>
      </c>
      <c r="R379" s="5">
        <v>69.38</v>
      </c>
    </row>
    <row r="380" spans="1:18" x14ac:dyDescent="0.25">
      <c r="A380">
        <v>2008</v>
      </c>
      <c r="B380">
        <v>9</v>
      </c>
      <c r="C380">
        <v>1</v>
      </c>
      <c r="D380" t="str">
        <f t="shared" si="5"/>
        <v>DC200809-sem1</v>
      </c>
      <c r="E380" s="1">
        <v>39690</v>
      </c>
      <c r="F380" s="1">
        <v>39696</v>
      </c>
      <c r="G380" s="5">
        <v>96.02</v>
      </c>
      <c r="H380" s="5">
        <v>93.25</v>
      </c>
      <c r="I380" s="5">
        <v>93.25</v>
      </c>
      <c r="J380" s="5">
        <v>93.25</v>
      </c>
      <c r="K380" s="5">
        <v>93.25</v>
      </c>
      <c r="L380" s="5">
        <v>93.25</v>
      </c>
      <c r="M380" s="5">
        <v>96.02</v>
      </c>
      <c r="N380" s="5">
        <v>93.25</v>
      </c>
      <c r="O380" s="5">
        <v>93.25</v>
      </c>
      <c r="P380" s="5">
        <v>96.02</v>
      </c>
      <c r="Q380" s="5">
        <v>93.25</v>
      </c>
      <c r="R380" s="5">
        <v>93.25</v>
      </c>
    </row>
    <row r="381" spans="1:18" x14ac:dyDescent="0.25">
      <c r="A381">
        <v>2008</v>
      </c>
      <c r="B381">
        <v>9</v>
      </c>
      <c r="C381">
        <v>2</v>
      </c>
      <c r="D381" t="str">
        <f t="shared" si="5"/>
        <v>DC200809-sem2</v>
      </c>
      <c r="E381" s="1">
        <v>39697</v>
      </c>
      <c r="F381" s="1">
        <v>39703</v>
      </c>
      <c r="G381" s="5">
        <v>109.04</v>
      </c>
      <c r="H381" s="5">
        <v>105.83</v>
      </c>
      <c r="I381" s="5">
        <v>105.62</v>
      </c>
      <c r="J381" s="5">
        <v>106.66</v>
      </c>
      <c r="K381" s="5">
        <v>105.83</v>
      </c>
      <c r="L381" s="5">
        <v>105.62</v>
      </c>
      <c r="M381" s="5">
        <v>108.86</v>
      </c>
      <c r="N381" s="5">
        <v>105.83</v>
      </c>
      <c r="O381" s="5">
        <v>105.62</v>
      </c>
      <c r="P381" s="5">
        <v>109.04</v>
      </c>
      <c r="Q381" s="5">
        <v>105.83</v>
      </c>
      <c r="R381" s="5">
        <v>105.62</v>
      </c>
    </row>
    <row r="382" spans="1:18" x14ac:dyDescent="0.25">
      <c r="A382">
        <v>2008</v>
      </c>
      <c r="B382">
        <v>9</v>
      </c>
      <c r="C382">
        <v>3</v>
      </c>
      <c r="D382" t="str">
        <f t="shared" si="5"/>
        <v>DC200809-sem3</v>
      </c>
      <c r="E382" s="1">
        <v>39704</v>
      </c>
      <c r="F382" s="1">
        <v>39710</v>
      </c>
      <c r="G382" s="5">
        <v>122.97</v>
      </c>
      <c r="H382" s="5">
        <v>119.06</v>
      </c>
      <c r="I382" s="5">
        <v>118.04</v>
      </c>
      <c r="J382" s="5">
        <v>118.04</v>
      </c>
      <c r="K382" s="5">
        <v>118.04</v>
      </c>
      <c r="L382" s="5">
        <v>118.04</v>
      </c>
      <c r="M382" s="5">
        <v>122.48</v>
      </c>
      <c r="N382" s="5">
        <v>119.06</v>
      </c>
      <c r="O382" s="5">
        <v>118.04</v>
      </c>
      <c r="P382" s="5">
        <v>122.97</v>
      </c>
      <c r="Q382" s="5">
        <v>119.06</v>
      </c>
      <c r="R382" s="5">
        <v>118.04</v>
      </c>
    </row>
    <row r="383" spans="1:18" x14ac:dyDescent="0.25">
      <c r="A383">
        <v>2008</v>
      </c>
      <c r="B383">
        <v>9</v>
      </c>
      <c r="C383">
        <v>4</v>
      </c>
      <c r="D383" t="str">
        <f t="shared" si="5"/>
        <v>DC200809-sem4</v>
      </c>
      <c r="E383" s="1">
        <v>39711</v>
      </c>
      <c r="F383" s="1">
        <v>39717</v>
      </c>
      <c r="G383" s="5">
        <v>126.19</v>
      </c>
      <c r="H383" s="5">
        <v>121.19</v>
      </c>
      <c r="I383" s="5">
        <v>120.97</v>
      </c>
      <c r="J383" s="5">
        <v>120.97</v>
      </c>
      <c r="K383" s="5">
        <v>120.97</v>
      </c>
      <c r="L383" s="5">
        <v>120.97</v>
      </c>
      <c r="M383" s="5">
        <v>126.19</v>
      </c>
      <c r="N383" s="5">
        <v>121.19</v>
      </c>
      <c r="O383" s="5">
        <v>120.97</v>
      </c>
      <c r="P383" s="5">
        <v>126.19</v>
      </c>
      <c r="Q383" s="5">
        <v>121.19</v>
      </c>
      <c r="R383" s="5">
        <v>120.97</v>
      </c>
    </row>
    <row r="384" spans="1:18" x14ac:dyDescent="0.25">
      <c r="A384">
        <v>2008</v>
      </c>
      <c r="B384">
        <v>10</v>
      </c>
      <c r="C384">
        <v>1</v>
      </c>
      <c r="D384" t="str">
        <f t="shared" si="5"/>
        <v>DC200810-sem1</v>
      </c>
      <c r="E384" s="1">
        <v>39718</v>
      </c>
      <c r="F384" s="1">
        <v>39724</v>
      </c>
      <c r="G384" s="5">
        <v>101.8</v>
      </c>
      <c r="H384" s="5">
        <v>100.39</v>
      </c>
      <c r="I384" s="5">
        <v>100.23</v>
      </c>
      <c r="J384" s="5">
        <v>101.8</v>
      </c>
      <c r="K384" s="5">
        <v>100.39</v>
      </c>
      <c r="L384" s="5">
        <v>100.23</v>
      </c>
      <c r="M384" s="5">
        <v>101.8</v>
      </c>
      <c r="N384" s="5">
        <v>100.39</v>
      </c>
      <c r="O384" s="5">
        <v>100.23</v>
      </c>
      <c r="P384" s="5">
        <v>101.8</v>
      </c>
      <c r="Q384" s="5">
        <v>100.39</v>
      </c>
      <c r="R384" s="5">
        <v>100.23</v>
      </c>
    </row>
    <row r="385" spans="1:18" x14ac:dyDescent="0.25">
      <c r="A385">
        <v>2008</v>
      </c>
      <c r="B385">
        <v>10</v>
      </c>
      <c r="C385">
        <v>2</v>
      </c>
      <c r="D385" t="str">
        <f t="shared" si="5"/>
        <v>DC200810-sem2</v>
      </c>
      <c r="E385" s="1">
        <v>39725</v>
      </c>
      <c r="F385" s="1">
        <v>39731</v>
      </c>
      <c r="G385" s="5">
        <v>98.98</v>
      </c>
      <c r="H385" s="5">
        <v>98.1</v>
      </c>
      <c r="I385" s="5">
        <v>97.53</v>
      </c>
      <c r="J385" s="5">
        <v>98.98</v>
      </c>
      <c r="K385" s="5">
        <v>98.1</v>
      </c>
      <c r="L385" s="5">
        <v>97.53</v>
      </c>
      <c r="M385" s="5">
        <v>98.98</v>
      </c>
      <c r="N385" s="5">
        <v>98.1</v>
      </c>
      <c r="O385" s="5">
        <v>97.53</v>
      </c>
      <c r="P385" s="5">
        <v>98.98</v>
      </c>
      <c r="Q385" s="5">
        <v>98.1</v>
      </c>
      <c r="R385" s="5">
        <v>97.53</v>
      </c>
    </row>
    <row r="386" spans="1:18" x14ac:dyDescent="0.25">
      <c r="A386">
        <v>2008</v>
      </c>
      <c r="B386">
        <v>10</v>
      </c>
      <c r="C386">
        <v>3</v>
      </c>
      <c r="D386" t="str">
        <f t="shared" si="5"/>
        <v>DC200810-sem3</v>
      </c>
      <c r="E386" s="1">
        <v>39732</v>
      </c>
      <c r="F386" s="1">
        <v>39738</v>
      </c>
      <c r="G386" s="5">
        <v>76.91</v>
      </c>
      <c r="H386" s="5">
        <v>75.98</v>
      </c>
      <c r="I386" s="5">
        <v>74.28</v>
      </c>
      <c r="J386" s="5">
        <v>74.510000000000005</v>
      </c>
      <c r="K386" s="5">
        <v>74.34</v>
      </c>
      <c r="L386" s="5">
        <v>74.28</v>
      </c>
      <c r="M386" s="5">
        <v>76.91</v>
      </c>
      <c r="N386" s="5">
        <v>75.98</v>
      </c>
      <c r="O386" s="5">
        <v>74.28</v>
      </c>
      <c r="P386" s="5">
        <v>76.91</v>
      </c>
      <c r="Q386" s="5">
        <v>75.98</v>
      </c>
      <c r="R386" s="5">
        <v>74.28</v>
      </c>
    </row>
    <row r="387" spans="1:18" x14ac:dyDescent="0.25">
      <c r="A387">
        <v>2008</v>
      </c>
      <c r="B387">
        <v>10</v>
      </c>
      <c r="C387">
        <v>4</v>
      </c>
      <c r="D387" t="str">
        <f t="shared" ref="D387:D450" si="6">"DC"&amp;A387&amp;REPT("0",2-LEN(B387))&amp;B387&amp;"-sem"&amp;C387</f>
        <v>DC200810-sem4</v>
      </c>
      <c r="E387" s="1">
        <v>39739</v>
      </c>
      <c r="F387" s="1">
        <v>39745</v>
      </c>
      <c r="G387" s="5">
        <v>94.07</v>
      </c>
      <c r="H387" s="5">
        <v>93.23</v>
      </c>
      <c r="I387" s="5">
        <v>93.2</v>
      </c>
      <c r="J387" s="5">
        <v>94.07</v>
      </c>
      <c r="K387" s="5">
        <v>93.23</v>
      </c>
      <c r="L387" s="5">
        <v>93.2</v>
      </c>
      <c r="M387" s="5">
        <v>94.07</v>
      </c>
      <c r="N387" s="5">
        <v>93.23</v>
      </c>
      <c r="O387" s="5">
        <v>93.2</v>
      </c>
      <c r="P387" s="5">
        <v>94.07</v>
      </c>
      <c r="Q387" s="5">
        <v>93.23</v>
      </c>
      <c r="R387" s="5">
        <v>93.2</v>
      </c>
    </row>
    <row r="388" spans="1:18" x14ac:dyDescent="0.25">
      <c r="A388">
        <v>2008</v>
      </c>
      <c r="B388">
        <v>10</v>
      </c>
      <c r="C388">
        <v>5</v>
      </c>
      <c r="D388" t="str">
        <f t="shared" si="6"/>
        <v>DC200810-sem5</v>
      </c>
      <c r="E388" s="1">
        <v>39746</v>
      </c>
      <c r="F388" s="1">
        <v>39752</v>
      </c>
      <c r="G388" s="5">
        <v>100.76</v>
      </c>
      <c r="H388" s="5">
        <v>99.75</v>
      </c>
      <c r="I388" s="5">
        <v>98.71</v>
      </c>
      <c r="J388" s="5">
        <v>100.76</v>
      </c>
      <c r="K388" s="5">
        <v>99.75</v>
      </c>
      <c r="L388" s="5">
        <v>98.71</v>
      </c>
      <c r="M388" s="5">
        <v>100.76</v>
      </c>
      <c r="N388" s="5">
        <v>99.75</v>
      </c>
      <c r="O388" s="5">
        <v>98.71</v>
      </c>
      <c r="P388" s="5">
        <v>100.76</v>
      </c>
      <c r="Q388" s="5">
        <v>99.75</v>
      </c>
      <c r="R388" s="5">
        <v>98.71</v>
      </c>
    </row>
    <row r="389" spans="1:18" x14ac:dyDescent="0.25">
      <c r="A389">
        <v>2008</v>
      </c>
      <c r="B389">
        <v>11</v>
      </c>
      <c r="C389">
        <v>1</v>
      </c>
      <c r="D389" t="str">
        <f t="shared" si="6"/>
        <v>DC200811-sem1</v>
      </c>
      <c r="E389" s="1">
        <v>39753</v>
      </c>
      <c r="F389" s="1">
        <v>39759</v>
      </c>
      <c r="G389" s="5">
        <v>105.42</v>
      </c>
      <c r="H389" s="5">
        <v>105.39</v>
      </c>
      <c r="I389" s="5">
        <v>103.73</v>
      </c>
      <c r="J389" s="5">
        <v>103.73</v>
      </c>
      <c r="K389" s="5">
        <v>103.73</v>
      </c>
      <c r="L389" s="5">
        <v>36.409999999999997</v>
      </c>
      <c r="M389" s="5">
        <v>105.42</v>
      </c>
      <c r="N389" s="5">
        <v>105.39</v>
      </c>
      <c r="O389" s="5">
        <v>103.73</v>
      </c>
      <c r="P389" s="5">
        <v>105.42</v>
      </c>
      <c r="Q389" s="5">
        <v>105.39</v>
      </c>
      <c r="R389" s="5">
        <v>103.73</v>
      </c>
    </row>
    <row r="390" spans="1:18" x14ac:dyDescent="0.25">
      <c r="A390">
        <v>2008</v>
      </c>
      <c r="B390">
        <v>11</v>
      </c>
      <c r="C390">
        <v>2</v>
      </c>
      <c r="D390" t="str">
        <f t="shared" si="6"/>
        <v>DC200811-sem2</v>
      </c>
      <c r="E390" s="1">
        <v>39760</v>
      </c>
      <c r="F390" s="1">
        <v>39766</v>
      </c>
      <c r="G390" s="5">
        <v>120.15</v>
      </c>
      <c r="H390" s="5">
        <v>120.12</v>
      </c>
      <c r="I390" s="5">
        <v>115.28</v>
      </c>
      <c r="J390" s="5">
        <v>104.08</v>
      </c>
      <c r="K390" s="5">
        <v>104.08</v>
      </c>
      <c r="L390" s="5">
        <v>104.08</v>
      </c>
      <c r="M390" s="5">
        <v>120.15</v>
      </c>
      <c r="N390" s="5">
        <v>120.12</v>
      </c>
      <c r="O390" s="5">
        <v>115.28</v>
      </c>
      <c r="P390" s="5">
        <v>120.15</v>
      </c>
      <c r="Q390" s="5">
        <v>120.12</v>
      </c>
      <c r="R390" s="5">
        <v>115.28</v>
      </c>
    </row>
    <row r="391" spans="1:18" x14ac:dyDescent="0.25">
      <c r="A391">
        <v>2008</v>
      </c>
      <c r="B391">
        <v>11</v>
      </c>
      <c r="C391">
        <v>3</v>
      </c>
      <c r="D391" t="str">
        <f t="shared" si="6"/>
        <v>DC200811-sem3</v>
      </c>
      <c r="E391" s="1">
        <v>39767</v>
      </c>
      <c r="F391" s="1">
        <v>39773</v>
      </c>
      <c r="G391" s="5">
        <v>113.85</v>
      </c>
      <c r="H391" s="5">
        <v>113.75</v>
      </c>
      <c r="I391" s="5">
        <v>109.17</v>
      </c>
      <c r="J391" s="5">
        <v>100.21</v>
      </c>
      <c r="K391" s="5">
        <v>100.21</v>
      </c>
      <c r="L391" s="5">
        <v>100.21</v>
      </c>
      <c r="M391" s="5">
        <v>113.85</v>
      </c>
      <c r="N391" s="5">
        <v>113.75</v>
      </c>
      <c r="O391" s="5">
        <v>109.17</v>
      </c>
      <c r="P391" s="5">
        <v>113.85</v>
      </c>
      <c r="Q391" s="5">
        <v>113.75</v>
      </c>
      <c r="R391" s="5">
        <v>109.17</v>
      </c>
    </row>
    <row r="392" spans="1:18" x14ac:dyDescent="0.25">
      <c r="A392">
        <v>2008</v>
      </c>
      <c r="B392">
        <v>11</v>
      </c>
      <c r="C392">
        <v>4</v>
      </c>
      <c r="D392" t="str">
        <f t="shared" si="6"/>
        <v>DC200811-sem4</v>
      </c>
      <c r="E392" s="1">
        <v>39774</v>
      </c>
      <c r="F392" s="1">
        <v>39780</v>
      </c>
      <c r="G392" s="5">
        <v>93.74</v>
      </c>
      <c r="H392" s="5">
        <v>93.6</v>
      </c>
      <c r="I392" s="5">
        <v>91.04</v>
      </c>
      <c r="J392" s="5">
        <v>91.04</v>
      </c>
      <c r="K392" s="5">
        <v>91.04</v>
      </c>
      <c r="L392" s="5">
        <v>91.04</v>
      </c>
      <c r="M392" s="5">
        <v>93.74</v>
      </c>
      <c r="N392" s="5">
        <v>93.6</v>
      </c>
      <c r="O392" s="5">
        <v>91.04</v>
      </c>
      <c r="P392" s="5">
        <v>93.74</v>
      </c>
      <c r="Q392" s="5">
        <v>93.6</v>
      </c>
      <c r="R392" s="5">
        <v>91.04</v>
      </c>
    </row>
    <row r="393" spans="1:18" x14ac:dyDescent="0.25">
      <c r="A393">
        <v>2008</v>
      </c>
      <c r="B393">
        <v>12</v>
      </c>
      <c r="C393">
        <v>1</v>
      </c>
      <c r="D393" t="str">
        <f t="shared" si="6"/>
        <v>DC200812-sem1</v>
      </c>
      <c r="E393" s="1">
        <v>39781</v>
      </c>
      <c r="F393" s="1">
        <v>39787</v>
      </c>
      <c r="G393" s="5">
        <v>97.08</v>
      </c>
      <c r="H393" s="5">
        <v>95.35</v>
      </c>
      <c r="I393" s="5">
        <v>95.35</v>
      </c>
      <c r="J393" s="5">
        <v>95.35</v>
      </c>
      <c r="K393" s="5">
        <v>95.35</v>
      </c>
      <c r="L393" s="5">
        <v>95.35</v>
      </c>
      <c r="M393" s="5">
        <v>97.08</v>
      </c>
      <c r="N393" s="5">
        <v>95.35</v>
      </c>
      <c r="O393" s="5">
        <v>95.35</v>
      </c>
      <c r="P393" s="5">
        <v>97.08</v>
      </c>
      <c r="Q393" s="5">
        <v>95.35</v>
      </c>
      <c r="R393" s="5">
        <v>95.35</v>
      </c>
    </row>
    <row r="394" spans="1:18" x14ac:dyDescent="0.25">
      <c r="A394">
        <v>2008</v>
      </c>
      <c r="B394">
        <v>12</v>
      </c>
      <c r="C394">
        <v>2</v>
      </c>
      <c r="D394" t="str">
        <f t="shared" si="6"/>
        <v>DC200812-sem2</v>
      </c>
      <c r="E394" s="1">
        <v>39788</v>
      </c>
      <c r="F394" s="1">
        <v>39794</v>
      </c>
      <c r="G394" s="5">
        <v>103.56</v>
      </c>
      <c r="H394" s="5">
        <v>103.56</v>
      </c>
      <c r="I394" s="5">
        <v>103.42</v>
      </c>
      <c r="J394" s="5">
        <v>103.56</v>
      </c>
      <c r="K394" s="5">
        <v>103.56</v>
      </c>
      <c r="L394" s="5">
        <v>103.42</v>
      </c>
      <c r="M394" s="5">
        <v>103.56</v>
      </c>
      <c r="N394" s="5">
        <v>103.56</v>
      </c>
      <c r="O394" s="5">
        <v>103.42</v>
      </c>
      <c r="P394" s="5">
        <v>103.56</v>
      </c>
      <c r="Q394" s="5">
        <v>103.56</v>
      </c>
      <c r="R394" s="5">
        <v>103.42</v>
      </c>
    </row>
    <row r="395" spans="1:18" x14ac:dyDescent="0.25">
      <c r="A395">
        <v>2008</v>
      </c>
      <c r="B395">
        <v>12</v>
      </c>
      <c r="C395">
        <v>3</v>
      </c>
      <c r="D395" t="str">
        <f t="shared" si="6"/>
        <v>DC200812-sem3</v>
      </c>
      <c r="E395" s="1">
        <v>39795</v>
      </c>
      <c r="F395" s="1">
        <v>39801</v>
      </c>
      <c r="G395" s="5">
        <v>113.15</v>
      </c>
      <c r="H395" s="5">
        <v>113.15</v>
      </c>
      <c r="I395" s="5">
        <v>113.15</v>
      </c>
      <c r="J395" s="5">
        <v>113.15</v>
      </c>
      <c r="K395" s="5">
        <v>113.15</v>
      </c>
      <c r="L395" s="5">
        <v>113.15</v>
      </c>
      <c r="M395" s="5">
        <v>113.15</v>
      </c>
      <c r="N395" s="5">
        <v>113.15</v>
      </c>
      <c r="O395" s="5">
        <v>113.15</v>
      </c>
      <c r="P395" s="5">
        <v>113.15</v>
      </c>
      <c r="Q395" s="5">
        <v>113.15</v>
      </c>
      <c r="R395" s="5">
        <v>113.15</v>
      </c>
    </row>
    <row r="396" spans="1:18" x14ac:dyDescent="0.25">
      <c r="A396">
        <v>2008</v>
      </c>
      <c r="B396">
        <v>12</v>
      </c>
      <c r="C396">
        <v>4</v>
      </c>
      <c r="D396" t="str">
        <f t="shared" si="6"/>
        <v>DC200812-sem4</v>
      </c>
      <c r="E396" s="1">
        <v>39802</v>
      </c>
      <c r="F396" s="1">
        <v>39808</v>
      </c>
      <c r="G396" s="5">
        <v>91.74</v>
      </c>
      <c r="H396" s="5">
        <v>91.74</v>
      </c>
      <c r="I396" s="5">
        <v>91.34</v>
      </c>
      <c r="J396" s="5">
        <v>91.74</v>
      </c>
      <c r="K396" s="5">
        <v>91.74</v>
      </c>
      <c r="L396" s="5">
        <v>91.34</v>
      </c>
      <c r="M396" s="5">
        <v>91.74</v>
      </c>
      <c r="N396" s="5">
        <v>91.74</v>
      </c>
      <c r="O396" s="5">
        <v>91.34</v>
      </c>
      <c r="P396" s="5">
        <v>91.74</v>
      </c>
      <c r="Q396" s="5">
        <v>91.74</v>
      </c>
      <c r="R396" s="5">
        <v>91.34</v>
      </c>
    </row>
    <row r="397" spans="1:18" x14ac:dyDescent="0.25">
      <c r="A397">
        <v>2009</v>
      </c>
      <c r="B397">
        <v>1</v>
      </c>
      <c r="C397">
        <v>1</v>
      </c>
      <c r="D397" t="str">
        <f t="shared" si="6"/>
        <v>DC200901-sem1</v>
      </c>
      <c r="E397" s="1">
        <v>39809</v>
      </c>
      <c r="F397" s="1">
        <v>39815</v>
      </c>
      <c r="G397" s="5">
        <v>74.16</v>
      </c>
      <c r="H397" s="5">
        <v>74.099999999999994</v>
      </c>
      <c r="I397" s="5">
        <v>74.099999999999994</v>
      </c>
      <c r="J397" s="5">
        <v>74.16</v>
      </c>
      <c r="K397" s="5">
        <v>74.099999999999994</v>
      </c>
      <c r="L397" s="5">
        <v>74.099999999999994</v>
      </c>
      <c r="M397" s="5">
        <v>74.16</v>
      </c>
      <c r="N397" s="5">
        <v>74.099999999999994</v>
      </c>
      <c r="O397" s="5">
        <v>74.099999999999994</v>
      </c>
      <c r="P397" s="5">
        <v>74.16</v>
      </c>
      <c r="Q397" s="5">
        <v>74.099999999999994</v>
      </c>
      <c r="R397" s="5">
        <v>74.099999999999994</v>
      </c>
    </row>
    <row r="398" spans="1:18" x14ac:dyDescent="0.25">
      <c r="A398">
        <v>2009</v>
      </c>
      <c r="B398">
        <v>1</v>
      </c>
      <c r="C398">
        <v>2</v>
      </c>
      <c r="D398" t="str">
        <f t="shared" si="6"/>
        <v>DC200901-sem2</v>
      </c>
      <c r="E398" s="1">
        <v>39816</v>
      </c>
      <c r="F398" s="1">
        <v>39822</v>
      </c>
      <c r="G398" s="5">
        <v>28.13</v>
      </c>
      <c r="H398" s="5">
        <v>28.13</v>
      </c>
      <c r="I398" s="5">
        <v>28.13</v>
      </c>
      <c r="J398" s="5">
        <v>28.13</v>
      </c>
      <c r="K398" s="5">
        <v>28.13</v>
      </c>
      <c r="L398" s="5">
        <v>28.13</v>
      </c>
      <c r="M398" s="5">
        <v>26.95</v>
      </c>
      <c r="N398" s="5">
        <v>26.95</v>
      </c>
      <c r="O398" s="5">
        <v>25.86</v>
      </c>
      <c r="P398" s="5">
        <v>26.95</v>
      </c>
      <c r="Q398" s="5">
        <v>26.95</v>
      </c>
      <c r="R398" s="5">
        <v>25.86</v>
      </c>
    </row>
    <row r="399" spans="1:18" x14ac:dyDescent="0.25">
      <c r="A399">
        <v>2009</v>
      </c>
      <c r="B399">
        <v>1</v>
      </c>
      <c r="C399">
        <v>3</v>
      </c>
      <c r="D399" t="str">
        <f t="shared" si="6"/>
        <v>DC200901-sem3</v>
      </c>
      <c r="E399" s="1">
        <v>39823</v>
      </c>
      <c r="F399" s="1">
        <v>39829</v>
      </c>
      <c r="G399" s="5">
        <v>62.66</v>
      </c>
      <c r="H399" s="5">
        <v>62.66</v>
      </c>
      <c r="I399" s="5">
        <v>62.27</v>
      </c>
      <c r="J399" s="5">
        <v>62.66</v>
      </c>
      <c r="K399" s="5">
        <v>62.66</v>
      </c>
      <c r="L399" s="5">
        <v>62.27</v>
      </c>
      <c r="M399" s="5">
        <v>62.08</v>
      </c>
      <c r="N399" s="5">
        <v>61.21</v>
      </c>
      <c r="O399" s="5">
        <v>61.21</v>
      </c>
      <c r="P399" s="5">
        <v>62.08</v>
      </c>
      <c r="Q399" s="5">
        <v>61.21</v>
      </c>
      <c r="R399" s="5">
        <v>61.21</v>
      </c>
    </row>
    <row r="400" spans="1:18" x14ac:dyDescent="0.25">
      <c r="A400">
        <v>2009</v>
      </c>
      <c r="B400">
        <v>1</v>
      </c>
      <c r="C400">
        <v>4</v>
      </c>
      <c r="D400" t="str">
        <f t="shared" si="6"/>
        <v>DC200901-sem4</v>
      </c>
      <c r="E400" s="1">
        <v>39830</v>
      </c>
      <c r="F400" s="1">
        <v>39836</v>
      </c>
      <c r="G400" s="5">
        <v>140.66</v>
      </c>
      <c r="H400" s="5">
        <v>140.59</v>
      </c>
      <c r="I400" s="5">
        <v>137.52000000000001</v>
      </c>
      <c r="J400" s="5">
        <v>140.66</v>
      </c>
      <c r="K400" s="5">
        <v>140.59</v>
      </c>
      <c r="L400" s="5">
        <v>137.52000000000001</v>
      </c>
      <c r="M400" s="5">
        <v>125.44</v>
      </c>
      <c r="N400" s="5">
        <v>125.44</v>
      </c>
      <c r="O400" s="5">
        <v>125.44</v>
      </c>
      <c r="P400" s="5">
        <v>127.66</v>
      </c>
      <c r="Q400" s="5">
        <v>125.44</v>
      </c>
      <c r="R400" s="5">
        <v>125.44</v>
      </c>
    </row>
    <row r="401" spans="1:18" x14ac:dyDescent="0.25">
      <c r="A401">
        <v>2009</v>
      </c>
      <c r="B401">
        <v>1</v>
      </c>
      <c r="C401">
        <v>5</v>
      </c>
      <c r="D401" t="str">
        <f t="shared" si="6"/>
        <v>DC200901-sem5</v>
      </c>
      <c r="E401" s="1">
        <v>39837</v>
      </c>
      <c r="F401" s="1">
        <v>39843</v>
      </c>
      <c r="G401" s="5">
        <v>110.71</v>
      </c>
      <c r="H401" s="5">
        <v>110.54</v>
      </c>
      <c r="I401" s="5">
        <v>108.4</v>
      </c>
      <c r="J401" s="5">
        <v>110.71</v>
      </c>
      <c r="K401" s="5">
        <v>110.71</v>
      </c>
      <c r="L401" s="5">
        <v>108.4</v>
      </c>
      <c r="M401" s="5">
        <v>107.59</v>
      </c>
      <c r="N401" s="5">
        <v>107.59</v>
      </c>
      <c r="O401" s="5">
        <v>107.59</v>
      </c>
      <c r="P401" s="5">
        <v>107.59</v>
      </c>
      <c r="Q401" s="5">
        <v>107.59</v>
      </c>
      <c r="R401" s="5">
        <v>107.59</v>
      </c>
    </row>
    <row r="402" spans="1:18" x14ac:dyDescent="0.25">
      <c r="A402">
        <v>2009</v>
      </c>
      <c r="B402">
        <v>2</v>
      </c>
      <c r="C402">
        <v>1</v>
      </c>
      <c r="D402" t="str">
        <f t="shared" si="6"/>
        <v>DC200902-sem1</v>
      </c>
      <c r="E402" s="1">
        <v>39844</v>
      </c>
      <c r="F402" s="1">
        <v>39850</v>
      </c>
      <c r="G402" s="5">
        <v>65.400000000000006</v>
      </c>
      <c r="H402" s="5">
        <v>65.400000000000006</v>
      </c>
      <c r="I402" s="5">
        <v>65.150000000000006</v>
      </c>
      <c r="J402" s="5">
        <v>65.400000000000006</v>
      </c>
      <c r="K402" s="5">
        <v>65.400000000000006</v>
      </c>
      <c r="L402" s="5">
        <v>65.150000000000006</v>
      </c>
      <c r="M402" s="5">
        <v>16.309999999999999</v>
      </c>
      <c r="N402" s="5">
        <v>16.309999999999999</v>
      </c>
      <c r="O402" s="5">
        <v>16.309999999999999</v>
      </c>
      <c r="P402" s="5">
        <v>16.309999999999999</v>
      </c>
      <c r="Q402" s="5">
        <v>16.309999999999999</v>
      </c>
      <c r="R402" s="5">
        <v>16.309999999999999</v>
      </c>
    </row>
    <row r="403" spans="1:18" x14ac:dyDescent="0.25">
      <c r="A403">
        <v>2009</v>
      </c>
      <c r="B403">
        <v>2</v>
      </c>
      <c r="C403">
        <v>2</v>
      </c>
      <c r="D403" t="str">
        <f t="shared" si="6"/>
        <v>DC200902-sem2</v>
      </c>
      <c r="E403" s="1">
        <v>39851</v>
      </c>
      <c r="F403" s="1">
        <v>39857</v>
      </c>
      <c r="G403" s="5">
        <v>75.61</v>
      </c>
      <c r="H403" s="5">
        <v>75.61</v>
      </c>
      <c r="I403" s="5">
        <v>61.44</v>
      </c>
      <c r="J403" s="5">
        <v>75.61</v>
      </c>
      <c r="K403" s="5">
        <v>75.61</v>
      </c>
      <c r="L403" s="5">
        <v>61.44</v>
      </c>
      <c r="M403" s="5">
        <v>27.06</v>
      </c>
      <c r="N403" s="5">
        <v>27.06</v>
      </c>
      <c r="O403" s="5">
        <v>27.06</v>
      </c>
      <c r="P403" s="5">
        <v>27.06</v>
      </c>
      <c r="Q403" s="5">
        <v>27.06</v>
      </c>
      <c r="R403" s="5">
        <v>27.06</v>
      </c>
    </row>
    <row r="404" spans="1:18" x14ac:dyDescent="0.25">
      <c r="A404">
        <v>2009</v>
      </c>
      <c r="B404">
        <v>2</v>
      </c>
      <c r="C404">
        <v>3</v>
      </c>
      <c r="D404" t="str">
        <f t="shared" si="6"/>
        <v>DC200902-sem3</v>
      </c>
      <c r="E404" s="1">
        <v>39858</v>
      </c>
      <c r="F404" s="1">
        <v>39864</v>
      </c>
      <c r="G404" s="5">
        <v>66.27</v>
      </c>
      <c r="H404" s="5">
        <v>63.49</v>
      </c>
      <c r="I404" s="5">
        <v>43.08</v>
      </c>
      <c r="J404" s="5">
        <v>84.64</v>
      </c>
      <c r="K404" s="5">
        <v>84.64</v>
      </c>
      <c r="L404" s="5">
        <v>84.55</v>
      </c>
      <c r="M404" s="5">
        <v>43.68</v>
      </c>
      <c r="N404" s="5">
        <v>43.68</v>
      </c>
      <c r="O404" s="5">
        <v>43.08</v>
      </c>
      <c r="P404" s="5">
        <v>43.68</v>
      </c>
      <c r="Q404" s="5">
        <v>43.68</v>
      </c>
      <c r="R404" s="5">
        <v>43.08</v>
      </c>
    </row>
    <row r="405" spans="1:18" x14ac:dyDescent="0.25">
      <c r="A405">
        <v>2009</v>
      </c>
      <c r="B405">
        <v>2</v>
      </c>
      <c r="C405">
        <v>4</v>
      </c>
      <c r="D405" t="str">
        <f t="shared" si="6"/>
        <v>DC200902-sem4</v>
      </c>
      <c r="E405" s="1">
        <v>39865</v>
      </c>
      <c r="F405" s="1">
        <v>39871</v>
      </c>
      <c r="G405" s="5">
        <v>16.309999999999999</v>
      </c>
      <c r="H405" s="5">
        <v>16.309999999999999</v>
      </c>
      <c r="I405" s="5">
        <v>16.309999999999999</v>
      </c>
      <c r="J405" s="5">
        <v>65.87</v>
      </c>
      <c r="K405" s="5">
        <v>65.87</v>
      </c>
      <c r="L405" s="5">
        <v>16.309999999999999</v>
      </c>
      <c r="M405" s="5">
        <v>16.309999999999999</v>
      </c>
      <c r="N405" s="5">
        <v>16.309999999999999</v>
      </c>
      <c r="O405" s="5">
        <v>16.309999999999999</v>
      </c>
      <c r="P405" s="5">
        <v>16.309999999999999</v>
      </c>
      <c r="Q405" s="5">
        <v>16.309999999999999</v>
      </c>
      <c r="R405" s="5">
        <v>16.309999999999999</v>
      </c>
    </row>
    <row r="406" spans="1:18" x14ac:dyDescent="0.25">
      <c r="A406">
        <v>2009</v>
      </c>
      <c r="B406">
        <v>3</v>
      </c>
      <c r="C406">
        <v>1</v>
      </c>
      <c r="D406" t="str">
        <f t="shared" si="6"/>
        <v>DC200903-sem1</v>
      </c>
      <c r="E406" s="1">
        <v>39872</v>
      </c>
      <c r="F406" s="1">
        <v>39878</v>
      </c>
      <c r="G406" s="5">
        <v>65.58</v>
      </c>
      <c r="H406" s="5">
        <v>65.33</v>
      </c>
      <c r="I406" s="5">
        <v>59.91</v>
      </c>
      <c r="J406" s="5">
        <v>65.58</v>
      </c>
      <c r="K406" s="5">
        <v>65.33</v>
      </c>
      <c r="L406" s="5">
        <v>59.91</v>
      </c>
      <c r="M406" s="5">
        <v>62.42</v>
      </c>
      <c r="N406" s="5">
        <v>61.47</v>
      </c>
      <c r="O406" s="5">
        <v>59.91</v>
      </c>
      <c r="P406" s="5">
        <v>62.42</v>
      </c>
      <c r="Q406" s="5">
        <v>61.47</v>
      </c>
      <c r="R406" s="5">
        <v>59.91</v>
      </c>
    </row>
    <row r="407" spans="1:18" x14ac:dyDescent="0.25">
      <c r="A407">
        <v>2009</v>
      </c>
      <c r="B407">
        <v>3</v>
      </c>
      <c r="C407">
        <v>2</v>
      </c>
      <c r="D407" t="str">
        <f t="shared" si="6"/>
        <v>DC200903-sem2</v>
      </c>
      <c r="E407" s="1">
        <v>39879</v>
      </c>
      <c r="F407" s="1">
        <v>39885</v>
      </c>
      <c r="G407" s="5">
        <v>84.39</v>
      </c>
      <c r="H407" s="5">
        <v>83.59</v>
      </c>
      <c r="I407" s="5">
        <v>80.7</v>
      </c>
      <c r="J407" s="5">
        <v>84.39</v>
      </c>
      <c r="K407" s="5">
        <v>83.59</v>
      </c>
      <c r="L407" s="5">
        <v>80.7</v>
      </c>
      <c r="M407" s="5">
        <v>80.180000000000007</v>
      </c>
      <c r="N407" s="5">
        <v>76.91</v>
      </c>
      <c r="O407" s="5">
        <v>76.91</v>
      </c>
      <c r="P407" s="5">
        <v>16.309999999999999</v>
      </c>
      <c r="Q407" s="5">
        <v>16.309999999999999</v>
      </c>
      <c r="R407" s="5">
        <v>16.309999999999999</v>
      </c>
    </row>
    <row r="408" spans="1:18" x14ac:dyDescent="0.25">
      <c r="A408">
        <v>2009</v>
      </c>
      <c r="B408">
        <v>3</v>
      </c>
      <c r="C408">
        <v>3</v>
      </c>
      <c r="D408" t="str">
        <f t="shared" si="6"/>
        <v>DC200903-sem3</v>
      </c>
      <c r="E408" s="1">
        <v>39886</v>
      </c>
      <c r="F408" s="1">
        <v>39892</v>
      </c>
      <c r="G408" s="5">
        <v>109.29</v>
      </c>
      <c r="H408" s="5">
        <v>108.2</v>
      </c>
      <c r="I408" s="5">
        <v>106.95</v>
      </c>
      <c r="J408" s="5">
        <v>109.29</v>
      </c>
      <c r="K408" s="5">
        <v>108.2</v>
      </c>
      <c r="L408" s="5">
        <v>106.95</v>
      </c>
      <c r="M408" s="5">
        <v>96.86</v>
      </c>
      <c r="N408" s="5">
        <v>95.73</v>
      </c>
      <c r="O408" s="5">
        <v>95.73</v>
      </c>
      <c r="P408" s="5">
        <v>16.309999999999999</v>
      </c>
      <c r="Q408" s="5">
        <v>16.309999999999999</v>
      </c>
      <c r="R408" s="5">
        <v>16.309999999999999</v>
      </c>
    </row>
    <row r="409" spans="1:18" x14ac:dyDescent="0.25">
      <c r="A409">
        <v>2009</v>
      </c>
      <c r="B409">
        <v>3</v>
      </c>
      <c r="C409">
        <v>4</v>
      </c>
      <c r="D409" t="str">
        <f t="shared" si="6"/>
        <v>DC200903-sem4</v>
      </c>
      <c r="E409" s="1">
        <v>39893</v>
      </c>
      <c r="F409" s="1">
        <v>39899</v>
      </c>
      <c r="G409" s="5">
        <v>101.79</v>
      </c>
      <c r="H409" s="5">
        <v>98.2</v>
      </c>
      <c r="I409" s="5">
        <v>94.06</v>
      </c>
      <c r="J409" s="5">
        <v>101.79</v>
      </c>
      <c r="K409" s="5">
        <v>101.58</v>
      </c>
      <c r="L409" s="5">
        <v>94.06</v>
      </c>
      <c r="M409" s="5">
        <v>93.21</v>
      </c>
      <c r="N409" s="5">
        <v>91.75</v>
      </c>
      <c r="O409" s="5">
        <v>91.75</v>
      </c>
      <c r="P409" s="5">
        <v>16.309999999999999</v>
      </c>
      <c r="Q409" s="5">
        <v>16.309999999999999</v>
      </c>
      <c r="R409" s="5">
        <v>16.309999999999999</v>
      </c>
    </row>
    <row r="410" spans="1:18" x14ac:dyDescent="0.25">
      <c r="A410">
        <v>2009</v>
      </c>
      <c r="B410">
        <v>4</v>
      </c>
      <c r="C410">
        <v>1</v>
      </c>
      <c r="D410" t="str">
        <f t="shared" si="6"/>
        <v>DC200904-sem1</v>
      </c>
      <c r="E410" s="1">
        <v>39900</v>
      </c>
      <c r="F410" s="1">
        <v>39906</v>
      </c>
      <c r="G410" s="5">
        <v>108.31</v>
      </c>
      <c r="H410" s="5">
        <v>106.33</v>
      </c>
      <c r="I410" s="5">
        <v>105.13</v>
      </c>
      <c r="J410" s="5">
        <v>108.31</v>
      </c>
      <c r="K410" s="5">
        <v>106.33</v>
      </c>
      <c r="L410" s="5">
        <v>105.13</v>
      </c>
      <c r="M410" s="5">
        <v>97.98</v>
      </c>
      <c r="N410" s="5">
        <v>97.98</v>
      </c>
      <c r="O410" s="5">
        <v>97.34</v>
      </c>
      <c r="P410" s="5">
        <v>16.309999999999999</v>
      </c>
      <c r="Q410" s="5">
        <v>16.309999999999999</v>
      </c>
      <c r="R410" s="5">
        <v>16.309999999999999</v>
      </c>
    </row>
    <row r="411" spans="1:18" x14ac:dyDescent="0.25">
      <c r="A411">
        <v>2009</v>
      </c>
      <c r="B411">
        <v>4</v>
      </c>
      <c r="C411">
        <v>2</v>
      </c>
      <c r="D411" t="str">
        <f t="shared" si="6"/>
        <v>DC200904-sem2</v>
      </c>
      <c r="E411" s="1">
        <v>39907</v>
      </c>
      <c r="F411" s="1">
        <v>39913</v>
      </c>
      <c r="G411" s="5">
        <v>49.38</v>
      </c>
      <c r="H411" s="5">
        <v>31.61</v>
      </c>
      <c r="I411" s="5">
        <v>16.309999999999999</v>
      </c>
      <c r="J411" s="5">
        <v>49.38</v>
      </c>
      <c r="K411" s="5">
        <v>49.27</v>
      </c>
      <c r="L411" s="5">
        <v>16.309999999999999</v>
      </c>
      <c r="M411" s="5">
        <v>31.22</v>
      </c>
      <c r="N411" s="5">
        <v>31.02</v>
      </c>
      <c r="O411" s="5">
        <v>29.95</v>
      </c>
      <c r="P411" s="5">
        <v>16.309999999999999</v>
      </c>
      <c r="Q411" s="5">
        <v>16.309999999999999</v>
      </c>
      <c r="R411" s="5">
        <v>16.309999999999999</v>
      </c>
    </row>
    <row r="412" spans="1:18" x14ac:dyDescent="0.25">
      <c r="A412">
        <v>2009</v>
      </c>
      <c r="B412">
        <v>4</v>
      </c>
      <c r="C412">
        <v>3</v>
      </c>
      <c r="D412" t="str">
        <f t="shared" si="6"/>
        <v>DC200904-sem3</v>
      </c>
      <c r="E412" s="1">
        <v>39914</v>
      </c>
      <c r="F412" s="1">
        <v>39920</v>
      </c>
      <c r="G412" s="5">
        <v>51.64</v>
      </c>
      <c r="H412" s="5">
        <v>50.04</v>
      </c>
      <c r="I412" s="5">
        <v>49.12</v>
      </c>
      <c r="J412" s="5">
        <v>51.64</v>
      </c>
      <c r="K412" s="5">
        <v>50.21</v>
      </c>
      <c r="L412" s="5">
        <v>49.12</v>
      </c>
      <c r="M412" s="5">
        <v>16.309999999999999</v>
      </c>
      <c r="N412" s="5">
        <v>16.309999999999999</v>
      </c>
      <c r="O412" s="5">
        <v>16.309999999999999</v>
      </c>
      <c r="P412" s="5">
        <v>16.309999999999999</v>
      </c>
      <c r="Q412" s="5">
        <v>16.309999999999999</v>
      </c>
      <c r="R412" s="5">
        <v>16.309999999999999</v>
      </c>
    </row>
    <row r="413" spans="1:18" x14ac:dyDescent="0.25">
      <c r="A413">
        <v>2009</v>
      </c>
      <c r="B413">
        <v>4</v>
      </c>
      <c r="C413">
        <v>4</v>
      </c>
      <c r="D413" t="str">
        <f t="shared" si="6"/>
        <v>DC200904-sem4</v>
      </c>
      <c r="E413" s="1">
        <v>39921</v>
      </c>
      <c r="F413" s="1">
        <v>39927</v>
      </c>
      <c r="G413" s="5">
        <v>40.24</v>
      </c>
      <c r="H413" s="5">
        <v>37.93</v>
      </c>
      <c r="I413" s="5">
        <v>37.93</v>
      </c>
      <c r="J413" s="5">
        <v>40.24</v>
      </c>
      <c r="K413" s="5">
        <v>40.06</v>
      </c>
      <c r="L413" s="5">
        <v>37.93</v>
      </c>
      <c r="M413" s="5">
        <v>16.309999999999999</v>
      </c>
      <c r="N413" s="5">
        <v>16.309999999999999</v>
      </c>
      <c r="O413" s="5">
        <v>16.309999999999999</v>
      </c>
      <c r="P413" s="5">
        <v>16.309999999999999</v>
      </c>
      <c r="Q413" s="5">
        <v>16.309999999999999</v>
      </c>
      <c r="R413" s="5">
        <v>16.309999999999999</v>
      </c>
    </row>
    <row r="414" spans="1:18" x14ac:dyDescent="0.25">
      <c r="A414">
        <v>2009</v>
      </c>
      <c r="B414">
        <v>4</v>
      </c>
      <c r="C414">
        <v>5</v>
      </c>
      <c r="D414" t="str">
        <f t="shared" si="6"/>
        <v>DC200904-sem5</v>
      </c>
      <c r="E414" s="1">
        <v>39928</v>
      </c>
      <c r="F414" s="1">
        <v>39934</v>
      </c>
      <c r="G414" s="5">
        <v>46.66</v>
      </c>
      <c r="H414" s="5">
        <v>45.58</v>
      </c>
      <c r="I414" s="5">
        <v>45.12</v>
      </c>
      <c r="J414" s="5">
        <v>46.66</v>
      </c>
      <c r="K414" s="5">
        <v>46.05</v>
      </c>
      <c r="L414" s="5">
        <v>45.12</v>
      </c>
      <c r="M414" s="5">
        <v>16.309999999999999</v>
      </c>
      <c r="N414" s="5">
        <v>16.309999999999999</v>
      </c>
      <c r="O414" s="5">
        <v>16.309999999999999</v>
      </c>
      <c r="P414" s="5">
        <v>16.309999999999999</v>
      </c>
      <c r="Q414" s="5">
        <v>16.309999999999999</v>
      </c>
      <c r="R414" s="5">
        <v>16.309999999999999</v>
      </c>
    </row>
    <row r="415" spans="1:18" x14ac:dyDescent="0.25">
      <c r="A415">
        <v>2009</v>
      </c>
      <c r="B415">
        <v>5</v>
      </c>
      <c r="C415">
        <v>1</v>
      </c>
      <c r="D415" t="str">
        <f t="shared" si="6"/>
        <v>DC200905-sem1</v>
      </c>
      <c r="E415" s="1">
        <v>39935</v>
      </c>
      <c r="F415" s="1">
        <v>39941</v>
      </c>
      <c r="G415" s="5">
        <v>46.98</v>
      </c>
      <c r="H415" s="5">
        <v>45.76</v>
      </c>
      <c r="I415" s="5">
        <v>45.76</v>
      </c>
      <c r="J415" s="5">
        <v>46.98</v>
      </c>
      <c r="K415" s="5">
        <v>45.76</v>
      </c>
      <c r="L415" s="5">
        <v>45.76</v>
      </c>
      <c r="M415" s="5">
        <v>36.450000000000003</v>
      </c>
      <c r="N415" s="5">
        <v>36.450000000000003</v>
      </c>
      <c r="O415" s="5">
        <v>36.21</v>
      </c>
      <c r="P415" s="5">
        <v>16.309999999999999</v>
      </c>
      <c r="Q415" s="5">
        <v>16.309999999999999</v>
      </c>
      <c r="R415" s="5">
        <v>16.309999999999999</v>
      </c>
    </row>
    <row r="416" spans="1:18" x14ac:dyDescent="0.25">
      <c r="A416">
        <v>2009</v>
      </c>
      <c r="B416">
        <v>5</v>
      </c>
      <c r="C416">
        <v>2</v>
      </c>
      <c r="D416" t="str">
        <f t="shared" si="6"/>
        <v>DC200905-sem2</v>
      </c>
      <c r="E416" s="1">
        <v>39942</v>
      </c>
      <c r="F416" s="1">
        <v>39948</v>
      </c>
      <c r="G416" s="5">
        <v>36.89</v>
      </c>
      <c r="H416" s="5">
        <v>36.21</v>
      </c>
      <c r="I416" s="5">
        <v>36.21</v>
      </c>
      <c r="J416" s="5">
        <v>37</v>
      </c>
      <c r="K416" s="5">
        <v>36.729999999999997</v>
      </c>
      <c r="L416" s="5">
        <v>36.21</v>
      </c>
      <c r="M416" s="5">
        <v>29.05</v>
      </c>
      <c r="N416" s="5">
        <v>28.87</v>
      </c>
      <c r="O416" s="5">
        <v>28.68</v>
      </c>
      <c r="P416" s="5">
        <v>16.309999999999999</v>
      </c>
      <c r="Q416" s="5">
        <v>16.309999999999999</v>
      </c>
      <c r="R416" s="5">
        <v>16.309999999999999</v>
      </c>
    </row>
    <row r="417" spans="1:18" x14ac:dyDescent="0.25">
      <c r="A417">
        <v>2009</v>
      </c>
      <c r="B417">
        <v>5</v>
      </c>
      <c r="C417">
        <v>3</v>
      </c>
      <c r="D417" t="str">
        <f t="shared" si="6"/>
        <v>DC200905-sem3</v>
      </c>
      <c r="E417" s="1">
        <v>39949</v>
      </c>
      <c r="F417" s="1">
        <v>39955</v>
      </c>
      <c r="G417" s="5">
        <v>37.29</v>
      </c>
      <c r="H417" s="5">
        <v>36.1</v>
      </c>
      <c r="I417" s="5">
        <v>36.1</v>
      </c>
      <c r="J417" s="5">
        <v>37.29</v>
      </c>
      <c r="K417" s="5">
        <v>36.299999999999997</v>
      </c>
      <c r="L417" s="5">
        <v>36.1</v>
      </c>
      <c r="M417" s="5">
        <v>28.87</v>
      </c>
      <c r="N417" s="5">
        <v>28.87</v>
      </c>
      <c r="O417" s="5">
        <v>28.68</v>
      </c>
      <c r="P417" s="5">
        <v>16.309999999999999</v>
      </c>
      <c r="Q417" s="5">
        <v>16.309999999999999</v>
      </c>
      <c r="R417" s="5">
        <v>16.309999999999999</v>
      </c>
    </row>
    <row r="418" spans="1:18" x14ac:dyDescent="0.25">
      <c r="A418">
        <v>2009</v>
      </c>
      <c r="B418">
        <v>5</v>
      </c>
      <c r="C418">
        <v>4</v>
      </c>
      <c r="D418" t="str">
        <f t="shared" si="6"/>
        <v>DC200905-sem4</v>
      </c>
      <c r="E418" s="1">
        <v>39956</v>
      </c>
      <c r="F418" s="1">
        <v>39962</v>
      </c>
      <c r="G418" s="5">
        <v>37.869999999999997</v>
      </c>
      <c r="H418" s="5">
        <v>37.049999999999997</v>
      </c>
      <c r="I418" s="5">
        <v>36.99</v>
      </c>
      <c r="J418" s="5">
        <v>37.869999999999997</v>
      </c>
      <c r="K418" s="5">
        <v>37.049999999999997</v>
      </c>
      <c r="L418" s="5">
        <v>36.99</v>
      </c>
      <c r="M418" s="5">
        <v>29.67</v>
      </c>
      <c r="N418" s="5">
        <v>29.67</v>
      </c>
      <c r="O418" s="5">
        <v>29.47</v>
      </c>
      <c r="P418" s="5">
        <v>16.309999999999999</v>
      </c>
      <c r="Q418" s="5">
        <v>16.309999999999999</v>
      </c>
      <c r="R418" s="5">
        <v>16.309999999999999</v>
      </c>
    </row>
    <row r="419" spans="1:18" x14ac:dyDescent="0.25">
      <c r="A419">
        <v>2009</v>
      </c>
      <c r="B419">
        <v>6</v>
      </c>
      <c r="C419">
        <v>1</v>
      </c>
      <c r="D419" t="str">
        <f t="shared" si="6"/>
        <v>DC200906-sem1</v>
      </c>
      <c r="E419" s="1">
        <v>39963</v>
      </c>
      <c r="F419" s="1">
        <v>39969</v>
      </c>
      <c r="G419" s="5">
        <v>38.479999999999997</v>
      </c>
      <c r="H419" s="5">
        <v>37.590000000000003</v>
      </c>
      <c r="I419" s="5">
        <v>37.590000000000003</v>
      </c>
      <c r="J419" s="5">
        <v>38.479999999999997</v>
      </c>
      <c r="K419" s="5">
        <v>37.590000000000003</v>
      </c>
      <c r="L419" s="5">
        <v>37.590000000000003</v>
      </c>
      <c r="M419" s="5">
        <v>27.35</v>
      </c>
      <c r="N419" s="5">
        <v>26.94</v>
      </c>
      <c r="O419" s="5">
        <v>26.94</v>
      </c>
      <c r="P419" s="5">
        <v>16.309999999999999</v>
      </c>
      <c r="Q419" s="5">
        <v>16.309999999999999</v>
      </c>
      <c r="R419" s="5">
        <v>16.309999999999999</v>
      </c>
    </row>
    <row r="420" spans="1:18" x14ac:dyDescent="0.25">
      <c r="A420">
        <v>2009</v>
      </c>
      <c r="B420">
        <v>6</v>
      </c>
      <c r="C420">
        <v>2</v>
      </c>
      <c r="D420" t="str">
        <f t="shared" si="6"/>
        <v>DC200906-sem2</v>
      </c>
      <c r="E420" s="1">
        <v>39970</v>
      </c>
      <c r="F420" s="1">
        <v>39976</v>
      </c>
      <c r="G420" s="5">
        <v>35.14</v>
      </c>
      <c r="H420" s="5">
        <v>34.97</v>
      </c>
      <c r="I420" s="5">
        <v>34.97</v>
      </c>
      <c r="J420" s="5">
        <v>35.14</v>
      </c>
      <c r="K420" s="5">
        <v>34.97</v>
      </c>
      <c r="L420" s="5">
        <v>34.97</v>
      </c>
      <c r="M420" s="5">
        <v>26.14</v>
      </c>
      <c r="N420" s="5">
        <v>25.56</v>
      </c>
      <c r="O420" s="5">
        <v>25.39</v>
      </c>
      <c r="P420" s="5">
        <v>16.309999999999999</v>
      </c>
      <c r="Q420" s="5">
        <v>16.309999999999999</v>
      </c>
      <c r="R420" s="5">
        <v>16.309999999999999</v>
      </c>
    </row>
    <row r="421" spans="1:18" x14ac:dyDescent="0.25">
      <c r="A421">
        <v>2009</v>
      </c>
      <c r="B421">
        <v>6</v>
      </c>
      <c r="C421">
        <v>3</v>
      </c>
      <c r="D421" t="str">
        <f t="shared" si="6"/>
        <v>DC200906-sem3</v>
      </c>
      <c r="E421" s="1">
        <v>39977</v>
      </c>
      <c r="F421" s="1">
        <v>39983</v>
      </c>
      <c r="G421" s="5">
        <v>41.54</v>
      </c>
      <c r="H421" s="5">
        <v>40.799999999999997</v>
      </c>
      <c r="I421" s="5">
        <v>40.799999999999997</v>
      </c>
      <c r="J421" s="5">
        <v>41.54</v>
      </c>
      <c r="K421" s="5">
        <v>40.799999999999997</v>
      </c>
      <c r="L421" s="5">
        <v>40.799999999999997</v>
      </c>
      <c r="M421" s="5">
        <v>28.93</v>
      </c>
      <c r="N421" s="5">
        <v>28.93</v>
      </c>
      <c r="O421" s="5">
        <v>28.74</v>
      </c>
      <c r="P421" s="5">
        <v>16.309999999999999</v>
      </c>
      <c r="Q421" s="5">
        <v>16.309999999999999</v>
      </c>
      <c r="R421" s="5">
        <v>16.309999999999999</v>
      </c>
    </row>
    <row r="422" spans="1:18" x14ac:dyDescent="0.25">
      <c r="A422">
        <v>2009</v>
      </c>
      <c r="B422">
        <v>6</v>
      </c>
      <c r="C422">
        <v>4</v>
      </c>
      <c r="D422" t="str">
        <f t="shared" si="6"/>
        <v>DC200906-sem4</v>
      </c>
      <c r="E422" s="1">
        <v>39984</v>
      </c>
      <c r="F422" s="1">
        <v>39990</v>
      </c>
      <c r="G422" s="5">
        <v>43.11</v>
      </c>
      <c r="H422" s="5">
        <v>42.72</v>
      </c>
      <c r="I422" s="5">
        <v>42.68</v>
      </c>
      <c r="J422" s="5">
        <v>43.11</v>
      </c>
      <c r="K422" s="5">
        <v>42.72</v>
      </c>
      <c r="L422" s="5">
        <v>42.68</v>
      </c>
      <c r="M422" s="5">
        <v>31.07</v>
      </c>
      <c r="N422" s="5">
        <v>30.17</v>
      </c>
      <c r="O422" s="5">
        <v>30.17</v>
      </c>
      <c r="P422" s="5">
        <v>31.07</v>
      </c>
      <c r="Q422" s="5">
        <v>30.17</v>
      </c>
      <c r="R422" s="5">
        <v>30.17</v>
      </c>
    </row>
    <row r="423" spans="1:18" x14ac:dyDescent="0.25">
      <c r="A423">
        <v>2009</v>
      </c>
      <c r="B423">
        <v>7</v>
      </c>
      <c r="C423">
        <v>1</v>
      </c>
      <c r="D423" t="str">
        <f t="shared" si="6"/>
        <v>DC200907-sem1</v>
      </c>
      <c r="E423" s="1">
        <v>39991</v>
      </c>
      <c r="F423" s="1">
        <v>39997</v>
      </c>
      <c r="G423" s="5">
        <v>51.96</v>
      </c>
      <c r="H423" s="5">
        <v>51.6</v>
      </c>
      <c r="I423" s="5">
        <v>51.6</v>
      </c>
      <c r="J423" s="5">
        <v>51.96</v>
      </c>
      <c r="K423" s="5">
        <v>51.6</v>
      </c>
      <c r="L423" s="5">
        <v>51.6</v>
      </c>
      <c r="M423" s="5">
        <v>43.08</v>
      </c>
      <c r="N423" s="5">
        <v>43.08</v>
      </c>
      <c r="O423" s="5">
        <v>43.08</v>
      </c>
      <c r="P423" s="5">
        <v>43.08</v>
      </c>
      <c r="Q423" s="5">
        <v>43.08</v>
      </c>
      <c r="R423" s="5">
        <v>43.08</v>
      </c>
    </row>
    <row r="424" spans="1:18" x14ac:dyDescent="0.25">
      <c r="A424">
        <v>2009</v>
      </c>
      <c r="B424">
        <v>7</v>
      </c>
      <c r="C424">
        <v>2</v>
      </c>
      <c r="D424" t="str">
        <f t="shared" si="6"/>
        <v>DC200907-sem2</v>
      </c>
      <c r="E424" s="1">
        <v>39998</v>
      </c>
      <c r="F424" s="1">
        <v>40004</v>
      </c>
      <c r="G424" s="5">
        <v>39.619999999999997</v>
      </c>
      <c r="H424" s="5">
        <v>38.840000000000003</v>
      </c>
      <c r="I424" s="5">
        <v>38.840000000000003</v>
      </c>
      <c r="J424" s="5">
        <v>39.619999999999997</v>
      </c>
      <c r="K424" s="5">
        <v>38.840000000000003</v>
      </c>
      <c r="L424" s="5">
        <v>38.840000000000003</v>
      </c>
      <c r="M424" s="5">
        <v>30.4</v>
      </c>
      <c r="N424" s="5">
        <v>30.4</v>
      </c>
      <c r="O424" s="5">
        <v>30.4</v>
      </c>
      <c r="P424" s="5">
        <v>30.4</v>
      </c>
      <c r="Q424" s="5">
        <v>30.4</v>
      </c>
      <c r="R424" s="5">
        <v>30.4</v>
      </c>
    </row>
    <row r="425" spans="1:18" x14ac:dyDescent="0.25">
      <c r="A425">
        <v>2009</v>
      </c>
      <c r="B425">
        <v>7</v>
      </c>
      <c r="C425">
        <v>3</v>
      </c>
      <c r="D425" t="str">
        <f t="shared" si="6"/>
        <v>DC200907-sem3</v>
      </c>
      <c r="E425" s="1">
        <v>40005</v>
      </c>
      <c r="F425" s="1">
        <v>40011</v>
      </c>
      <c r="G425" s="5">
        <v>31.78</v>
      </c>
      <c r="H425" s="5">
        <v>31.46</v>
      </c>
      <c r="I425" s="5">
        <v>31.28</v>
      </c>
      <c r="J425" s="5">
        <v>31.78</v>
      </c>
      <c r="K425" s="5">
        <v>31.46</v>
      </c>
      <c r="L425" s="5">
        <v>31.28</v>
      </c>
      <c r="M425" s="5">
        <v>25.45</v>
      </c>
      <c r="N425" s="5">
        <v>25.45</v>
      </c>
      <c r="O425" s="5">
        <v>25.45</v>
      </c>
      <c r="P425" s="5">
        <v>25.45</v>
      </c>
      <c r="Q425" s="5">
        <v>25.45</v>
      </c>
      <c r="R425" s="5">
        <v>25.45</v>
      </c>
    </row>
    <row r="426" spans="1:18" x14ac:dyDescent="0.25">
      <c r="A426">
        <v>2009</v>
      </c>
      <c r="B426">
        <v>7</v>
      </c>
      <c r="C426">
        <v>4</v>
      </c>
      <c r="D426" t="str">
        <f t="shared" si="6"/>
        <v>DC200907-sem4</v>
      </c>
      <c r="E426" s="1">
        <v>40012</v>
      </c>
      <c r="F426" s="1">
        <v>40018</v>
      </c>
      <c r="G426" s="5">
        <v>21</v>
      </c>
      <c r="H426" s="5">
        <v>20.76</v>
      </c>
      <c r="I426" s="5">
        <v>20.73</v>
      </c>
      <c r="J426" s="5">
        <v>21</v>
      </c>
      <c r="K426" s="5">
        <v>20.76</v>
      </c>
      <c r="L426" s="5">
        <v>20.73</v>
      </c>
      <c r="M426" s="5">
        <v>17.32</v>
      </c>
      <c r="N426" s="5">
        <v>17.32</v>
      </c>
      <c r="O426" s="5">
        <v>17.309999999999999</v>
      </c>
      <c r="P426" s="5">
        <v>17.32</v>
      </c>
      <c r="Q426" s="5">
        <v>17.32</v>
      </c>
      <c r="R426" s="5">
        <v>17.309999999999999</v>
      </c>
    </row>
    <row r="427" spans="1:18" x14ac:dyDescent="0.25">
      <c r="A427">
        <v>2009</v>
      </c>
      <c r="B427">
        <v>7</v>
      </c>
      <c r="C427">
        <v>5</v>
      </c>
      <c r="D427" t="str">
        <f t="shared" si="6"/>
        <v>DC200907-sem5</v>
      </c>
      <c r="E427" s="1">
        <v>40019</v>
      </c>
      <c r="F427" s="1">
        <v>40025</v>
      </c>
      <c r="G427" s="5">
        <v>21.67</v>
      </c>
      <c r="H427" s="5">
        <v>21.5</v>
      </c>
      <c r="I427" s="5">
        <v>21.45</v>
      </c>
      <c r="J427" s="5">
        <v>21.67</v>
      </c>
      <c r="K427" s="5">
        <v>21.5</v>
      </c>
      <c r="L427" s="5">
        <v>21.45</v>
      </c>
      <c r="M427" s="5">
        <v>21.67</v>
      </c>
      <c r="N427" s="5">
        <v>21.5</v>
      </c>
      <c r="O427" s="5">
        <v>21.45</v>
      </c>
      <c r="P427" s="5">
        <v>21.67</v>
      </c>
      <c r="Q427" s="5">
        <v>21.5</v>
      </c>
      <c r="R427" s="5">
        <v>21.45</v>
      </c>
    </row>
    <row r="428" spans="1:18" x14ac:dyDescent="0.25">
      <c r="A428">
        <v>2009</v>
      </c>
      <c r="B428">
        <v>8</v>
      </c>
      <c r="C428">
        <v>1</v>
      </c>
      <c r="D428" t="str">
        <f t="shared" si="6"/>
        <v>DC200908-sem1</v>
      </c>
      <c r="E428" s="1">
        <v>40026</v>
      </c>
      <c r="F428" s="1">
        <v>40032</v>
      </c>
      <c r="G428" s="5">
        <v>16.309999999999999</v>
      </c>
      <c r="H428" s="5">
        <v>16.309999999999999</v>
      </c>
      <c r="I428" s="5">
        <v>16.309999999999999</v>
      </c>
      <c r="J428" s="5">
        <v>16.309999999999999</v>
      </c>
      <c r="K428" s="5">
        <v>16.309999999999999</v>
      </c>
      <c r="L428" s="5">
        <v>16.309999999999999</v>
      </c>
      <c r="M428" s="5">
        <v>16.309999999999999</v>
      </c>
      <c r="N428" s="5">
        <v>16.309999999999999</v>
      </c>
      <c r="O428" s="5">
        <v>16.309999999999999</v>
      </c>
      <c r="P428" s="5">
        <v>16.309999999999999</v>
      </c>
      <c r="Q428" s="5">
        <v>16.309999999999999</v>
      </c>
      <c r="R428" s="5">
        <v>16.309999999999999</v>
      </c>
    </row>
    <row r="429" spans="1:18" x14ac:dyDescent="0.25">
      <c r="A429">
        <v>2009</v>
      </c>
      <c r="B429">
        <v>8</v>
      </c>
      <c r="C429">
        <v>2</v>
      </c>
      <c r="D429" t="str">
        <f t="shared" si="6"/>
        <v>DC200908-sem2</v>
      </c>
      <c r="E429" s="1">
        <v>40033</v>
      </c>
      <c r="F429" s="1">
        <v>40039</v>
      </c>
      <c r="G429" s="5">
        <v>16.309999999999999</v>
      </c>
      <c r="H429" s="5">
        <v>16.309999999999999</v>
      </c>
      <c r="I429" s="5">
        <v>16.309999999999999</v>
      </c>
      <c r="J429" s="5">
        <v>16.309999999999999</v>
      </c>
      <c r="K429" s="5">
        <v>16.309999999999999</v>
      </c>
      <c r="L429" s="5">
        <v>16.309999999999999</v>
      </c>
      <c r="M429" s="5">
        <v>16.309999999999999</v>
      </c>
      <c r="N429" s="5">
        <v>16.309999999999999</v>
      </c>
      <c r="O429" s="5">
        <v>16.309999999999999</v>
      </c>
      <c r="P429" s="5">
        <v>16.309999999999999</v>
      </c>
      <c r="Q429" s="5">
        <v>16.309999999999999</v>
      </c>
      <c r="R429" s="5">
        <v>16.309999999999999</v>
      </c>
    </row>
    <row r="430" spans="1:18" x14ac:dyDescent="0.25">
      <c r="A430">
        <v>2009</v>
      </c>
      <c r="B430">
        <v>8</v>
      </c>
      <c r="C430">
        <v>3</v>
      </c>
      <c r="D430" t="str">
        <f t="shared" si="6"/>
        <v>DC200908-sem3</v>
      </c>
      <c r="E430" s="1">
        <v>40040</v>
      </c>
      <c r="F430" s="1">
        <v>40046</v>
      </c>
      <c r="G430" s="5">
        <v>16.309999999999999</v>
      </c>
      <c r="H430" s="5">
        <v>16.309999999999999</v>
      </c>
      <c r="I430" s="5">
        <v>16.309999999999999</v>
      </c>
      <c r="J430" s="5">
        <v>16.309999999999999</v>
      </c>
      <c r="K430" s="5">
        <v>16.309999999999999</v>
      </c>
      <c r="L430" s="5">
        <v>16.309999999999999</v>
      </c>
      <c r="M430" s="5">
        <v>16.309999999999999</v>
      </c>
      <c r="N430" s="5">
        <v>16.309999999999999</v>
      </c>
      <c r="O430" s="5">
        <v>16.309999999999999</v>
      </c>
      <c r="P430" s="5">
        <v>16.309999999999999</v>
      </c>
      <c r="Q430" s="5">
        <v>16.309999999999999</v>
      </c>
      <c r="R430" s="5">
        <v>16.309999999999999</v>
      </c>
    </row>
    <row r="431" spans="1:18" x14ac:dyDescent="0.25">
      <c r="A431">
        <v>2009</v>
      </c>
      <c r="B431">
        <v>8</v>
      </c>
      <c r="C431">
        <v>4</v>
      </c>
      <c r="D431" t="str">
        <f t="shared" si="6"/>
        <v>DC200908-sem4</v>
      </c>
      <c r="E431" s="1">
        <v>40047</v>
      </c>
      <c r="F431" s="1">
        <v>40053</v>
      </c>
      <c r="G431" s="5">
        <v>16.309999999999999</v>
      </c>
      <c r="H431" s="5">
        <v>16.309999999999999</v>
      </c>
      <c r="I431" s="5">
        <v>16.309999999999999</v>
      </c>
      <c r="J431" s="5">
        <v>16.309999999999999</v>
      </c>
      <c r="K431" s="5">
        <v>16.309999999999999</v>
      </c>
      <c r="L431" s="5">
        <v>16.309999999999999</v>
      </c>
      <c r="M431" s="5">
        <v>16.309999999999999</v>
      </c>
      <c r="N431" s="5">
        <v>16.309999999999999</v>
      </c>
      <c r="O431" s="5">
        <v>16.309999999999999</v>
      </c>
      <c r="P431" s="5">
        <v>16.309999999999999</v>
      </c>
      <c r="Q431" s="5">
        <v>16.309999999999999</v>
      </c>
      <c r="R431" s="5">
        <v>16.309999999999999</v>
      </c>
    </row>
    <row r="432" spans="1:18" x14ac:dyDescent="0.25">
      <c r="A432">
        <v>2009</v>
      </c>
      <c r="B432">
        <v>9</v>
      </c>
      <c r="C432">
        <v>1</v>
      </c>
      <c r="D432" t="str">
        <f t="shared" si="6"/>
        <v>DC200909-sem1</v>
      </c>
      <c r="E432" s="1">
        <v>40054</v>
      </c>
      <c r="F432" s="1">
        <v>40060</v>
      </c>
      <c r="G432" s="5">
        <v>16.309999999999999</v>
      </c>
      <c r="H432" s="5">
        <v>16.309999999999999</v>
      </c>
      <c r="I432" s="5">
        <v>16.309999999999999</v>
      </c>
      <c r="J432" s="5">
        <v>16.309999999999999</v>
      </c>
      <c r="K432" s="5">
        <v>16.309999999999999</v>
      </c>
      <c r="L432" s="5">
        <v>16.309999999999999</v>
      </c>
      <c r="M432" s="5">
        <v>16.309999999999999</v>
      </c>
      <c r="N432" s="5">
        <v>16.309999999999999</v>
      </c>
      <c r="O432" s="5">
        <v>16.309999999999999</v>
      </c>
      <c r="P432" s="5">
        <v>16.309999999999999</v>
      </c>
      <c r="Q432" s="5">
        <v>16.309999999999999</v>
      </c>
      <c r="R432" s="5">
        <v>16.309999999999999</v>
      </c>
    </row>
    <row r="433" spans="1:18" x14ac:dyDescent="0.25">
      <c r="A433">
        <v>2009</v>
      </c>
      <c r="B433">
        <v>9</v>
      </c>
      <c r="C433">
        <v>2</v>
      </c>
      <c r="D433" t="str">
        <f t="shared" si="6"/>
        <v>DC200909-sem2</v>
      </c>
      <c r="E433" s="1">
        <v>40061</v>
      </c>
      <c r="F433" s="1">
        <v>40067</v>
      </c>
      <c r="G433" s="5">
        <v>16.309999999999999</v>
      </c>
      <c r="H433" s="5">
        <v>16.309999999999999</v>
      </c>
      <c r="I433" s="5">
        <v>16.309999999999999</v>
      </c>
      <c r="J433" s="5">
        <v>16.309999999999999</v>
      </c>
      <c r="K433" s="5">
        <v>16.309999999999999</v>
      </c>
      <c r="L433" s="5">
        <v>16.309999999999999</v>
      </c>
      <c r="M433" s="5">
        <v>16.309999999999999</v>
      </c>
      <c r="N433" s="5">
        <v>16.309999999999999</v>
      </c>
      <c r="O433" s="5">
        <v>16.309999999999999</v>
      </c>
      <c r="P433" s="5">
        <v>16.309999999999999</v>
      </c>
      <c r="Q433" s="5">
        <v>16.309999999999999</v>
      </c>
      <c r="R433" s="5">
        <v>16.309999999999999</v>
      </c>
    </row>
    <row r="434" spans="1:18" x14ac:dyDescent="0.25">
      <c r="A434">
        <v>2009</v>
      </c>
      <c r="B434">
        <v>9</v>
      </c>
      <c r="C434">
        <v>3</v>
      </c>
      <c r="D434" t="str">
        <f t="shared" si="6"/>
        <v>DC200909-sem3</v>
      </c>
      <c r="E434" s="1">
        <v>40068</v>
      </c>
      <c r="F434" s="1">
        <v>40074</v>
      </c>
      <c r="G434" s="5">
        <v>16.309999999999999</v>
      </c>
      <c r="H434" s="5">
        <v>16.309999999999999</v>
      </c>
      <c r="I434" s="5">
        <v>16.309999999999999</v>
      </c>
      <c r="J434" s="5">
        <v>16.309999999999999</v>
      </c>
      <c r="K434" s="5">
        <v>16.309999999999999</v>
      </c>
      <c r="L434" s="5">
        <v>16.309999999999999</v>
      </c>
      <c r="M434" s="5">
        <v>16.309999999999999</v>
      </c>
      <c r="N434" s="5">
        <v>16.309999999999999</v>
      </c>
      <c r="O434" s="5">
        <v>16.309999999999999</v>
      </c>
      <c r="P434" s="5">
        <v>16.309999999999999</v>
      </c>
      <c r="Q434" s="5">
        <v>16.309999999999999</v>
      </c>
      <c r="R434" s="5">
        <v>16.309999999999999</v>
      </c>
    </row>
    <row r="435" spans="1:18" x14ac:dyDescent="0.25">
      <c r="A435">
        <v>2009</v>
      </c>
      <c r="B435">
        <v>9</v>
      </c>
      <c r="C435">
        <v>4</v>
      </c>
      <c r="D435" t="str">
        <f t="shared" si="6"/>
        <v>DC200909-sem4</v>
      </c>
      <c r="E435" s="1">
        <v>40075</v>
      </c>
      <c r="F435" s="1">
        <v>40081</v>
      </c>
      <c r="G435" s="5">
        <v>16.309999999999999</v>
      </c>
      <c r="H435" s="5">
        <v>16.309999999999999</v>
      </c>
      <c r="I435" s="5">
        <v>16.309999999999999</v>
      </c>
      <c r="J435" s="5">
        <v>16.309999999999999</v>
      </c>
      <c r="K435" s="5">
        <v>16.309999999999999</v>
      </c>
      <c r="L435" s="5">
        <v>16.309999999999999</v>
      </c>
      <c r="M435" s="5">
        <v>16.309999999999999</v>
      </c>
      <c r="N435" s="5">
        <v>16.309999999999999</v>
      </c>
      <c r="O435" s="5">
        <v>16.309999999999999</v>
      </c>
      <c r="P435" s="5">
        <v>16.309999999999999</v>
      </c>
      <c r="Q435" s="5">
        <v>16.309999999999999</v>
      </c>
      <c r="R435" s="5">
        <v>16.309999999999999</v>
      </c>
    </row>
    <row r="436" spans="1:18" x14ac:dyDescent="0.25">
      <c r="A436">
        <v>2009</v>
      </c>
      <c r="B436">
        <v>10</v>
      </c>
      <c r="C436">
        <v>1</v>
      </c>
      <c r="D436" t="str">
        <f t="shared" si="6"/>
        <v>DC200910-sem1</v>
      </c>
      <c r="E436" s="1">
        <v>40082</v>
      </c>
      <c r="F436" s="1">
        <v>40088</v>
      </c>
      <c r="G436" s="5">
        <v>16.309999999999999</v>
      </c>
      <c r="H436" s="5">
        <v>16.309999999999999</v>
      </c>
      <c r="I436" s="5">
        <v>16.309999999999999</v>
      </c>
      <c r="J436" s="5">
        <v>16.309999999999999</v>
      </c>
      <c r="K436" s="5">
        <v>16.309999999999999</v>
      </c>
      <c r="L436" s="5">
        <v>16.309999999999999</v>
      </c>
      <c r="M436" s="5">
        <v>16.309999999999999</v>
      </c>
      <c r="N436" s="5">
        <v>16.309999999999999</v>
      </c>
      <c r="O436" s="5">
        <v>16.309999999999999</v>
      </c>
      <c r="P436" s="5">
        <v>16.309999999999999</v>
      </c>
      <c r="Q436" s="5">
        <v>16.309999999999999</v>
      </c>
      <c r="R436" s="5">
        <v>16.309999999999999</v>
      </c>
    </row>
    <row r="437" spans="1:18" x14ac:dyDescent="0.25">
      <c r="A437">
        <v>2009</v>
      </c>
      <c r="B437">
        <v>10</v>
      </c>
      <c r="C437">
        <v>2</v>
      </c>
      <c r="D437" t="str">
        <f t="shared" si="6"/>
        <v>DC200910-sem2</v>
      </c>
      <c r="E437" s="1">
        <v>40089</v>
      </c>
      <c r="F437" s="1">
        <v>40095</v>
      </c>
      <c r="G437" s="5">
        <v>16.309999999999999</v>
      </c>
      <c r="H437" s="5">
        <v>16.309999999999999</v>
      </c>
      <c r="I437" s="5">
        <v>16.309999999999999</v>
      </c>
      <c r="J437" s="5">
        <v>16.309999999999999</v>
      </c>
      <c r="K437" s="5">
        <v>16.309999999999999</v>
      </c>
      <c r="L437" s="5">
        <v>16.309999999999999</v>
      </c>
      <c r="M437" s="5">
        <v>16.309999999999999</v>
      </c>
      <c r="N437" s="5">
        <v>16.309999999999999</v>
      </c>
      <c r="O437" s="5">
        <v>16.309999999999999</v>
      </c>
      <c r="P437" s="5">
        <v>16.309999999999999</v>
      </c>
      <c r="Q437" s="5">
        <v>16.309999999999999</v>
      </c>
      <c r="R437" s="5">
        <v>16.309999999999999</v>
      </c>
    </row>
    <row r="438" spans="1:18" x14ac:dyDescent="0.25">
      <c r="A438">
        <v>2009</v>
      </c>
      <c r="B438">
        <v>10</v>
      </c>
      <c r="C438">
        <v>3</v>
      </c>
      <c r="D438" t="str">
        <f t="shared" si="6"/>
        <v>DC200910-sem3</v>
      </c>
      <c r="E438" s="1">
        <v>40096</v>
      </c>
      <c r="F438" s="1">
        <v>40102</v>
      </c>
      <c r="G438" s="5">
        <v>16.309999999999999</v>
      </c>
      <c r="H438" s="5">
        <v>16.309999999999999</v>
      </c>
      <c r="I438" s="5">
        <v>16.309999999999999</v>
      </c>
      <c r="J438" s="5">
        <v>16.309999999999999</v>
      </c>
      <c r="K438" s="5">
        <v>16.309999999999999</v>
      </c>
      <c r="L438" s="5">
        <v>16.309999999999999</v>
      </c>
      <c r="M438" s="5">
        <v>16.309999999999999</v>
      </c>
      <c r="N438" s="5">
        <v>16.309999999999999</v>
      </c>
      <c r="O438" s="5">
        <v>16.309999999999999</v>
      </c>
      <c r="P438" s="5">
        <v>16.309999999999999</v>
      </c>
      <c r="Q438" s="5">
        <v>16.309999999999999</v>
      </c>
      <c r="R438" s="5">
        <v>16.309999999999999</v>
      </c>
    </row>
    <row r="439" spans="1:18" x14ac:dyDescent="0.25">
      <c r="A439">
        <v>2009</v>
      </c>
      <c r="B439">
        <v>10</v>
      </c>
      <c r="C439">
        <v>4</v>
      </c>
      <c r="D439" t="str">
        <f t="shared" si="6"/>
        <v>DC200910-sem4</v>
      </c>
      <c r="E439" s="1">
        <v>40103</v>
      </c>
      <c r="F439" s="1">
        <v>40109</v>
      </c>
      <c r="G439" s="5">
        <v>16.309999999999999</v>
      </c>
      <c r="H439" s="5">
        <v>16.309999999999999</v>
      </c>
      <c r="I439" s="5">
        <v>16.309999999999999</v>
      </c>
      <c r="J439" s="5">
        <v>16.309999999999999</v>
      </c>
      <c r="K439" s="5">
        <v>16.309999999999999</v>
      </c>
      <c r="L439" s="5">
        <v>16.309999999999999</v>
      </c>
      <c r="M439" s="5">
        <v>16.309999999999999</v>
      </c>
      <c r="N439" s="5">
        <v>16.309999999999999</v>
      </c>
      <c r="O439" s="5">
        <v>16.309999999999999</v>
      </c>
      <c r="P439" s="5">
        <v>16.309999999999999</v>
      </c>
      <c r="Q439" s="5">
        <v>16.309999999999999</v>
      </c>
      <c r="R439" s="5">
        <v>16.309999999999999</v>
      </c>
    </row>
    <row r="440" spans="1:18" x14ac:dyDescent="0.25">
      <c r="A440">
        <v>2009</v>
      </c>
      <c r="B440">
        <v>10</v>
      </c>
      <c r="C440">
        <v>5</v>
      </c>
      <c r="D440" t="str">
        <f t="shared" si="6"/>
        <v>DC200910-sem5</v>
      </c>
      <c r="E440" s="1">
        <v>40110</v>
      </c>
      <c r="F440" s="1">
        <v>40116</v>
      </c>
      <c r="G440" s="5">
        <v>16.309999999999999</v>
      </c>
      <c r="H440" s="5">
        <v>16.309999999999999</v>
      </c>
      <c r="I440" s="5">
        <v>16.309999999999999</v>
      </c>
      <c r="J440" s="5">
        <v>16.309999999999999</v>
      </c>
      <c r="K440" s="5">
        <v>16.309999999999999</v>
      </c>
      <c r="L440" s="5">
        <v>16.309999999999999</v>
      </c>
      <c r="M440" s="5">
        <v>16.309999999999999</v>
      </c>
      <c r="N440" s="5">
        <v>16.309999999999999</v>
      </c>
      <c r="O440" s="5">
        <v>16.309999999999999</v>
      </c>
      <c r="P440" s="5">
        <v>16.309999999999999</v>
      </c>
      <c r="Q440" s="5">
        <v>16.309999999999999</v>
      </c>
      <c r="R440" s="5">
        <v>16.309999999999999</v>
      </c>
    </row>
    <row r="441" spans="1:18" x14ac:dyDescent="0.25">
      <c r="A441">
        <v>2009</v>
      </c>
      <c r="B441">
        <v>11</v>
      </c>
      <c r="C441">
        <v>1</v>
      </c>
      <c r="D441" t="str">
        <f t="shared" si="6"/>
        <v>DC200911-sem1</v>
      </c>
      <c r="E441" s="1">
        <v>40117</v>
      </c>
      <c r="F441" s="1">
        <v>40123</v>
      </c>
      <c r="G441" s="5">
        <v>16.309999999999999</v>
      </c>
      <c r="H441" s="5">
        <v>16.309999999999999</v>
      </c>
      <c r="I441" s="5">
        <v>16.309999999999999</v>
      </c>
      <c r="J441" s="5">
        <v>16.309999999999999</v>
      </c>
      <c r="K441" s="5">
        <v>16.309999999999999</v>
      </c>
      <c r="L441" s="5">
        <v>16.309999999999999</v>
      </c>
      <c r="M441" s="5">
        <v>16.309999999999999</v>
      </c>
      <c r="N441" s="5">
        <v>16.309999999999999</v>
      </c>
      <c r="O441" s="5">
        <v>16.309999999999999</v>
      </c>
      <c r="P441" s="5">
        <v>16.309999999999999</v>
      </c>
      <c r="Q441" s="5">
        <v>16.309999999999999</v>
      </c>
      <c r="R441" s="5">
        <v>16.309999999999999</v>
      </c>
    </row>
    <row r="442" spans="1:18" x14ac:dyDescent="0.25">
      <c r="A442">
        <v>2009</v>
      </c>
      <c r="B442">
        <v>11</v>
      </c>
      <c r="C442">
        <v>2</v>
      </c>
      <c r="D442" t="str">
        <f t="shared" si="6"/>
        <v>DC200911-sem2</v>
      </c>
      <c r="E442" s="1">
        <v>40124</v>
      </c>
      <c r="F442" s="1">
        <v>40130</v>
      </c>
      <c r="G442" s="5">
        <v>16.309999999999999</v>
      </c>
      <c r="H442" s="5">
        <v>16.309999999999999</v>
      </c>
      <c r="I442" s="5">
        <v>16.309999999999999</v>
      </c>
      <c r="J442" s="5">
        <v>16.309999999999999</v>
      </c>
      <c r="K442" s="5">
        <v>16.309999999999999</v>
      </c>
      <c r="L442" s="5">
        <v>16.309999999999999</v>
      </c>
      <c r="M442" s="5">
        <v>16.309999999999999</v>
      </c>
      <c r="N442" s="5">
        <v>16.309999999999999</v>
      </c>
      <c r="O442" s="5">
        <v>16.309999999999999</v>
      </c>
      <c r="P442" s="5">
        <v>16.309999999999999</v>
      </c>
      <c r="Q442" s="5">
        <v>16.309999999999999</v>
      </c>
      <c r="R442" s="5">
        <v>16.309999999999999</v>
      </c>
    </row>
    <row r="443" spans="1:18" x14ac:dyDescent="0.25">
      <c r="A443">
        <v>2009</v>
      </c>
      <c r="B443">
        <v>11</v>
      </c>
      <c r="C443">
        <v>3</v>
      </c>
      <c r="D443" t="str">
        <f t="shared" si="6"/>
        <v>DC200911-sem3</v>
      </c>
      <c r="E443" s="1">
        <v>40131</v>
      </c>
      <c r="F443" s="1">
        <v>40137</v>
      </c>
      <c r="G443" s="5">
        <v>16.309999999999999</v>
      </c>
      <c r="H443" s="5">
        <v>16.309999999999999</v>
      </c>
      <c r="I443" s="5">
        <v>16.309999999999999</v>
      </c>
      <c r="J443" s="5">
        <v>16.309999999999999</v>
      </c>
      <c r="K443" s="5">
        <v>16.309999999999999</v>
      </c>
      <c r="L443" s="5">
        <v>16.309999999999999</v>
      </c>
      <c r="M443" s="5">
        <v>16.309999999999999</v>
      </c>
      <c r="N443" s="5">
        <v>16.309999999999999</v>
      </c>
      <c r="O443" s="5">
        <v>16.309999999999999</v>
      </c>
      <c r="P443" s="5">
        <v>16.309999999999999</v>
      </c>
      <c r="Q443" s="5">
        <v>16.309999999999999</v>
      </c>
      <c r="R443" s="5">
        <v>16.309999999999999</v>
      </c>
    </row>
    <row r="444" spans="1:18" x14ac:dyDescent="0.25">
      <c r="A444">
        <v>2009</v>
      </c>
      <c r="B444">
        <v>11</v>
      </c>
      <c r="C444">
        <v>4</v>
      </c>
      <c r="D444" t="str">
        <f t="shared" si="6"/>
        <v>DC200911-sem4</v>
      </c>
      <c r="E444" s="1">
        <v>40138</v>
      </c>
      <c r="F444" s="1">
        <v>40144</v>
      </c>
      <c r="G444" s="5">
        <v>16.309999999999999</v>
      </c>
      <c r="H444" s="5">
        <v>16.309999999999999</v>
      </c>
      <c r="I444" s="5">
        <v>16.309999999999999</v>
      </c>
      <c r="J444" s="5">
        <v>16.309999999999999</v>
      </c>
      <c r="K444" s="5">
        <v>16.309999999999999</v>
      </c>
      <c r="L444" s="5">
        <v>16.309999999999999</v>
      </c>
      <c r="M444" s="5">
        <v>16.309999999999999</v>
      </c>
      <c r="N444" s="5">
        <v>16.309999999999999</v>
      </c>
      <c r="O444" s="5">
        <v>16.309999999999999</v>
      </c>
      <c r="P444" s="5">
        <v>16.309999999999999</v>
      </c>
      <c r="Q444" s="5">
        <v>16.309999999999999</v>
      </c>
      <c r="R444" s="5">
        <v>16.309999999999999</v>
      </c>
    </row>
    <row r="445" spans="1:18" x14ac:dyDescent="0.25">
      <c r="A445">
        <v>2009</v>
      </c>
      <c r="B445">
        <v>12</v>
      </c>
      <c r="C445">
        <v>1</v>
      </c>
      <c r="D445" t="str">
        <f t="shared" si="6"/>
        <v>DC200912-sem1</v>
      </c>
      <c r="E445" s="1">
        <v>40145</v>
      </c>
      <c r="F445" s="1">
        <v>40151</v>
      </c>
      <c r="G445" s="5">
        <v>16.309999999999999</v>
      </c>
      <c r="H445" s="5">
        <v>16.309999999999999</v>
      </c>
      <c r="I445" s="5">
        <v>16.309999999999999</v>
      </c>
      <c r="J445" s="5">
        <v>16.309999999999999</v>
      </c>
      <c r="K445" s="5">
        <v>16.309999999999999</v>
      </c>
      <c r="L445" s="5">
        <v>16.309999999999999</v>
      </c>
      <c r="M445" s="5">
        <v>16.309999999999999</v>
      </c>
      <c r="N445" s="5">
        <v>16.309999999999999</v>
      </c>
      <c r="O445" s="5">
        <v>16.309999999999999</v>
      </c>
      <c r="P445" s="5">
        <v>16.309999999999999</v>
      </c>
      <c r="Q445" s="5">
        <v>16.309999999999999</v>
      </c>
      <c r="R445" s="5">
        <v>16.309999999999999</v>
      </c>
    </row>
    <row r="446" spans="1:18" x14ac:dyDescent="0.25">
      <c r="A446">
        <v>2009</v>
      </c>
      <c r="B446">
        <v>12</v>
      </c>
      <c r="C446">
        <v>2</v>
      </c>
      <c r="D446" t="str">
        <f t="shared" si="6"/>
        <v>DC200912-sem2</v>
      </c>
      <c r="E446" s="1">
        <v>40152</v>
      </c>
      <c r="F446" s="1">
        <v>40158</v>
      </c>
      <c r="G446" s="5">
        <v>16.309999999999999</v>
      </c>
      <c r="H446" s="5">
        <v>16.309999999999999</v>
      </c>
      <c r="I446" s="5">
        <v>16.309999999999999</v>
      </c>
      <c r="J446" s="5">
        <v>16.309999999999999</v>
      </c>
      <c r="K446" s="5">
        <v>16.309999999999999</v>
      </c>
      <c r="L446" s="5">
        <v>16.309999999999999</v>
      </c>
      <c r="M446" s="5">
        <v>16.309999999999999</v>
      </c>
      <c r="N446" s="5">
        <v>16.309999999999999</v>
      </c>
      <c r="O446" s="5">
        <v>16.309999999999999</v>
      </c>
      <c r="P446" s="5">
        <v>16.309999999999999</v>
      </c>
      <c r="Q446" s="5">
        <v>16.309999999999999</v>
      </c>
      <c r="R446" s="5">
        <v>16.309999999999999</v>
      </c>
    </row>
    <row r="447" spans="1:18" x14ac:dyDescent="0.25">
      <c r="A447">
        <v>2009</v>
      </c>
      <c r="B447">
        <v>12</v>
      </c>
      <c r="C447">
        <v>3</v>
      </c>
      <c r="D447" t="str">
        <f t="shared" si="6"/>
        <v>DC200912-sem3</v>
      </c>
      <c r="E447" s="1">
        <v>40159</v>
      </c>
      <c r="F447" s="1">
        <v>40165</v>
      </c>
      <c r="G447" s="5">
        <v>16.309999999999999</v>
      </c>
      <c r="H447" s="5">
        <v>16.309999999999999</v>
      </c>
      <c r="I447" s="5">
        <v>16.309999999999999</v>
      </c>
      <c r="J447" s="5">
        <v>16.309999999999999</v>
      </c>
      <c r="K447" s="5">
        <v>16.309999999999999</v>
      </c>
      <c r="L447" s="5">
        <v>16.309999999999999</v>
      </c>
      <c r="M447" s="5">
        <v>16.309999999999999</v>
      </c>
      <c r="N447" s="5">
        <v>16.309999999999999</v>
      </c>
      <c r="O447" s="5">
        <v>16.309999999999999</v>
      </c>
      <c r="P447" s="5">
        <v>16.309999999999999</v>
      </c>
      <c r="Q447" s="5">
        <v>16.309999999999999</v>
      </c>
      <c r="R447" s="5">
        <v>16.309999999999999</v>
      </c>
    </row>
    <row r="448" spans="1:18" x14ac:dyDescent="0.25">
      <c r="A448">
        <v>2009</v>
      </c>
      <c r="B448">
        <v>12</v>
      </c>
      <c r="C448">
        <v>4</v>
      </c>
      <c r="D448" t="str">
        <f t="shared" si="6"/>
        <v>DC200912-sem4</v>
      </c>
      <c r="E448" s="1">
        <v>40166</v>
      </c>
      <c r="F448" s="1">
        <v>40172</v>
      </c>
      <c r="G448" s="5">
        <v>16.309999999999999</v>
      </c>
      <c r="H448" s="5">
        <v>16.309999999999999</v>
      </c>
      <c r="I448" s="5">
        <v>16.309999999999999</v>
      </c>
      <c r="J448" s="5">
        <v>16.309999999999999</v>
      </c>
      <c r="K448" s="5">
        <v>16.309999999999999</v>
      </c>
      <c r="L448" s="5">
        <v>16.309999999999999</v>
      </c>
      <c r="M448" s="5">
        <v>16.309999999999999</v>
      </c>
      <c r="N448" s="5">
        <v>16.309999999999999</v>
      </c>
      <c r="O448" s="5">
        <v>16.309999999999999</v>
      </c>
      <c r="P448" s="5">
        <v>16.309999999999999</v>
      </c>
      <c r="Q448" s="5">
        <v>16.309999999999999</v>
      </c>
      <c r="R448" s="5">
        <v>16.309999999999999</v>
      </c>
    </row>
    <row r="449" spans="1:18" x14ac:dyDescent="0.25">
      <c r="A449">
        <v>2009</v>
      </c>
      <c r="B449">
        <v>12</v>
      </c>
      <c r="C449">
        <v>5</v>
      </c>
      <c r="D449" t="str">
        <f t="shared" si="6"/>
        <v>DC200912-sem5</v>
      </c>
      <c r="E449" s="1">
        <v>40173</v>
      </c>
      <c r="F449" s="1">
        <v>40179</v>
      </c>
      <c r="G449" s="5">
        <v>16.309999999999999</v>
      </c>
      <c r="H449" s="5">
        <v>16.309999999999999</v>
      </c>
      <c r="I449" s="5">
        <v>16.309999999999999</v>
      </c>
      <c r="J449" s="5">
        <v>16.309999999999999</v>
      </c>
      <c r="K449" s="5">
        <v>16.309999999999999</v>
      </c>
      <c r="L449" s="5">
        <v>16.309999999999999</v>
      </c>
      <c r="M449" s="5">
        <v>16.309999999999999</v>
      </c>
      <c r="N449" s="5">
        <v>16.309999999999999</v>
      </c>
      <c r="O449" s="5">
        <v>16.309999999999999</v>
      </c>
      <c r="P449" s="5">
        <v>16.309999999999999</v>
      </c>
      <c r="Q449" s="5">
        <v>16.309999999999999</v>
      </c>
      <c r="R449" s="5">
        <v>16.309999999999999</v>
      </c>
    </row>
    <row r="450" spans="1:18" x14ac:dyDescent="0.25">
      <c r="A450">
        <v>2010</v>
      </c>
      <c r="B450">
        <v>1</v>
      </c>
      <c r="C450">
        <v>1</v>
      </c>
      <c r="D450" t="str">
        <f t="shared" si="6"/>
        <v>DC201001-sem1</v>
      </c>
      <c r="E450" s="1">
        <v>40180</v>
      </c>
      <c r="F450" s="1">
        <v>40186</v>
      </c>
      <c r="G450" s="5">
        <v>12.8</v>
      </c>
      <c r="H450" s="5">
        <v>12.8</v>
      </c>
      <c r="I450" s="5">
        <v>12.8</v>
      </c>
      <c r="J450" s="5">
        <v>12.8</v>
      </c>
      <c r="K450" s="5">
        <v>12.8</v>
      </c>
      <c r="L450" s="5">
        <v>12.8</v>
      </c>
      <c r="M450" s="5">
        <v>12.8</v>
      </c>
      <c r="N450" s="5">
        <v>12.8</v>
      </c>
      <c r="O450" s="5">
        <v>12.8</v>
      </c>
      <c r="P450" s="5">
        <v>12.8</v>
      </c>
      <c r="Q450" s="5">
        <v>12.8</v>
      </c>
      <c r="R450" s="5">
        <v>12.8</v>
      </c>
    </row>
    <row r="451" spans="1:18" x14ac:dyDescent="0.25">
      <c r="A451">
        <v>2010</v>
      </c>
      <c r="B451">
        <v>1</v>
      </c>
      <c r="C451">
        <v>2</v>
      </c>
      <c r="D451" t="str">
        <f t="shared" ref="D451:D514" si="7">"DC"&amp;A451&amp;REPT("0",2-LEN(B451))&amp;B451&amp;"-sem"&amp;C451</f>
        <v>DC201001-sem2</v>
      </c>
      <c r="E451" s="1">
        <v>40187</v>
      </c>
      <c r="F451" s="1">
        <v>40193</v>
      </c>
      <c r="G451" s="5">
        <v>12.8</v>
      </c>
      <c r="H451" s="5">
        <v>12.8</v>
      </c>
      <c r="I451" s="5">
        <v>12.8</v>
      </c>
      <c r="J451" s="5">
        <v>12.8</v>
      </c>
      <c r="K451" s="5">
        <v>12.8</v>
      </c>
      <c r="L451" s="5">
        <v>12.8</v>
      </c>
      <c r="M451" s="5">
        <v>12.8</v>
      </c>
      <c r="N451" s="5">
        <v>12.8</v>
      </c>
      <c r="O451" s="5">
        <v>12.8</v>
      </c>
      <c r="P451" s="5">
        <v>12.8</v>
      </c>
      <c r="Q451" s="5">
        <v>12.8</v>
      </c>
      <c r="R451" s="5">
        <v>12.8</v>
      </c>
    </row>
    <row r="452" spans="1:18" x14ac:dyDescent="0.25">
      <c r="A452">
        <v>2010</v>
      </c>
      <c r="B452">
        <v>1</v>
      </c>
      <c r="C452">
        <v>3</v>
      </c>
      <c r="D452" t="str">
        <f t="shared" si="7"/>
        <v>DC201001-sem3</v>
      </c>
      <c r="E452" s="1">
        <v>40194</v>
      </c>
      <c r="F452" s="1">
        <v>40200</v>
      </c>
      <c r="G452" s="5">
        <v>12.8</v>
      </c>
      <c r="H452" s="5">
        <v>12.8</v>
      </c>
      <c r="I452" s="5">
        <v>12.8</v>
      </c>
      <c r="J452" s="5">
        <v>12.8</v>
      </c>
      <c r="K452" s="5">
        <v>12.8</v>
      </c>
      <c r="L452" s="5">
        <v>12.8</v>
      </c>
      <c r="M452" s="5">
        <v>12.8</v>
      </c>
      <c r="N452" s="5">
        <v>12.8</v>
      </c>
      <c r="O452" s="5">
        <v>12.8</v>
      </c>
      <c r="P452" s="5">
        <v>12.8</v>
      </c>
      <c r="Q452" s="5">
        <v>12.8</v>
      </c>
      <c r="R452" s="5">
        <v>12.8</v>
      </c>
    </row>
    <row r="453" spans="1:18" x14ac:dyDescent="0.25">
      <c r="A453">
        <v>2010</v>
      </c>
      <c r="B453">
        <v>1</v>
      </c>
      <c r="C453">
        <v>4</v>
      </c>
      <c r="D453" t="str">
        <f t="shared" si="7"/>
        <v>DC201001-sem4</v>
      </c>
      <c r="E453" s="1">
        <v>40201</v>
      </c>
      <c r="F453" s="1">
        <v>40207</v>
      </c>
      <c r="G453" s="5">
        <v>12.8</v>
      </c>
      <c r="H453" s="5">
        <v>12.8</v>
      </c>
      <c r="I453" s="5">
        <v>12.8</v>
      </c>
      <c r="J453" s="5">
        <v>12.8</v>
      </c>
      <c r="K453" s="5">
        <v>12.8</v>
      </c>
      <c r="L453" s="5">
        <v>12.8</v>
      </c>
      <c r="M453" s="5">
        <v>12.8</v>
      </c>
      <c r="N453" s="5">
        <v>12.8</v>
      </c>
      <c r="O453" s="5">
        <v>12.8</v>
      </c>
      <c r="P453" s="5">
        <v>12.8</v>
      </c>
      <c r="Q453" s="5">
        <v>12.8</v>
      </c>
      <c r="R453" s="5">
        <v>12.8</v>
      </c>
    </row>
    <row r="454" spans="1:18" x14ac:dyDescent="0.25">
      <c r="A454">
        <v>2010</v>
      </c>
      <c r="B454">
        <v>2</v>
      </c>
      <c r="C454">
        <v>1</v>
      </c>
      <c r="D454" t="str">
        <f t="shared" si="7"/>
        <v>DC201002-sem1</v>
      </c>
      <c r="E454" s="1">
        <v>40208</v>
      </c>
      <c r="F454" s="1">
        <v>40214</v>
      </c>
      <c r="G454" s="5">
        <v>12.8</v>
      </c>
      <c r="H454" s="5">
        <v>12.8</v>
      </c>
      <c r="I454" s="5">
        <v>12.8</v>
      </c>
      <c r="J454" s="5">
        <v>12.8</v>
      </c>
      <c r="K454" s="5">
        <v>12.8</v>
      </c>
      <c r="L454" s="5">
        <v>12.8</v>
      </c>
      <c r="M454" s="5">
        <v>12.8</v>
      </c>
      <c r="N454" s="5">
        <v>12.8</v>
      </c>
      <c r="O454" s="5">
        <v>12.8</v>
      </c>
      <c r="P454" s="5">
        <v>12.8</v>
      </c>
      <c r="Q454" s="5">
        <v>12.8</v>
      </c>
      <c r="R454" s="5">
        <v>12.8</v>
      </c>
    </row>
    <row r="455" spans="1:18" x14ac:dyDescent="0.25">
      <c r="A455">
        <v>2010</v>
      </c>
      <c r="B455">
        <v>2</v>
      </c>
      <c r="C455">
        <v>2</v>
      </c>
      <c r="D455" t="str">
        <f t="shared" si="7"/>
        <v>DC201002-sem2</v>
      </c>
      <c r="E455" s="1">
        <v>40215</v>
      </c>
      <c r="F455" s="1">
        <v>40221</v>
      </c>
      <c r="G455" s="5">
        <v>12.8</v>
      </c>
      <c r="H455" s="5">
        <v>12.8</v>
      </c>
      <c r="I455" s="5">
        <v>12.8</v>
      </c>
      <c r="J455" s="5">
        <v>12.8</v>
      </c>
      <c r="K455" s="5">
        <v>12.8</v>
      </c>
      <c r="L455" s="5">
        <v>12.8</v>
      </c>
      <c r="M455" s="5">
        <v>12.8</v>
      </c>
      <c r="N455" s="5">
        <v>12.8</v>
      </c>
      <c r="O455" s="5">
        <v>12.8</v>
      </c>
      <c r="P455" s="5">
        <v>12.8</v>
      </c>
      <c r="Q455" s="5">
        <v>12.8</v>
      </c>
      <c r="R455" s="5">
        <v>12.8</v>
      </c>
    </row>
    <row r="456" spans="1:18" x14ac:dyDescent="0.25">
      <c r="A456">
        <v>2010</v>
      </c>
      <c r="B456">
        <v>2</v>
      </c>
      <c r="C456">
        <v>3</v>
      </c>
      <c r="D456" t="str">
        <f t="shared" si="7"/>
        <v>DC201002-sem3</v>
      </c>
      <c r="E456" s="1">
        <v>40222</v>
      </c>
      <c r="F456" s="1">
        <v>40228</v>
      </c>
      <c r="G456" s="5">
        <v>12.8</v>
      </c>
      <c r="H456" s="5">
        <v>12.8</v>
      </c>
      <c r="I456" s="5">
        <v>12.8</v>
      </c>
      <c r="J456" s="5">
        <v>12.8</v>
      </c>
      <c r="K456" s="5">
        <v>12.8</v>
      </c>
      <c r="L456" s="5">
        <v>12.8</v>
      </c>
      <c r="M456" s="5">
        <v>14.84</v>
      </c>
      <c r="N456" s="5">
        <v>14.84</v>
      </c>
      <c r="O456" s="5">
        <v>14.84</v>
      </c>
      <c r="P456" s="5">
        <v>12.8</v>
      </c>
      <c r="Q456" s="5">
        <v>12.8</v>
      </c>
      <c r="R456" s="5">
        <v>12.8</v>
      </c>
    </row>
    <row r="457" spans="1:18" x14ac:dyDescent="0.25">
      <c r="A457">
        <v>2010</v>
      </c>
      <c r="B457">
        <v>2</v>
      </c>
      <c r="C457">
        <v>4</v>
      </c>
      <c r="D457" t="str">
        <f t="shared" si="7"/>
        <v>DC201002-sem4</v>
      </c>
      <c r="E457" s="1">
        <v>40229</v>
      </c>
      <c r="F457" s="1">
        <v>40235</v>
      </c>
      <c r="G457" s="5">
        <v>12.8</v>
      </c>
      <c r="H457" s="5">
        <v>12.8</v>
      </c>
      <c r="I457" s="5">
        <v>12.8</v>
      </c>
      <c r="J457" s="5">
        <v>12.8</v>
      </c>
      <c r="K457" s="5">
        <v>12.8</v>
      </c>
      <c r="L457" s="5">
        <v>12.8</v>
      </c>
      <c r="M457" s="5">
        <v>16.97</v>
      </c>
      <c r="N457" s="5">
        <v>16.97</v>
      </c>
      <c r="O457" s="5">
        <v>16.97</v>
      </c>
      <c r="P457" s="5">
        <v>12.8</v>
      </c>
      <c r="Q457" s="5">
        <v>12.8</v>
      </c>
      <c r="R457" s="5">
        <v>12.8</v>
      </c>
    </row>
    <row r="458" spans="1:18" x14ac:dyDescent="0.25">
      <c r="A458">
        <v>2010</v>
      </c>
      <c r="B458">
        <v>3</v>
      </c>
      <c r="C458">
        <v>1</v>
      </c>
      <c r="D458" t="str">
        <f t="shared" si="7"/>
        <v>DC201003-sem1</v>
      </c>
      <c r="E458" s="1">
        <v>40236</v>
      </c>
      <c r="F458" s="1">
        <v>40242</v>
      </c>
      <c r="G458" s="5">
        <v>33.29</v>
      </c>
      <c r="H458" s="5">
        <v>31.34</v>
      </c>
      <c r="I458" s="5">
        <v>23.28</v>
      </c>
      <c r="J458" s="5">
        <v>33.29</v>
      </c>
      <c r="K458" s="5">
        <v>31.34</v>
      </c>
      <c r="L458" s="5">
        <v>23.28</v>
      </c>
      <c r="M458" s="5">
        <v>34.81</v>
      </c>
      <c r="N458" s="5">
        <v>34.56</v>
      </c>
      <c r="O458" s="5">
        <v>34.56</v>
      </c>
      <c r="P458" s="5">
        <v>33.29</v>
      </c>
      <c r="Q458" s="5">
        <v>31.34</v>
      </c>
      <c r="R458" s="5">
        <v>23.28</v>
      </c>
    </row>
    <row r="459" spans="1:18" x14ac:dyDescent="0.25">
      <c r="A459">
        <v>2010</v>
      </c>
      <c r="B459">
        <v>3</v>
      </c>
      <c r="C459">
        <v>2</v>
      </c>
      <c r="D459" t="str">
        <f t="shared" si="7"/>
        <v>DC201003-sem2</v>
      </c>
      <c r="E459" s="1">
        <v>40243</v>
      </c>
      <c r="F459" s="1">
        <v>40249</v>
      </c>
      <c r="G459" s="5">
        <v>17.7</v>
      </c>
      <c r="H459" s="5">
        <v>17.57</v>
      </c>
      <c r="I459" s="5">
        <v>12.8</v>
      </c>
      <c r="J459" s="5">
        <v>17.7</v>
      </c>
      <c r="K459" s="5">
        <v>17.57</v>
      </c>
      <c r="L459" s="5">
        <v>12.8</v>
      </c>
      <c r="M459" s="5">
        <v>20.89</v>
      </c>
      <c r="N459" s="5">
        <v>20.89</v>
      </c>
      <c r="O459" s="5">
        <v>20.89</v>
      </c>
      <c r="P459" s="5">
        <v>17.7</v>
      </c>
      <c r="Q459" s="5">
        <v>17.57</v>
      </c>
      <c r="R459" s="5">
        <v>12.8</v>
      </c>
    </row>
    <row r="460" spans="1:18" x14ac:dyDescent="0.25">
      <c r="A460">
        <v>2010</v>
      </c>
      <c r="B460">
        <v>3</v>
      </c>
      <c r="C460">
        <v>3</v>
      </c>
      <c r="D460" t="str">
        <f t="shared" si="7"/>
        <v>DC201003-sem3</v>
      </c>
      <c r="E460" s="1">
        <v>40250</v>
      </c>
      <c r="F460" s="1">
        <v>40256</v>
      </c>
      <c r="G460" s="5">
        <v>25.99</v>
      </c>
      <c r="H460" s="5">
        <v>25.7</v>
      </c>
      <c r="I460" s="5">
        <v>12.8</v>
      </c>
      <c r="J460" s="5">
        <v>25.99</v>
      </c>
      <c r="K460" s="5">
        <v>25.7</v>
      </c>
      <c r="L460" s="5">
        <v>12.8</v>
      </c>
      <c r="M460" s="5">
        <v>25.99</v>
      </c>
      <c r="N460" s="5">
        <v>25.7</v>
      </c>
      <c r="O460" s="5">
        <v>25.55</v>
      </c>
      <c r="P460" s="5">
        <v>25.99</v>
      </c>
      <c r="Q460" s="5">
        <v>25.7</v>
      </c>
      <c r="R460" s="5">
        <v>12.8</v>
      </c>
    </row>
    <row r="461" spans="1:18" x14ac:dyDescent="0.25">
      <c r="A461">
        <v>2010</v>
      </c>
      <c r="B461">
        <v>3</v>
      </c>
      <c r="C461">
        <v>4</v>
      </c>
      <c r="D461" t="str">
        <f t="shared" si="7"/>
        <v>DC201003-sem4</v>
      </c>
      <c r="E461" s="1">
        <v>40257</v>
      </c>
      <c r="F461" s="1">
        <v>40263</v>
      </c>
      <c r="G461" s="5">
        <v>36.72</v>
      </c>
      <c r="H461" s="5">
        <v>36.17</v>
      </c>
      <c r="I461" s="5">
        <v>35.049999999999997</v>
      </c>
      <c r="J461" s="5">
        <v>36.72</v>
      </c>
      <c r="K461" s="5">
        <v>36.17</v>
      </c>
      <c r="L461" s="5">
        <v>35.049999999999997</v>
      </c>
      <c r="M461" s="5">
        <v>36.67</v>
      </c>
      <c r="N461" s="5">
        <v>36.17</v>
      </c>
      <c r="O461" s="5">
        <v>35.380000000000003</v>
      </c>
      <c r="P461" s="5">
        <v>36.67</v>
      </c>
      <c r="Q461" s="5">
        <v>36.17</v>
      </c>
      <c r="R461" s="5">
        <v>35.049999999999997</v>
      </c>
    </row>
    <row r="462" spans="1:18" x14ac:dyDescent="0.25">
      <c r="A462">
        <v>2010</v>
      </c>
      <c r="B462">
        <v>4</v>
      </c>
      <c r="C462">
        <v>1</v>
      </c>
      <c r="D462" t="str">
        <f t="shared" si="7"/>
        <v>DC201004-sem1</v>
      </c>
      <c r="E462" s="1">
        <v>40264</v>
      </c>
      <c r="F462" s="1">
        <v>40270</v>
      </c>
      <c r="G462" s="5">
        <v>38.83</v>
      </c>
      <c r="H462" s="5">
        <v>38.19</v>
      </c>
      <c r="I462" s="5">
        <v>37.15</v>
      </c>
      <c r="J462" s="5">
        <v>38.83</v>
      </c>
      <c r="K462" s="5">
        <v>38.19</v>
      </c>
      <c r="L462" s="5">
        <v>37.15</v>
      </c>
      <c r="M462" s="5">
        <v>38.83</v>
      </c>
      <c r="N462" s="5">
        <v>38.19</v>
      </c>
      <c r="O462" s="5">
        <v>38.19</v>
      </c>
      <c r="P462" s="5">
        <v>38.83</v>
      </c>
      <c r="Q462" s="5">
        <v>38.19</v>
      </c>
      <c r="R462" s="5">
        <v>37.15</v>
      </c>
    </row>
    <row r="463" spans="1:18" x14ac:dyDescent="0.25">
      <c r="A463">
        <v>2010</v>
      </c>
      <c r="B463">
        <v>4</v>
      </c>
      <c r="C463">
        <v>2</v>
      </c>
      <c r="D463" t="str">
        <f t="shared" si="7"/>
        <v>DC201004-sem2</v>
      </c>
      <c r="E463" s="1">
        <v>40271</v>
      </c>
      <c r="F463" s="1">
        <v>40277</v>
      </c>
      <c r="G463" s="5">
        <v>26.76</v>
      </c>
      <c r="H463" s="5">
        <v>26.09</v>
      </c>
      <c r="I463" s="5">
        <v>12.8</v>
      </c>
      <c r="J463" s="5">
        <v>26.76</v>
      </c>
      <c r="K463" s="5">
        <v>26.09</v>
      </c>
      <c r="L463" s="5">
        <v>12.8</v>
      </c>
      <c r="M463" s="5">
        <v>26.76</v>
      </c>
      <c r="N463" s="5">
        <v>26.58</v>
      </c>
      <c r="O463" s="5">
        <v>26.58</v>
      </c>
      <c r="P463" s="5">
        <v>26.76</v>
      </c>
      <c r="Q463" s="5">
        <v>26.09</v>
      </c>
      <c r="R463" s="5">
        <v>12.8</v>
      </c>
    </row>
    <row r="464" spans="1:18" x14ac:dyDescent="0.25">
      <c r="A464">
        <v>2010</v>
      </c>
      <c r="B464">
        <v>4</v>
      </c>
      <c r="C464">
        <v>3</v>
      </c>
      <c r="D464" t="str">
        <f t="shared" si="7"/>
        <v>DC201004-sem3</v>
      </c>
      <c r="E464" s="1">
        <v>40278</v>
      </c>
      <c r="F464" s="1">
        <v>40284</v>
      </c>
      <c r="G464" s="5">
        <v>12.8</v>
      </c>
      <c r="H464" s="5">
        <v>12.8</v>
      </c>
      <c r="I464" s="5">
        <v>12.8</v>
      </c>
      <c r="J464" s="5">
        <v>12.8</v>
      </c>
      <c r="K464" s="5">
        <v>12.8</v>
      </c>
      <c r="L464" s="5">
        <v>12.8</v>
      </c>
      <c r="M464" s="5">
        <v>20.63</v>
      </c>
      <c r="N464" s="5">
        <v>20.63</v>
      </c>
      <c r="O464" s="5">
        <v>20.63</v>
      </c>
      <c r="P464" s="5">
        <v>12.8</v>
      </c>
      <c r="Q464" s="5">
        <v>12.8</v>
      </c>
      <c r="R464" s="5">
        <v>12.8</v>
      </c>
    </row>
    <row r="465" spans="1:18" x14ac:dyDescent="0.25">
      <c r="A465">
        <v>2010</v>
      </c>
      <c r="B465">
        <v>4</v>
      </c>
      <c r="C465">
        <v>4</v>
      </c>
      <c r="D465" t="str">
        <f t="shared" si="7"/>
        <v>DC201004-sem4</v>
      </c>
      <c r="E465" s="1">
        <v>40285</v>
      </c>
      <c r="F465" s="1">
        <v>40291</v>
      </c>
      <c r="G465" s="5">
        <v>24.81</v>
      </c>
      <c r="H465" s="5">
        <v>24.47</v>
      </c>
      <c r="I465" s="5">
        <v>23.26</v>
      </c>
      <c r="J465" s="5">
        <v>24.81</v>
      </c>
      <c r="K465" s="5">
        <v>24.47</v>
      </c>
      <c r="L465" s="5">
        <v>23.26</v>
      </c>
      <c r="M465" s="5">
        <v>24.62</v>
      </c>
      <c r="N465" s="5">
        <v>24.47</v>
      </c>
      <c r="O465" s="5">
        <v>23.48</v>
      </c>
      <c r="P465" s="5">
        <v>24.62</v>
      </c>
      <c r="Q465" s="5">
        <v>24.47</v>
      </c>
      <c r="R465" s="5">
        <v>23.26</v>
      </c>
    </row>
    <row r="466" spans="1:18" x14ac:dyDescent="0.25">
      <c r="A466">
        <v>2010</v>
      </c>
      <c r="B466">
        <v>4</v>
      </c>
      <c r="C466">
        <v>5</v>
      </c>
      <c r="D466" t="str">
        <f t="shared" si="7"/>
        <v>DC201004-sem5</v>
      </c>
      <c r="E466" s="1">
        <v>40292</v>
      </c>
      <c r="F466" s="1">
        <v>40298</v>
      </c>
      <c r="G466" s="5">
        <v>24</v>
      </c>
      <c r="H466" s="5">
        <v>23.67</v>
      </c>
      <c r="I466" s="5">
        <v>22.09</v>
      </c>
      <c r="J466" s="5">
        <v>24</v>
      </c>
      <c r="K466" s="5">
        <v>23.67</v>
      </c>
      <c r="L466" s="5">
        <v>22.09</v>
      </c>
      <c r="M466" s="5">
        <v>23.67</v>
      </c>
      <c r="N466" s="5">
        <v>23.67</v>
      </c>
      <c r="O466" s="5">
        <v>22.71</v>
      </c>
      <c r="P466" s="5">
        <v>23.67</v>
      </c>
      <c r="Q466" s="5">
        <v>23.67</v>
      </c>
      <c r="R466" s="5">
        <v>22.09</v>
      </c>
    </row>
    <row r="467" spans="1:18" x14ac:dyDescent="0.25">
      <c r="A467">
        <v>2010</v>
      </c>
      <c r="B467">
        <v>5</v>
      </c>
      <c r="C467">
        <v>1</v>
      </c>
      <c r="D467" t="str">
        <f t="shared" si="7"/>
        <v>DC201005-sem1</v>
      </c>
      <c r="E467" s="1">
        <v>40299</v>
      </c>
      <c r="F467" s="1">
        <v>40305</v>
      </c>
      <c r="G467" s="5">
        <v>25.16</v>
      </c>
      <c r="H467" s="5">
        <v>24.87</v>
      </c>
      <c r="I467" s="5">
        <v>22.35</v>
      </c>
      <c r="J467" s="5">
        <v>25.16</v>
      </c>
      <c r="K467" s="5">
        <v>24.87</v>
      </c>
      <c r="L467" s="5">
        <v>13.46</v>
      </c>
      <c r="M467" s="5">
        <v>25.16</v>
      </c>
      <c r="N467" s="5">
        <v>25.01</v>
      </c>
      <c r="O467" s="5">
        <v>25.01</v>
      </c>
      <c r="P467" s="5">
        <v>25.16</v>
      </c>
      <c r="Q467" s="5">
        <v>24.87</v>
      </c>
      <c r="R467" s="5">
        <v>22.35</v>
      </c>
    </row>
    <row r="468" spans="1:18" x14ac:dyDescent="0.25">
      <c r="A468">
        <v>2010</v>
      </c>
      <c r="B468">
        <v>5</v>
      </c>
      <c r="C468">
        <v>2</v>
      </c>
      <c r="D468" t="str">
        <f t="shared" si="7"/>
        <v>DC201005-sem2</v>
      </c>
      <c r="E468" s="1">
        <v>40306</v>
      </c>
      <c r="F468" s="1">
        <v>40312</v>
      </c>
      <c r="G468" s="5">
        <v>30.27</v>
      </c>
      <c r="H468" s="5">
        <v>29.69</v>
      </c>
      <c r="I468" s="5">
        <v>22.87</v>
      </c>
      <c r="J468" s="5">
        <v>30.27</v>
      </c>
      <c r="K468" s="5">
        <v>29.69</v>
      </c>
      <c r="L468" s="5">
        <v>12.8</v>
      </c>
      <c r="M468" s="5">
        <v>30.6</v>
      </c>
      <c r="N468" s="5">
        <v>30.6</v>
      </c>
      <c r="O468" s="5">
        <v>30.6</v>
      </c>
      <c r="P468" s="5">
        <v>30.27</v>
      </c>
      <c r="Q468" s="5">
        <v>29.69</v>
      </c>
      <c r="R468" s="5">
        <v>22.87</v>
      </c>
    </row>
    <row r="469" spans="1:18" x14ac:dyDescent="0.25">
      <c r="A469">
        <v>2010</v>
      </c>
      <c r="B469">
        <v>5</v>
      </c>
      <c r="C469">
        <v>3</v>
      </c>
      <c r="D469" t="str">
        <f t="shared" si="7"/>
        <v>DC201005-sem3</v>
      </c>
      <c r="E469" s="1">
        <v>40313</v>
      </c>
      <c r="F469" s="1">
        <v>40319</v>
      </c>
      <c r="G469" s="5">
        <v>33.770000000000003</v>
      </c>
      <c r="H469" s="5">
        <v>33.049999999999997</v>
      </c>
      <c r="I469" s="5">
        <v>32.43</v>
      </c>
      <c r="J469" s="5">
        <v>33.770000000000003</v>
      </c>
      <c r="K469" s="5">
        <v>33.049999999999997</v>
      </c>
      <c r="L469" s="5">
        <v>32.43</v>
      </c>
      <c r="M469" s="5">
        <v>34.479999999999997</v>
      </c>
      <c r="N469" s="5">
        <v>34.479999999999997</v>
      </c>
      <c r="O469" s="5">
        <v>34.479999999999997</v>
      </c>
      <c r="P469" s="5">
        <v>33.770000000000003</v>
      </c>
      <c r="Q469" s="5">
        <v>33.049999999999997</v>
      </c>
      <c r="R469" s="5">
        <v>32.43</v>
      </c>
    </row>
    <row r="470" spans="1:18" x14ac:dyDescent="0.25">
      <c r="A470">
        <v>2010</v>
      </c>
      <c r="B470">
        <v>5</v>
      </c>
      <c r="C470">
        <v>4</v>
      </c>
      <c r="D470" t="str">
        <f t="shared" si="7"/>
        <v>DC201005-sem4</v>
      </c>
      <c r="E470" s="1">
        <v>40320</v>
      </c>
      <c r="F470" s="1">
        <v>40326</v>
      </c>
      <c r="G470" s="5">
        <v>36.25</v>
      </c>
      <c r="H470" s="5">
        <v>35.22</v>
      </c>
      <c r="I470" s="5">
        <v>34.49</v>
      </c>
      <c r="J470" s="5">
        <v>36.25</v>
      </c>
      <c r="K470" s="5">
        <v>35.22</v>
      </c>
      <c r="L470" s="5">
        <v>27.9</v>
      </c>
      <c r="M470" s="5">
        <v>36.25</v>
      </c>
      <c r="N470" s="5">
        <v>36.25</v>
      </c>
      <c r="O470" s="5">
        <v>36.25</v>
      </c>
      <c r="P470" s="5">
        <v>36.25</v>
      </c>
      <c r="Q470" s="5">
        <v>35.22</v>
      </c>
      <c r="R470" s="5">
        <v>34.57</v>
      </c>
    </row>
    <row r="471" spans="1:18" x14ac:dyDescent="0.25">
      <c r="A471">
        <v>2010</v>
      </c>
      <c r="B471">
        <v>6</v>
      </c>
      <c r="C471">
        <v>1</v>
      </c>
      <c r="D471" t="str">
        <f t="shared" si="7"/>
        <v>DC201006-sem1</v>
      </c>
      <c r="E471" s="1">
        <v>40327</v>
      </c>
      <c r="F471" s="1">
        <v>40333</v>
      </c>
      <c r="G471" s="5">
        <v>58.07</v>
      </c>
      <c r="H471" s="5">
        <v>56.44</v>
      </c>
      <c r="I471" s="5">
        <v>56.07</v>
      </c>
      <c r="J471" s="5">
        <v>58.07</v>
      </c>
      <c r="K471" s="5">
        <v>56.44</v>
      </c>
      <c r="L471" s="5">
        <v>56.07</v>
      </c>
      <c r="M471" s="5">
        <v>58.07</v>
      </c>
      <c r="N471" s="5">
        <v>56.44</v>
      </c>
      <c r="O471" s="5">
        <v>56.07</v>
      </c>
      <c r="P471" s="5">
        <v>58.07</v>
      </c>
      <c r="Q471" s="5">
        <v>56.44</v>
      </c>
      <c r="R471" s="5">
        <v>56.07</v>
      </c>
    </row>
    <row r="472" spans="1:18" x14ac:dyDescent="0.25">
      <c r="A472">
        <v>2010</v>
      </c>
      <c r="B472">
        <v>6</v>
      </c>
      <c r="C472">
        <v>2</v>
      </c>
      <c r="D472" t="str">
        <f t="shared" si="7"/>
        <v>DC201006-sem2</v>
      </c>
      <c r="E472" s="1">
        <v>40334</v>
      </c>
      <c r="F472" s="1">
        <v>40340</v>
      </c>
      <c r="G472" s="5">
        <v>61.38</v>
      </c>
      <c r="H472" s="5">
        <v>60.86</v>
      </c>
      <c r="I472" s="5">
        <v>59.9</v>
      </c>
      <c r="J472" s="5">
        <v>61.38</v>
      </c>
      <c r="K472" s="5">
        <v>60.86</v>
      </c>
      <c r="L472" s="5">
        <v>59.9</v>
      </c>
      <c r="M472" s="5">
        <v>61.38</v>
      </c>
      <c r="N472" s="5">
        <v>60.86</v>
      </c>
      <c r="O472" s="5">
        <v>59.9</v>
      </c>
      <c r="P472" s="5">
        <v>61.38</v>
      </c>
      <c r="Q472" s="5">
        <v>60.86</v>
      </c>
      <c r="R472" s="5">
        <v>59.9</v>
      </c>
    </row>
    <row r="473" spans="1:18" x14ac:dyDescent="0.25">
      <c r="A473">
        <v>2010</v>
      </c>
      <c r="B473">
        <v>6</v>
      </c>
      <c r="C473">
        <v>3</v>
      </c>
      <c r="D473" t="str">
        <f t="shared" si="7"/>
        <v>DC201006-sem3</v>
      </c>
      <c r="E473" s="1">
        <v>40341</v>
      </c>
      <c r="F473" s="1">
        <v>40347</v>
      </c>
      <c r="G473" s="5">
        <v>60.48</v>
      </c>
      <c r="H473" s="5">
        <v>59.88</v>
      </c>
      <c r="I473" s="5">
        <v>59.49</v>
      </c>
      <c r="J473" s="5">
        <v>60.48</v>
      </c>
      <c r="K473" s="5">
        <v>59.88</v>
      </c>
      <c r="L473" s="5">
        <v>59.49</v>
      </c>
      <c r="M473" s="5">
        <v>60.48</v>
      </c>
      <c r="N473" s="5">
        <v>59.88</v>
      </c>
      <c r="O473" s="5">
        <v>59.49</v>
      </c>
      <c r="P473" s="5">
        <v>60.48</v>
      </c>
      <c r="Q473" s="5">
        <v>59.88</v>
      </c>
      <c r="R473" s="5">
        <v>59.49</v>
      </c>
    </row>
    <row r="474" spans="1:18" x14ac:dyDescent="0.25">
      <c r="A474">
        <v>2010</v>
      </c>
      <c r="B474">
        <v>6</v>
      </c>
      <c r="C474">
        <v>4</v>
      </c>
      <c r="D474" t="str">
        <f t="shared" si="7"/>
        <v>DC201006-sem4</v>
      </c>
      <c r="E474" s="1">
        <v>40348</v>
      </c>
      <c r="F474" s="1">
        <v>40354</v>
      </c>
      <c r="G474" s="5">
        <v>66.05</v>
      </c>
      <c r="H474" s="5">
        <v>65.88</v>
      </c>
      <c r="I474" s="5">
        <v>65.430000000000007</v>
      </c>
      <c r="J474" s="5">
        <v>66.05</v>
      </c>
      <c r="K474" s="5">
        <v>65.88</v>
      </c>
      <c r="L474" s="5">
        <v>65.430000000000007</v>
      </c>
      <c r="M474" s="5">
        <v>66.05</v>
      </c>
      <c r="N474" s="5">
        <v>65.88</v>
      </c>
      <c r="O474" s="5">
        <v>65.430000000000007</v>
      </c>
      <c r="P474" s="5">
        <v>66.05</v>
      </c>
      <c r="Q474" s="5">
        <v>65.88</v>
      </c>
      <c r="R474" s="5">
        <v>65.430000000000007</v>
      </c>
    </row>
    <row r="475" spans="1:18" x14ac:dyDescent="0.25">
      <c r="A475">
        <v>2010</v>
      </c>
      <c r="B475">
        <v>7</v>
      </c>
      <c r="C475">
        <v>1</v>
      </c>
      <c r="D475" t="str">
        <f t="shared" si="7"/>
        <v>DC201007-sem1</v>
      </c>
      <c r="E475" s="1">
        <v>40355</v>
      </c>
      <c r="F475" s="1">
        <v>40361</v>
      </c>
      <c r="G475" s="5">
        <v>103.36</v>
      </c>
      <c r="H475" s="5">
        <v>100.61</v>
      </c>
      <c r="I475" s="5">
        <v>99.67</v>
      </c>
      <c r="J475" s="5">
        <v>103.36</v>
      </c>
      <c r="K475" s="5">
        <v>100.61</v>
      </c>
      <c r="L475" s="5">
        <v>99.67</v>
      </c>
      <c r="M475" s="5">
        <v>110.68</v>
      </c>
      <c r="N475" s="5">
        <v>110.68</v>
      </c>
      <c r="O475" s="5">
        <v>110.68</v>
      </c>
      <c r="P475" s="5">
        <v>110.68</v>
      </c>
      <c r="Q475" s="5">
        <v>110.68</v>
      </c>
      <c r="R475" s="5">
        <v>110.68</v>
      </c>
    </row>
    <row r="476" spans="1:18" x14ac:dyDescent="0.25">
      <c r="A476">
        <v>2010</v>
      </c>
      <c r="B476">
        <v>7</v>
      </c>
      <c r="C476">
        <v>2</v>
      </c>
      <c r="D476" t="str">
        <f t="shared" si="7"/>
        <v>DC201007-sem2</v>
      </c>
      <c r="E476" s="1">
        <v>40362</v>
      </c>
      <c r="F476" s="1">
        <v>40368</v>
      </c>
      <c r="G476" s="5">
        <v>104.59</v>
      </c>
      <c r="H476" s="5">
        <v>102.75</v>
      </c>
      <c r="I476" s="5">
        <v>102.29</v>
      </c>
      <c r="J476" s="5">
        <v>104.59</v>
      </c>
      <c r="K476" s="5">
        <v>102.75</v>
      </c>
      <c r="L476" s="5">
        <v>102.29</v>
      </c>
      <c r="M476" s="5">
        <v>104.59</v>
      </c>
      <c r="N476" s="5">
        <v>102.75</v>
      </c>
      <c r="O476" s="5">
        <v>102.75</v>
      </c>
      <c r="P476" s="5">
        <v>104.59</v>
      </c>
      <c r="Q476" s="5">
        <v>102.75</v>
      </c>
      <c r="R476" s="5">
        <v>102.75</v>
      </c>
    </row>
    <row r="477" spans="1:18" x14ac:dyDescent="0.25">
      <c r="A477">
        <v>2010</v>
      </c>
      <c r="B477">
        <v>7</v>
      </c>
      <c r="C477">
        <v>3</v>
      </c>
      <c r="D477" t="str">
        <f t="shared" si="7"/>
        <v>DC201007-sem3</v>
      </c>
      <c r="E477" s="1">
        <v>40369</v>
      </c>
      <c r="F477" s="1">
        <v>40375</v>
      </c>
      <c r="G477" s="5">
        <v>100.03</v>
      </c>
      <c r="H477" s="5">
        <v>96.26</v>
      </c>
      <c r="I477" s="5">
        <v>95</v>
      </c>
      <c r="J477" s="5">
        <v>100.03</v>
      </c>
      <c r="K477" s="5">
        <v>96.26</v>
      </c>
      <c r="L477" s="5">
        <v>95</v>
      </c>
      <c r="M477" s="5">
        <v>100.03</v>
      </c>
      <c r="N477" s="5">
        <v>98.5</v>
      </c>
      <c r="O477" s="5">
        <v>98.5</v>
      </c>
      <c r="P477" s="5">
        <v>100.03</v>
      </c>
      <c r="Q477" s="5">
        <v>98.5</v>
      </c>
      <c r="R477" s="5">
        <v>98.5</v>
      </c>
    </row>
    <row r="478" spans="1:18" x14ac:dyDescent="0.25">
      <c r="A478">
        <v>2010</v>
      </c>
      <c r="B478">
        <v>7</v>
      </c>
      <c r="C478">
        <v>4</v>
      </c>
      <c r="D478" t="str">
        <f t="shared" si="7"/>
        <v>DC201007-sem4</v>
      </c>
      <c r="E478" s="1">
        <v>40376</v>
      </c>
      <c r="F478" s="1">
        <v>40382</v>
      </c>
      <c r="G478" s="5">
        <v>86.6</v>
      </c>
      <c r="H478" s="5">
        <v>81.64</v>
      </c>
      <c r="I478" s="5">
        <v>78.150000000000006</v>
      </c>
      <c r="J478" s="5">
        <v>86.6</v>
      </c>
      <c r="K478" s="5">
        <v>81.64</v>
      </c>
      <c r="L478" s="5">
        <v>78.150000000000006</v>
      </c>
      <c r="M478" s="5">
        <v>94.51</v>
      </c>
      <c r="N478" s="5">
        <v>94.51</v>
      </c>
      <c r="O478" s="5">
        <v>94.51</v>
      </c>
      <c r="P478" s="5">
        <v>94.51</v>
      </c>
      <c r="Q478" s="5">
        <v>94.51</v>
      </c>
      <c r="R478" s="5">
        <v>94.51</v>
      </c>
    </row>
    <row r="479" spans="1:18" x14ac:dyDescent="0.25">
      <c r="A479">
        <v>2010</v>
      </c>
      <c r="B479">
        <v>7</v>
      </c>
      <c r="C479">
        <v>5</v>
      </c>
      <c r="D479" t="str">
        <f t="shared" si="7"/>
        <v>DC201007-sem5</v>
      </c>
      <c r="E479" s="1">
        <v>40383</v>
      </c>
      <c r="F479" s="1">
        <v>40389</v>
      </c>
      <c r="G479" s="5">
        <v>79.16</v>
      </c>
      <c r="H479" s="5">
        <v>73.16</v>
      </c>
      <c r="I479" s="5">
        <v>71.36</v>
      </c>
      <c r="J479" s="5">
        <v>79.16</v>
      </c>
      <c r="K479" s="5">
        <v>73.150000000000006</v>
      </c>
      <c r="L479" s="5">
        <v>71.36</v>
      </c>
      <c r="M479" s="5">
        <v>89.21</v>
      </c>
      <c r="N479" s="5">
        <v>89.21</v>
      </c>
      <c r="O479" s="5">
        <v>89.21</v>
      </c>
      <c r="P479" s="5">
        <v>89.21</v>
      </c>
      <c r="Q479" s="5">
        <v>89.21</v>
      </c>
      <c r="R479" s="5">
        <v>89.21</v>
      </c>
    </row>
    <row r="480" spans="1:18" x14ac:dyDescent="0.25">
      <c r="A480">
        <v>2010</v>
      </c>
      <c r="B480">
        <v>8</v>
      </c>
      <c r="C480">
        <v>1</v>
      </c>
      <c r="D480" t="str">
        <f t="shared" si="7"/>
        <v>DC201008-sem1</v>
      </c>
      <c r="E480" s="1">
        <v>40390</v>
      </c>
      <c r="F480" s="1">
        <v>40396</v>
      </c>
      <c r="G480" s="5">
        <v>107.23</v>
      </c>
      <c r="H480" s="5">
        <v>105.3</v>
      </c>
      <c r="I480" s="5">
        <v>104.64</v>
      </c>
      <c r="J480" s="5">
        <v>107.23</v>
      </c>
      <c r="K480" s="5">
        <v>105.3</v>
      </c>
      <c r="L480" s="5">
        <v>104.64</v>
      </c>
      <c r="M480" s="5">
        <v>107.23</v>
      </c>
      <c r="N480" s="5">
        <v>105.49</v>
      </c>
      <c r="O480" s="5">
        <v>105.49</v>
      </c>
      <c r="P480" s="5">
        <v>107.23</v>
      </c>
      <c r="Q480" s="5">
        <v>105.49</v>
      </c>
      <c r="R480" s="5">
        <v>105.49</v>
      </c>
    </row>
    <row r="481" spans="1:18" x14ac:dyDescent="0.25">
      <c r="A481">
        <v>2010</v>
      </c>
      <c r="B481">
        <v>8</v>
      </c>
      <c r="C481">
        <v>2</v>
      </c>
      <c r="D481" t="str">
        <f t="shared" si="7"/>
        <v>DC201008-sem2</v>
      </c>
      <c r="E481" s="1">
        <v>40397</v>
      </c>
      <c r="F481" s="1">
        <v>40403</v>
      </c>
      <c r="G481" s="5">
        <v>128.74</v>
      </c>
      <c r="H481" s="5">
        <v>125.39</v>
      </c>
      <c r="I481" s="5">
        <v>124.16</v>
      </c>
      <c r="J481" s="5">
        <v>128.74</v>
      </c>
      <c r="K481" s="5">
        <v>125.39</v>
      </c>
      <c r="L481" s="5">
        <v>124.16</v>
      </c>
      <c r="M481" s="5">
        <v>128.74</v>
      </c>
      <c r="N481" s="5">
        <v>125.39</v>
      </c>
      <c r="O481" s="5">
        <v>125.39</v>
      </c>
      <c r="P481" s="5">
        <v>128.74</v>
      </c>
      <c r="Q481" s="5">
        <v>125.39</v>
      </c>
      <c r="R481" s="5">
        <v>125.39</v>
      </c>
    </row>
    <row r="482" spans="1:18" x14ac:dyDescent="0.25">
      <c r="A482">
        <v>2010</v>
      </c>
      <c r="B482">
        <v>8</v>
      </c>
      <c r="C482">
        <v>3</v>
      </c>
      <c r="D482" t="str">
        <f t="shared" si="7"/>
        <v>DC201008-sem3</v>
      </c>
      <c r="E482" s="1">
        <v>40404</v>
      </c>
      <c r="F482" s="1">
        <v>40410</v>
      </c>
      <c r="G482" s="5">
        <v>120.23</v>
      </c>
      <c r="H482" s="5">
        <v>118.18</v>
      </c>
      <c r="I482" s="5">
        <v>114.95</v>
      </c>
      <c r="J482" s="5">
        <v>120.23</v>
      </c>
      <c r="K482" s="5">
        <v>118.18</v>
      </c>
      <c r="L482" s="5">
        <v>114.95</v>
      </c>
      <c r="M482" s="5">
        <v>120.23</v>
      </c>
      <c r="N482" s="5">
        <v>118.18</v>
      </c>
      <c r="O482" s="5">
        <v>118.18</v>
      </c>
      <c r="P482" s="5">
        <v>120.23</v>
      </c>
      <c r="Q482" s="5">
        <v>118.18</v>
      </c>
      <c r="R482" s="5">
        <v>118.18</v>
      </c>
    </row>
    <row r="483" spans="1:18" x14ac:dyDescent="0.25">
      <c r="A483">
        <v>2010</v>
      </c>
      <c r="B483">
        <v>8</v>
      </c>
      <c r="C483">
        <v>4</v>
      </c>
      <c r="D483" t="str">
        <f t="shared" si="7"/>
        <v>DC201008-sem4</v>
      </c>
      <c r="E483" s="1">
        <v>40411</v>
      </c>
      <c r="F483" s="1">
        <v>40417</v>
      </c>
      <c r="G483" s="5">
        <v>125.73</v>
      </c>
      <c r="H483" s="5">
        <v>123.77</v>
      </c>
      <c r="I483" s="5">
        <v>122.27</v>
      </c>
      <c r="J483" s="5">
        <v>125.73</v>
      </c>
      <c r="K483" s="5">
        <v>123.77</v>
      </c>
      <c r="L483" s="5">
        <v>122.27</v>
      </c>
      <c r="M483" s="5">
        <v>125.73</v>
      </c>
      <c r="N483" s="5">
        <v>123.77</v>
      </c>
      <c r="O483" s="5">
        <v>123.77</v>
      </c>
      <c r="P483" s="5">
        <v>125.73</v>
      </c>
      <c r="Q483" s="5">
        <v>123.77</v>
      </c>
      <c r="R483" s="5">
        <v>123.57</v>
      </c>
    </row>
    <row r="484" spans="1:18" x14ac:dyDescent="0.25">
      <c r="A484">
        <v>2010</v>
      </c>
      <c r="B484">
        <v>9</v>
      </c>
      <c r="C484">
        <v>1</v>
      </c>
      <c r="D484" t="str">
        <f t="shared" si="7"/>
        <v>DC201009-sem1</v>
      </c>
      <c r="E484" s="1">
        <v>40418</v>
      </c>
      <c r="F484" s="1">
        <v>40424</v>
      </c>
      <c r="G484" s="5">
        <v>111.4</v>
      </c>
      <c r="H484" s="5">
        <v>105.87</v>
      </c>
      <c r="I484" s="5">
        <v>104.53</v>
      </c>
      <c r="J484" s="5">
        <v>111.4</v>
      </c>
      <c r="K484" s="5">
        <v>105.87</v>
      </c>
      <c r="L484" s="5">
        <v>104.52</v>
      </c>
      <c r="M484" s="5">
        <v>154.88</v>
      </c>
      <c r="N484" s="5">
        <v>154.88</v>
      </c>
      <c r="O484" s="5">
        <v>154.88</v>
      </c>
      <c r="P484" s="5">
        <v>154.88</v>
      </c>
      <c r="Q484" s="5">
        <v>154.88</v>
      </c>
      <c r="R484" s="5">
        <v>154.88</v>
      </c>
    </row>
    <row r="485" spans="1:18" x14ac:dyDescent="0.25">
      <c r="A485">
        <v>2010</v>
      </c>
      <c r="B485">
        <v>9</v>
      </c>
      <c r="C485">
        <v>2</v>
      </c>
      <c r="D485" t="str">
        <f t="shared" si="7"/>
        <v>DC201009-sem2</v>
      </c>
      <c r="E485" s="1">
        <v>40425</v>
      </c>
      <c r="F485" s="1">
        <v>40431</v>
      </c>
      <c r="G485" s="5">
        <v>137.6</v>
      </c>
      <c r="H485" s="5">
        <v>125.78</v>
      </c>
      <c r="I485" s="5">
        <v>124.43</v>
      </c>
      <c r="J485" s="5">
        <v>128.26</v>
      </c>
      <c r="K485" s="5">
        <v>125.78</v>
      </c>
      <c r="L485" s="5">
        <v>124.43</v>
      </c>
      <c r="M485" s="5">
        <v>174.53</v>
      </c>
      <c r="N485" s="5">
        <v>174.53</v>
      </c>
      <c r="O485" s="5">
        <v>174.53</v>
      </c>
      <c r="P485" s="5">
        <v>174.53</v>
      </c>
      <c r="Q485" s="5">
        <v>174.53</v>
      </c>
      <c r="R485" s="5">
        <v>174.53</v>
      </c>
    </row>
    <row r="486" spans="1:18" x14ac:dyDescent="0.25">
      <c r="A486">
        <v>2010</v>
      </c>
      <c r="B486">
        <v>9</v>
      </c>
      <c r="C486">
        <v>3</v>
      </c>
      <c r="D486" t="str">
        <f t="shared" si="7"/>
        <v>DC201009-sem3</v>
      </c>
      <c r="E486" s="1">
        <v>40432</v>
      </c>
      <c r="F486" s="1">
        <v>40438</v>
      </c>
      <c r="G486" s="5">
        <v>122.46</v>
      </c>
      <c r="H486" s="5">
        <v>117.3</v>
      </c>
      <c r="I486" s="5">
        <v>115.68</v>
      </c>
      <c r="J486" s="5">
        <v>122.46</v>
      </c>
      <c r="K486" s="5">
        <v>117.3</v>
      </c>
      <c r="L486" s="5">
        <v>115.68</v>
      </c>
      <c r="M486" s="5">
        <v>172.78</v>
      </c>
      <c r="N486" s="5">
        <v>171.65</v>
      </c>
      <c r="O486" s="5">
        <v>171.65</v>
      </c>
      <c r="P486" s="5">
        <v>172.78</v>
      </c>
      <c r="Q486" s="5">
        <v>171.65</v>
      </c>
      <c r="R486" s="5">
        <v>171.65</v>
      </c>
    </row>
    <row r="487" spans="1:18" x14ac:dyDescent="0.25">
      <c r="A487">
        <v>2010</v>
      </c>
      <c r="B487">
        <v>9</v>
      </c>
      <c r="C487">
        <v>4</v>
      </c>
      <c r="D487" t="str">
        <f t="shared" si="7"/>
        <v>DC201009-sem4</v>
      </c>
      <c r="E487" s="1">
        <v>40439</v>
      </c>
      <c r="F487" s="1">
        <v>40445</v>
      </c>
      <c r="G487" s="5">
        <v>139.53</v>
      </c>
      <c r="H487" s="5">
        <v>132.52000000000001</v>
      </c>
      <c r="I487" s="5">
        <v>130.72</v>
      </c>
      <c r="J487" s="5">
        <v>134.59</v>
      </c>
      <c r="K487" s="5">
        <v>132.52000000000001</v>
      </c>
      <c r="L487" s="5">
        <v>130.72</v>
      </c>
      <c r="M487" s="5">
        <v>187.76</v>
      </c>
      <c r="N487" s="5">
        <v>187.76</v>
      </c>
      <c r="O487" s="5">
        <v>187.76</v>
      </c>
      <c r="P487" s="5">
        <v>187.76</v>
      </c>
      <c r="Q487" s="5">
        <v>187.76</v>
      </c>
      <c r="R487" s="5">
        <v>187.76</v>
      </c>
    </row>
    <row r="488" spans="1:18" x14ac:dyDescent="0.25">
      <c r="A488">
        <v>2010</v>
      </c>
      <c r="B488">
        <v>10</v>
      </c>
      <c r="C488">
        <v>1</v>
      </c>
      <c r="D488" t="str">
        <f t="shared" si="7"/>
        <v>DC201010-sem1</v>
      </c>
      <c r="E488" s="1">
        <v>40446</v>
      </c>
      <c r="F488" s="1">
        <v>40452</v>
      </c>
      <c r="G488" s="5">
        <v>170.74</v>
      </c>
      <c r="H488" s="5">
        <v>168.95</v>
      </c>
      <c r="I488" s="5">
        <v>167.47</v>
      </c>
      <c r="J488" s="5">
        <v>170.74</v>
      </c>
      <c r="K488" s="5">
        <v>168.95</v>
      </c>
      <c r="L488" s="5">
        <v>167.47</v>
      </c>
      <c r="M488" s="5">
        <v>246.32</v>
      </c>
      <c r="N488" s="5">
        <v>246.32</v>
      </c>
      <c r="O488" s="5">
        <v>246.32</v>
      </c>
      <c r="P488" s="5">
        <v>246.32</v>
      </c>
      <c r="Q488" s="5">
        <v>246.32</v>
      </c>
      <c r="R488" s="5">
        <v>246.32</v>
      </c>
    </row>
    <row r="489" spans="1:18" x14ac:dyDescent="0.25">
      <c r="A489">
        <v>2010</v>
      </c>
      <c r="B489">
        <v>10</v>
      </c>
      <c r="C489">
        <v>2</v>
      </c>
      <c r="D489" t="str">
        <f t="shared" si="7"/>
        <v>DC201010-sem2</v>
      </c>
      <c r="E489" s="1">
        <v>40453</v>
      </c>
      <c r="F489" s="1">
        <v>40459</v>
      </c>
      <c r="G489" s="5">
        <v>149.09</v>
      </c>
      <c r="H489" s="5">
        <v>142.04</v>
      </c>
      <c r="I489" s="5">
        <v>135.97</v>
      </c>
      <c r="J489" s="5">
        <v>149.09</v>
      </c>
      <c r="K489" s="5">
        <v>142.04</v>
      </c>
      <c r="L489" s="5">
        <v>135.97</v>
      </c>
      <c r="M489" s="5">
        <v>221.61</v>
      </c>
      <c r="N489" s="5">
        <v>221.61</v>
      </c>
      <c r="O489" s="5">
        <v>221.61</v>
      </c>
      <c r="P489" s="5">
        <v>221.61</v>
      </c>
      <c r="Q489" s="5">
        <v>221.61</v>
      </c>
      <c r="R489" s="5">
        <v>221.61</v>
      </c>
    </row>
    <row r="490" spans="1:18" x14ac:dyDescent="0.25">
      <c r="A490">
        <v>2010</v>
      </c>
      <c r="B490">
        <v>10</v>
      </c>
      <c r="C490">
        <v>3</v>
      </c>
      <c r="D490" t="str">
        <f t="shared" si="7"/>
        <v>DC201010-sem3</v>
      </c>
      <c r="E490" s="1">
        <v>40460</v>
      </c>
      <c r="F490" s="1">
        <v>40466</v>
      </c>
      <c r="G490" s="5">
        <v>124.99</v>
      </c>
      <c r="H490" s="5">
        <v>117.78</v>
      </c>
      <c r="I490" s="5">
        <v>112.7</v>
      </c>
      <c r="J490" s="5">
        <v>124.99</v>
      </c>
      <c r="K490" s="5">
        <v>117.78</v>
      </c>
      <c r="L490" s="5">
        <v>112.7</v>
      </c>
      <c r="M490" s="5">
        <v>181.54</v>
      </c>
      <c r="N490" s="5">
        <v>180.34</v>
      </c>
      <c r="O490" s="5">
        <v>180.34</v>
      </c>
      <c r="P490" s="5">
        <v>181.54</v>
      </c>
      <c r="Q490" s="5">
        <v>180.34</v>
      </c>
      <c r="R490" s="5">
        <v>180.34</v>
      </c>
    </row>
    <row r="491" spans="1:18" x14ac:dyDescent="0.25">
      <c r="A491">
        <v>2010</v>
      </c>
      <c r="B491">
        <v>10</v>
      </c>
      <c r="C491">
        <v>4</v>
      </c>
      <c r="D491" t="str">
        <f t="shared" si="7"/>
        <v>DC201010-sem4</v>
      </c>
      <c r="E491" s="1">
        <v>40467</v>
      </c>
      <c r="F491" s="1">
        <v>40473</v>
      </c>
      <c r="G491" s="5">
        <v>146.88</v>
      </c>
      <c r="H491" s="5">
        <v>144.62</v>
      </c>
      <c r="I491" s="5">
        <v>140.34</v>
      </c>
      <c r="J491" s="5">
        <v>146.88</v>
      </c>
      <c r="K491" s="5">
        <v>144.62</v>
      </c>
      <c r="L491" s="5">
        <v>140.34</v>
      </c>
      <c r="M491" s="5">
        <v>257.54000000000002</v>
      </c>
      <c r="N491" s="5">
        <v>257.54000000000002</v>
      </c>
      <c r="O491" s="5">
        <v>257.54000000000002</v>
      </c>
      <c r="P491" s="5">
        <v>257.54000000000002</v>
      </c>
      <c r="Q491" s="5">
        <v>257.54000000000002</v>
      </c>
      <c r="R491" s="5">
        <v>257.54000000000002</v>
      </c>
    </row>
    <row r="492" spans="1:18" x14ac:dyDescent="0.25">
      <c r="A492">
        <v>2010</v>
      </c>
      <c r="B492">
        <v>10</v>
      </c>
      <c r="C492">
        <v>5</v>
      </c>
      <c r="D492" t="str">
        <f t="shared" si="7"/>
        <v>DC201010-sem5</v>
      </c>
      <c r="E492" s="1">
        <v>40474</v>
      </c>
      <c r="F492" s="1">
        <v>40480</v>
      </c>
      <c r="G492" s="5">
        <v>145.43</v>
      </c>
      <c r="H492" s="5">
        <v>145.38</v>
      </c>
      <c r="I492" s="5">
        <v>140.62</v>
      </c>
      <c r="J492" s="5">
        <v>145.43</v>
      </c>
      <c r="K492" s="5">
        <v>145.38</v>
      </c>
      <c r="L492" s="5">
        <v>140.62</v>
      </c>
      <c r="M492" s="5">
        <v>294.33</v>
      </c>
      <c r="N492" s="5">
        <v>292.39999999999998</v>
      </c>
      <c r="O492" s="5">
        <v>292.39999999999998</v>
      </c>
      <c r="P492" s="5">
        <v>294.33</v>
      </c>
      <c r="Q492" s="5">
        <v>292.39999999999998</v>
      </c>
      <c r="R492" s="5">
        <v>292.39999999999998</v>
      </c>
    </row>
    <row r="493" spans="1:18" x14ac:dyDescent="0.25">
      <c r="A493">
        <v>2010</v>
      </c>
      <c r="B493">
        <v>11</v>
      </c>
      <c r="C493">
        <v>1</v>
      </c>
      <c r="D493" t="str">
        <f t="shared" si="7"/>
        <v>DC201011-sem1</v>
      </c>
      <c r="E493" s="1">
        <v>40481</v>
      </c>
      <c r="F493" s="1">
        <v>40487</v>
      </c>
      <c r="G493" s="5">
        <v>149.47999999999999</v>
      </c>
      <c r="H493" s="5">
        <v>149.03</v>
      </c>
      <c r="I493" s="5">
        <v>147.15</v>
      </c>
      <c r="J493" s="5">
        <v>149.47999999999999</v>
      </c>
      <c r="K493" s="5">
        <v>149.03</v>
      </c>
      <c r="L493" s="5">
        <v>147.15</v>
      </c>
      <c r="M493" s="5">
        <v>149.47999999999999</v>
      </c>
      <c r="N493" s="5">
        <v>149.03</v>
      </c>
      <c r="O493" s="5">
        <v>147.15</v>
      </c>
      <c r="P493" s="5">
        <v>149.47999999999999</v>
      </c>
      <c r="Q493" s="5">
        <v>149.03</v>
      </c>
      <c r="R493" s="5">
        <v>147.15</v>
      </c>
    </row>
    <row r="494" spans="1:18" x14ac:dyDescent="0.25">
      <c r="A494">
        <v>2010</v>
      </c>
      <c r="B494">
        <v>11</v>
      </c>
      <c r="C494">
        <v>2</v>
      </c>
      <c r="D494" t="str">
        <f t="shared" si="7"/>
        <v>DC201011-sem2</v>
      </c>
      <c r="E494" s="1">
        <v>40488</v>
      </c>
      <c r="F494" s="1">
        <v>40494</v>
      </c>
      <c r="G494" s="5">
        <v>121.71</v>
      </c>
      <c r="H494" s="5">
        <v>121.71</v>
      </c>
      <c r="I494" s="5">
        <v>117.68</v>
      </c>
      <c r="J494" s="5">
        <v>121.71</v>
      </c>
      <c r="K494" s="5">
        <v>121.71</v>
      </c>
      <c r="L494" s="5">
        <v>117.68</v>
      </c>
      <c r="M494" s="5">
        <v>121.71</v>
      </c>
      <c r="N494" s="5">
        <v>117.68</v>
      </c>
      <c r="O494" s="5">
        <v>117.68</v>
      </c>
      <c r="P494" s="5">
        <v>121.71</v>
      </c>
      <c r="Q494" s="5">
        <v>121.71</v>
      </c>
      <c r="R494" s="5">
        <v>117.68</v>
      </c>
    </row>
    <row r="495" spans="1:18" x14ac:dyDescent="0.25">
      <c r="A495">
        <v>2010</v>
      </c>
      <c r="B495">
        <v>11</v>
      </c>
      <c r="C495">
        <v>3</v>
      </c>
      <c r="D495" t="str">
        <f t="shared" si="7"/>
        <v>DC201011-sem3</v>
      </c>
      <c r="E495" s="1">
        <v>40495</v>
      </c>
      <c r="F495" s="1">
        <v>40501</v>
      </c>
      <c r="G495" s="5">
        <v>128.58000000000001</v>
      </c>
      <c r="H495" s="5">
        <v>127.22</v>
      </c>
      <c r="I495" s="5">
        <v>125.45</v>
      </c>
      <c r="J495" s="5">
        <v>128.58000000000001</v>
      </c>
      <c r="K495" s="5">
        <v>127.22</v>
      </c>
      <c r="L495" s="5">
        <v>125.45</v>
      </c>
      <c r="M495" s="5">
        <v>128.58000000000001</v>
      </c>
      <c r="N495" s="5">
        <v>125.45</v>
      </c>
      <c r="O495" s="5">
        <v>125.45</v>
      </c>
      <c r="P495" s="5">
        <v>128.58000000000001</v>
      </c>
      <c r="Q495" s="5">
        <v>127.22</v>
      </c>
      <c r="R495" s="5">
        <v>125.45</v>
      </c>
    </row>
    <row r="496" spans="1:18" x14ac:dyDescent="0.25">
      <c r="A496">
        <v>2010</v>
      </c>
      <c r="B496">
        <v>11</v>
      </c>
      <c r="C496">
        <v>4</v>
      </c>
      <c r="D496" t="str">
        <f t="shared" si="7"/>
        <v>DC201011-sem4</v>
      </c>
      <c r="E496" s="1">
        <v>40502</v>
      </c>
      <c r="F496" s="1">
        <v>40508</v>
      </c>
      <c r="G496" s="5">
        <v>103.41</v>
      </c>
      <c r="H496" s="5">
        <v>103.41</v>
      </c>
      <c r="I496" s="5">
        <v>98.34</v>
      </c>
      <c r="J496" s="5">
        <v>103.41</v>
      </c>
      <c r="K496" s="5">
        <v>103.41</v>
      </c>
      <c r="L496" s="5">
        <v>98.34</v>
      </c>
      <c r="M496" s="5">
        <v>103.41</v>
      </c>
      <c r="N496" s="5">
        <v>98.15</v>
      </c>
      <c r="O496" s="5">
        <v>98.15</v>
      </c>
      <c r="P496" s="5">
        <v>103.41</v>
      </c>
      <c r="Q496" s="5">
        <v>103.41</v>
      </c>
      <c r="R496" s="5">
        <v>98.34</v>
      </c>
    </row>
    <row r="497" spans="1:18" x14ac:dyDescent="0.25">
      <c r="A497">
        <v>2010</v>
      </c>
      <c r="B497">
        <v>12</v>
      </c>
      <c r="C497">
        <v>1</v>
      </c>
      <c r="D497" t="str">
        <f t="shared" si="7"/>
        <v>DC201012-sem1</v>
      </c>
      <c r="E497" s="1">
        <v>40509</v>
      </c>
      <c r="F497" s="1">
        <v>40515</v>
      </c>
      <c r="G497" s="5">
        <v>81.790000000000006</v>
      </c>
      <c r="H497" s="5">
        <v>81.790000000000006</v>
      </c>
      <c r="I497" s="5">
        <v>77.56</v>
      </c>
      <c r="J497" s="5">
        <v>81.790000000000006</v>
      </c>
      <c r="K497" s="5">
        <v>81.790000000000006</v>
      </c>
      <c r="L497" s="5">
        <v>77.56</v>
      </c>
      <c r="M497" s="5">
        <v>81.790000000000006</v>
      </c>
      <c r="N497" s="5">
        <v>77.56</v>
      </c>
      <c r="O497" s="5">
        <v>77.56</v>
      </c>
      <c r="P497" s="5">
        <v>81.790000000000006</v>
      </c>
      <c r="Q497" s="5">
        <v>81.790000000000006</v>
      </c>
      <c r="R497" s="5">
        <v>77.56</v>
      </c>
    </row>
    <row r="498" spans="1:18" x14ac:dyDescent="0.25">
      <c r="A498">
        <v>2010</v>
      </c>
      <c r="B498">
        <v>12</v>
      </c>
      <c r="C498">
        <v>2</v>
      </c>
      <c r="D498" t="str">
        <f t="shared" si="7"/>
        <v>DC201012-sem2</v>
      </c>
      <c r="E498" s="1">
        <v>40516</v>
      </c>
      <c r="F498" s="1">
        <v>40522</v>
      </c>
      <c r="G498" s="5">
        <v>92.88</v>
      </c>
      <c r="H498" s="5">
        <v>92.88</v>
      </c>
      <c r="I498" s="5">
        <v>84.74</v>
      </c>
      <c r="J498" s="5">
        <v>92.88</v>
      </c>
      <c r="K498" s="5">
        <v>92.88</v>
      </c>
      <c r="L498" s="5">
        <v>84.74</v>
      </c>
      <c r="M498" s="5">
        <v>83</v>
      </c>
      <c r="N498" s="5">
        <v>82.34</v>
      </c>
      <c r="O498" s="5">
        <v>82.34</v>
      </c>
      <c r="P498" s="5">
        <v>92.88</v>
      </c>
      <c r="Q498" s="5">
        <v>92.88</v>
      </c>
      <c r="R498" s="5">
        <v>84.74</v>
      </c>
    </row>
    <row r="499" spans="1:18" x14ac:dyDescent="0.25">
      <c r="A499">
        <v>2010</v>
      </c>
      <c r="B499">
        <v>12</v>
      </c>
      <c r="C499">
        <v>3</v>
      </c>
      <c r="D499" t="str">
        <f t="shared" si="7"/>
        <v>DC201012-sem3</v>
      </c>
      <c r="E499" s="1">
        <v>40523</v>
      </c>
      <c r="F499" s="1">
        <v>40529</v>
      </c>
      <c r="G499" s="5">
        <v>78.040000000000006</v>
      </c>
      <c r="H499" s="5">
        <v>77.209999999999994</v>
      </c>
      <c r="I499" s="5">
        <v>72</v>
      </c>
      <c r="J499" s="5">
        <v>78.040000000000006</v>
      </c>
      <c r="K499" s="5">
        <v>77.209999999999994</v>
      </c>
      <c r="L499" s="5">
        <v>72</v>
      </c>
      <c r="M499" s="5">
        <v>78.040000000000006</v>
      </c>
      <c r="N499" s="5">
        <v>72</v>
      </c>
      <c r="O499" s="5">
        <v>72</v>
      </c>
      <c r="P499" s="5">
        <v>78.040000000000006</v>
      </c>
      <c r="Q499" s="5">
        <v>77.209999999999994</v>
      </c>
      <c r="R499" s="5">
        <v>72</v>
      </c>
    </row>
    <row r="500" spans="1:18" x14ac:dyDescent="0.25">
      <c r="A500">
        <v>2010</v>
      </c>
      <c r="B500">
        <v>12</v>
      </c>
      <c r="C500">
        <v>4</v>
      </c>
      <c r="D500" t="str">
        <f t="shared" si="7"/>
        <v>DC201012-sem4</v>
      </c>
      <c r="E500" s="1">
        <v>40530</v>
      </c>
      <c r="F500" s="1">
        <v>40536</v>
      </c>
      <c r="G500" s="5">
        <v>66.989999999999995</v>
      </c>
      <c r="H500" s="5">
        <v>64.680000000000007</v>
      </c>
      <c r="I500" s="5">
        <v>61.98</v>
      </c>
      <c r="J500" s="5">
        <v>66.989999999999995</v>
      </c>
      <c r="K500" s="5">
        <v>64.680000000000007</v>
      </c>
      <c r="L500" s="5">
        <v>61.98</v>
      </c>
      <c r="M500" s="5">
        <v>66.989999999999995</v>
      </c>
      <c r="N500" s="5">
        <v>61.98</v>
      </c>
      <c r="O500" s="5">
        <v>61.98</v>
      </c>
      <c r="P500" s="5">
        <v>66.989999999999995</v>
      </c>
      <c r="Q500" s="5">
        <v>64.680000000000007</v>
      </c>
      <c r="R500" s="5">
        <v>61.98</v>
      </c>
    </row>
    <row r="501" spans="1:18" x14ac:dyDescent="0.25">
      <c r="A501">
        <v>2010</v>
      </c>
      <c r="B501">
        <v>12</v>
      </c>
      <c r="C501">
        <v>5</v>
      </c>
      <c r="D501" t="str">
        <f t="shared" si="7"/>
        <v>DC201012-sem5</v>
      </c>
      <c r="E501" s="1">
        <v>40537</v>
      </c>
      <c r="F501" s="1">
        <v>40543</v>
      </c>
      <c r="G501" s="5">
        <v>55.09</v>
      </c>
      <c r="H501" s="5">
        <v>53.87</v>
      </c>
      <c r="I501" s="5">
        <v>52.44</v>
      </c>
      <c r="J501" s="5">
        <v>55.09</v>
      </c>
      <c r="K501" s="5">
        <v>53.87</v>
      </c>
      <c r="L501" s="5">
        <v>52.44</v>
      </c>
      <c r="M501" s="5">
        <v>55.09</v>
      </c>
      <c r="N501" s="5">
        <v>53.43</v>
      </c>
      <c r="O501" s="5">
        <v>52.44</v>
      </c>
      <c r="P501" s="5">
        <v>55.09</v>
      </c>
      <c r="Q501" s="5">
        <v>53.87</v>
      </c>
      <c r="R501" s="5">
        <v>52.44</v>
      </c>
    </row>
    <row r="502" spans="1:18" x14ac:dyDescent="0.25">
      <c r="A502">
        <v>2011</v>
      </c>
      <c r="B502">
        <v>1</v>
      </c>
      <c r="C502">
        <v>1</v>
      </c>
      <c r="D502" t="str">
        <f t="shared" si="7"/>
        <v>DC201101-sem1</v>
      </c>
      <c r="E502" s="1">
        <v>40544</v>
      </c>
      <c r="F502" s="1">
        <v>40550</v>
      </c>
      <c r="G502" s="5">
        <v>71.81</v>
      </c>
      <c r="H502" s="5">
        <v>70.08</v>
      </c>
      <c r="I502" s="5">
        <v>67.239999999999995</v>
      </c>
      <c r="J502" s="5">
        <v>71.81</v>
      </c>
      <c r="K502" s="5">
        <v>70.08</v>
      </c>
      <c r="L502" s="5">
        <v>67.239999999999995</v>
      </c>
      <c r="M502" s="5">
        <v>71.81</v>
      </c>
      <c r="N502" s="5">
        <v>70.08</v>
      </c>
      <c r="O502" s="5">
        <v>67.239999999999995</v>
      </c>
      <c r="P502" s="5">
        <v>71.81</v>
      </c>
      <c r="Q502" s="5">
        <v>70.08</v>
      </c>
      <c r="R502" s="5">
        <v>67.239999999999995</v>
      </c>
    </row>
    <row r="503" spans="1:18" x14ac:dyDescent="0.25">
      <c r="A503">
        <v>2011</v>
      </c>
      <c r="B503">
        <v>1</v>
      </c>
      <c r="C503">
        <v>2</v>
      </c>
      <c r="D503" t="str">
        <f t="shared" si="7"/>
        <v>DC201101-sem2</v>
      </c>
      <c r="E503" s="1">
        <v>40551</v>
      </c>
      <c r="F503" s="1">
        <v>40557</v>
      </c>
      <c r="G503" s="5">
        <v>12.08</v>
      </c>
      <c r="H503" s="5">
        <v>12.08</v>
      </c>
      <c r="I503" s="5">
        <v>12.08</v>
      </c>
      <c r="J503" s="5">
        <v>12.08</v>
      </c>
      <c r="K503" s="5">
        <v>12.08</v>
      </c>
      <c r="L503" s="5">
        <v>12.08</v>
      </c>
      <c r="M503" s="5">
        <v>12.08</v>
      </c>
      <c r="N503" s="5">
        <v>12.08</v>
      </c>
      <c r="O503" s="5">
        <v>12.08</v>
      </c>
      <c r="P503" s="5">
        <v>12.08</v>
      </c>
      <c r="Q503" s="5">
        <v>12.08</v>
      </c>
      <c r="R503" s="5">
        <v>12.08</v>
      </c>
    </row>
    <row r="504" spans="1:18" x14ac:dyDescent="0.25">
      <c r="A504">
        <v>2011</v>
      </c>
      <c r="B504">
        <v>1</v>
      </c>
      <c r="C504">
        <v>3</v>
      </c>
      <c r="D504" t="str">
        <f t="shared" si="7"/>
        <v>DC201101-sem3</v>
      </c>
      <c r="E504" s="1">
        <v>40558</v>
      </c>
      <c r="F504" s="1">
        <v>40564</v>
      </c>
      <c r="G504" s="5">
        <v>15.81</v>
      </c>
      <c r="H504" s="5">
        <v>15.81</v>
      </c>
      <c r="I504" s="5">
        <v>14.97</v>
      </c>
      <c r="J504" s="5">
        <v>15.81</v>
      </c>
      <c r="K504" s="5">
        <v>15.81</v>
      </c>
      <c r="L504" s="5">
        <v>14.97</v>
      </c>
      <c r="M504" s="5">
        <v>15.6</v>
      </c>
      <c r="N504" s="5">
        <v>15.6</v>
      </c>
      <c r="O504" s="5">
        <v>14.97</v>
      </c>
      <c r="P504" s="5">
        <v>15.6</v>
      </c>
      <c r="Q504" s="5">
        <v>15.6</v>
      </c>
      <c r="R504" s="5">
        <v>14.97</v>
      </c>
    </row>
    <row r="505" spans="1:18" x14ac:dyDescent="0.25">
      <c r="A505">
        <v>2011</v>
      </c>
      <c r="B505">
        <v>1</v>
      </c>
      <c r="C505">
        <v>4</v>
      </c>
      <c r="D505" t="str">
        <f t="shared" si="7"/>
        <v>DC201101-sem4</v>
      </c>
      <c r="E505" s="1">
        <v>40565</v>
      </c>
      <c r="F505" s="1">
        <v>40571</v>
      </c>
      <c r="G505" s="5">
        <v>22.16</v>
      </c>
      <c r="H505" s="5">
        <v>22.14</v>
      </c>
      <c r="I505" s="5">
        <v>21.29</v>
      </c>
      <c r="J505" s="5">
        <v>22.16</v>
      </c>
      <c r="K505" s="5">
        <v>22.14</v>
      </c>
      <c r="L505" s="5">
        <v>21.29</v>
      </c>
      <c r="M505" s="5">
        <v>22.16</v>
      </c>
      <c r="N505" s="5">
        <v>22.14</v>
      </c>
      <c r="O505" s="5">
        <v>21.29</v>
      </c>
      <c r="P505" s="5">
        <v>22.16</v>
      </c>
      <c r="Q505" s="5">
        <v>22.14</v>
      </c>
      <c r="R505" s="5">
        <v>21.29</v>
      </c>
    </row>
    <row r="506" spans="1:18" x14ac:dyDescent="0.25">
      <c r="A506">
        <v>2011</v>
      </c>
      <c r="B506">
        <v>2</v>
      </c>
      <c r="C506">
        <v>1</v>
      </c>
      <c r="D506" t="str">
        <f t="shared" si="7"/>
        <v>DC201102-sem1</v>
      </c>
      <c r="E506" s="1">
        <v>40572</v>
      </c>
      <c r="F506" s="1">
        <v>40578</v>
      </c>
      <c r="G506" s="5">
        <v>17.440000000000001</v>
      </c>
      <c r="H506" s="5">
        <v>17.440000000000001</v>
      </c>
      <c r="I506" s="5">
        <v>12.08</v>
      </c>
      <c r="J506" s="5">
        <v>17.440000000000001</v>
      </c>
      <c r="K506" s="5">
        <v>17.440000000000001</v>
      </c>
      <c r="L506" s="5">
        <v>12.08</v>
      </c>
      <c r="M506" s="5">
        <v>23.27</v>
      </c>
      <c r="N506" s="5">
        <v>23.27</v>
      </c>
      <c r="O506" s="5">
        <v>23.27</v>
      </c>
      <c r="P506" s="5">
        <v>17.440000000000001</v>
      </c>
      <c r="Q506" s="5">
        <v>17.440000000000001</v>
      </c>
      <c r="R506" s="5">
        <v>12.08</v>
      </c>
    </row>
    <row r="507" spans="1:18" x14ac:dyDescent="0.25">
      <c r="A507">
        <v>2011</v>
      </c>
      <c r="B507">
        <v>2</v>
      </c>
      <c r="C507">
        <v>2</v>
      </c>
      <c r="D507" t="str">
        <f t="shared" si="7"/>
        <v>DC201102-sem2</v>
      </c>
      <c r="E507" s="1">
        <v>40579</v>
      </c>
      <c r="F507" s="1">
        <v>40585</v>
      </c>
      <c r="G507" s="5">
        <v>38.35</v>
      </c>
      <c r="H507" s="5">
        <v>38.35</v>
      </c>
      <c r="I507" s="5">
        <v>36.79</v>
      </c>
      <c r="J507" s="5">
        <v>38.35</v>
      </c>
      <c r="K507" s="5">
        <v>38.35</v>
      </c>
      <c r="L507" s="5">
        <v>36.79</v>
      </c>
      <c r="M507" s="5">
        <v>38.35</v>
      </c>
      <c r="N507" s="5">
        <v>38.35</v>
      </c>
      <c r="O507" s="5">
        <v>36.79</v>
      </c>
      <c r="P507" s="5">
        <v>38.35</v>
      </c>
      <c r="Q507" s="5">
        <v>38.35</v>
      </c>
      <c r="R507" s="5">
        <v>36.79</v>
      </c>
    </row>
    <row r="508" spans="1:18" x14ac:dyDescent="0.25">
      <c r="A508">
        <v>2011</v>
      </c>
      <c r="B508">
        <v>2</v>
      </c>
      <c r="C508">
        <v>3</v>
      </c>
      <c r="D508" t="str">
        <f t="shared" si="7"/>
        <v>DC201102-sem3</v>
      </c>
      <c r="E508" s="1">
        <v>40586</v>
      </c>
      <c r="F508" s="1">
        <v>40592</v>
      </c>
      <c r="G508" s="5">
        <v>54.91</v>
      </c>
      <c r="H508" s="5">
        <v>54.91</v>
      </c>
      <c r="I508" s="5">
        <v>52.67</v>
      </c>
      <c r="J508" s="5">
        <v>54.65</v>
      </c>
      <c r="K508" s="5">
        <v>54.91</v>
      </c>
      <c r="L508" s="5">
        <v>51.43</v>
      </c>
      <c r="M508" s="5">
        <v>54.91</v>
      </c>
      <c r="N508" s="5">
        <v>54.91</v>
      </c>
      <c r="O508" s="5">
        <v>52.67</v>
      </c>
      <c r="P508" s="5">
        <v>54.91</v>
      </c>
      <c r="Q508" s="5">
        <v>54.91</v>
      </c>
      <c r="R508" s="5">
        <v>52.67</v>
      </c>
    </row>
    <row r="509" spans="1:18" x14ac:dyDescent="0.25">
      <c r="A509">
        <v>2011</v>
      </c>
      <c r="B509">
        <v>2</v>
      </c>
      <c r="C509">
        <v>4</v>
      </c>
      <c r="D509" t="str">
        <f t="shared" si="7"/>
        <v>DC201102-sem4</v>
      </c>
      <c r="E509" s="1">
        <v>40593</v>
      </c>
      <c r="F509" s="1">
        <v>40599</v>
      </c>
      <c r="G509" s="5">
        <v>66.88</v>
      </c>
      <c r="H509" s="5">
        <v>64.23</v>
      </c>
      <c r="I509" s="5">
        <v>60.88</v>
      </c>
      <c r="J509" s="5">
        <v>66.88</v>
      </c>
      <c r="K509" s="5">
        <v>64.23</v>
      </c>
      <c r="L509" s="5">
        <v>12.08</v>
      </c>
      <c r="M509" s="5">
        <v>63.47</v>
      </c>
      <c r="N509" s="5">
        <v>63.47</v>
      </c>
      <c r="O509" s="5">
        <v>60.88</v>
      </c>
      <c r="P509" s="5">
        <v>63.47</v>
      </c>
      <c r="Q509" s="5">
        <v>63.47</v>
      </c>
      <c r="R509" s="5">
        <v>60.88</v>
      </c>
    </row>
    <row r="510" spans="1:18" x14ac:dyDescent="0.25">
      <c r="A510">
        <v>2011</v>
      </c>
      <c r="B510">
        <v>3</v>
      </c>
      <c r="C510">
        <v>1</v>
      </c>
      <c r="D510" t="str">
        <f t="shared" si="7"/>
        <v>DC201103-sem1</v>
      </c>
      <c r="E510" s="1">
        <v>40600</v>
      </c>
      <c r="F510" s="1">
        <v>40606</v>
      </c>
      <c r="G510" s="5">
        <v>81.16</v>
      </c>
      <c r="H510" s="5">
        <v>81.06</v>
      </c>
      <c r="I510" s="5">
        <v>77.47</v>
      </c>
      <c r="J510" s="5">
        <v>81.16</v>
      </c>
      <c r="K510" s="5">
        <v>81.06</v>
      </c>
      <c r="L510" s="5">
        <v>12.08</v>
      </c>
      <c r="M510" s="5">
        <v>80.75</v>
      </c>
      <c r="N510" s="5">
        <v>79.78</v>
      </c>
      <c r="O510" s="5">
        <v>77.47</v>
      </c>
      <c r="P510" s="5">
        <v>80.75</v>
      </c>
      <c r="Q510" s="5">
        <v>79.78</v>
      </c>
      <c r="R510" s="5">
        <v>77.47</v>
      </c>
    </row>
    <row r="511" spans="1:18" x14ac:dyDescent="0.25">
      <c r="A511">
        <v>2011</v>
      </c>
      <c r="B511">
        <v>3</v>
      </c>
      <c r="C511">
        <v>2</v>
      </c>
      <c r="D511" t="str">
        <f t="shared" si="7"/>
        <v>DC201103-sem2</v>
      </c>
      <c r="E511" s="1">
        <v>40607</v>
      </c>
      <c r="F511" s="1">
        <v>40613</v>
      </c>
      <c r="G511" s="5">
        <v>12.08</v>
      </c>
      <c r="H511" s="5">
        <v>12.08</v>
      </c>
      <c r="I511" s="5">
        <v>12.08</v>
      </c>
      <c r="J511" s="5">
        <v>12.08</v>
      </c>
      <c r="K511" s="5">
        <v>12.08</v>
      </c>
      <c r="L511" s="5">
        <v>12.08</v>
      </c>
      <c r="M511" s="5">
        <v>12.08</v>
      </c>
      <c r="N511" s="5">
        <v>12.08</v>
      </c>
      <c r="O511" s="5">
        <v>12.08</v>
      </c>
      <c r="P511" s="5">
        <v>12.08</v>
      </c>
      <c r="Q511" s="5">
        <v>12.08</v>
      </c>
      <c r="R511" s="5">
        <v>12.08</v>
      </c>
    </row>
    <row r="512" spans="1:18" x14ac:dyDescent="0.25">
      <c r="A512">
        <v>2011</v>
      </c>
      <c r="B512">
        <v>3</v>
      </c>
      <c r="C512">
        <v>3</v>
      </c>
      <c r="D512" t="str">
        <f t="shared" si="7"/>
        <v>DC201103-sem3</v>
      </c>
      <c r="E512" s="1">
        <v>40614</v>
      </c>
      <c r="F512" s="1">
        <v>40620</v>
      </c>
      <c r="G512" s="5">
        <v>25.67</v>
      </c>
      <c r="H512" s="5">
        <v>24.46</v>
      </c>
      <c r="I512" s="5">
        <v>18.77</v>
      </c>
      <c r="J512" s="5">
        <v>25.67</v>
      </c>
      <c r="K512" s="5">
        <v>24.46</v>
      </c>
      <c r="L512" s="5">
        <v>18.77</v>
      </c>
      <c r="M512" s="5">
        <v>29.13</v>
      </c>
      <c r="N512" s="5">
        <v>29.13</v>
      </c>
      <c r="O512" s="5">
        <v>29.13</v>
      </c>
      <c r="P512" s="5">
        <v>25.67</v>
      </c>
      <c r="Q512" s="5">
        <v>24.46</v>
      </c>
      <c r="R512" s="5">
        <v>18.77</v>
      </c>
    </row>
    <row r="513" spans="1:18" x14ac:dyDescent="0.25">
      <c r="A513">
        <v>2011</v>
      </c>
      <c r="B513">
        <v>3</v>
      </c>
      <c r="C513">
        <v>4</v>
      </c>
      <c r="D513" t="str">
        <f t="shared" si="7"/>
        <v>DC201103-sem4</v>
      </c>
      <c r="E513" s="1">
        <v>40621</v>
      </c>
      <c r="F513" s="1">
        <v>40627</v>
      </c>
      <c r="G513" s="5">
        <v>13.72</v>
      </c>
      <c r="H513" s="5">
        <v>13.47</v>
      </c>
      <c r="I513" s="5">
        <v>12.08</v>
      </c>
      <c r="J513" s="5">
        <v>13.72</v>
      </c>
      <c r="K513" s="5">
        <v>13.47</v>
      </c>
      <c r="L513" s="5">
        <v>12.08</v>
      </c>
      <c r="M513" s="5">
        <v>13.72</v>
      </c>
      <c r="N513" s="5">
        <v>13.47</v>
      </c>
      <c r="O513" s="5">
        <v>13.47</v>
      </c>
      <c r="P513" s="5">
        <v>13.72</v>
      </c>
      <c r="Q513" s="5">
        <v>13.47</v>
      </c>
      <c r="R513" s="5">
        <v>12.08</v>
      </c>
    </row>
    <row r="514" spans="1:18" x14ac:dyDescent="0.25">
      <c r="A514">
        <v>2011</v>
      </c>
      <c r="B514">
        <v>4</v>
      </c>
      <c r="C514">
        <v>1</v>
      </c>
      <c r="D514" t="str">
        <f t="shared" si="7"/>
        <v>DC201104-sem1</v>
      </c>
      <c r="E514" s="1">
        <v>40628</v>
      </c>
      <c r="F514" s="1">
        <v>40634</v>
      </c>
      <c r="G514" s="5">
        <v>12.08</v>
      </c>
      <c r="H514" s="5">
        <v>12.08</v>
      </c>
      <c r="I514" s="5">
        <v>12.08</v>
      </c>
      <c r="J514" s="5">
        <v>12.08</v>
      </c>
      <c r="K514" s="5">
        <v>12.08</v>
      </c>
      <c r="L514" s="5">
        <v>12.08</v>
      </c>
      <c r="M514" s="5">
        <v>12.08</v>
      </c>
      <c r="N514" s="5">
        <v>12.08</v>
      </c>
      <c r="O514" s="5">
        <v>12.08</v>
      </c>
      <c r="P514" s="5">
        <v>12.08</v>
      </c>
      <c r="Q514" s="5">
        <v>12.08</v>
      </c>
      <c r="R514" s="5">
        <v>12.08</v>
      </c>
    </row>
    <row r="515" spans="1:18" x14ac:dyDescent="0.25">
      <c r="A515">
        <v>2011</v>
      </c>
      <c r="B515">
        <v>4</v>
      </c>
      <c r="C515">
        <v>2</v>
      </c>
      <c r="D515" t="str">
        <f t="shared" ref="D515:D578" si="8">"DC"&amp;A515&amp;REPT("0",2-LEN(B515))&amp;B515&amp;"-sem"&amp;C515</f>
        <v>DC201104-sem2</v>
      </c>
      <c r="E515" s="1">
        <v>40635</v>
      </c>
      <c r="F515" s="1">
        <v>40641</v>
      </c>
      <c r="G515" s="5">
        <v>12.08</v>
      </c>
      <c r="H515" s="5">
        <v>12.08</v>
      </c>
      <c r="I515" s="5">
        <v>12.08</v>
      </c>
      <c r="J515" s="5">
        <v>12.08</v>
      </c>
      <c r="K515" s="5">
        <v>12.08</v>
      </c>
      <c r="L515" s="5">
        <v>12.08</v>
      </c>
      <c r="M515" s="5">
        <v>12.08</v>
      </c>
      <c r="N515" s="5">
        <v>12.08</v>
      </c>
      <c r="O515" s="5">
        <v>12.08</v>
      </c>
      <c r="P515" s="5">
        <v>12.08</v>
      </c>
      <c r="Q515" s="5">
        <v>12.08</v>
      </c>
      <c r="R515" s="5">
        <v>12.08</v>
      </c>
    </row>
    <row r="516" spans="1:18" x14ac:dyDescent="0.25">
      <c r="A516">
        <v>2011</v>
      </c>
      <c r="B516">
        <v>4</v>
      </c>
      <c r="C516">
        <v>3</v>
      </c>
      <c r="D516" t="str">
        <f t="shared" si="8"/>
        <v>DC201104-sem3</v>
      </c>
      <c r="E516" s="1">
        <v>40642</v>
      </c>
      <c r="F516" s="1">
        <v>40648</v>
      </c>
      <c r="G516" s="5">
        <v>12.08</v>
      </c>
      <c r="H516" s="5">
        <v>12.08</v>
      </c>
      <c r="I516" s="5">
        <v>12.08</v>
      </c>
      <c r="J516" s="5">
        <v>12.08</v>
      </c>
      <c r="K516" s="5">
        <v>12.08</v>
      </c>
      <c r="L516" s="5">
        <v>12.08</v>
      </c>
      <c r="M516" s="5">
        <v>12.08</v>
      </c>
      <c r="N516" s="5">
        <v>12.08</v>
      </c>
      <c r="O516" s="5">
        <v>12.08</v>
      </c>
      <c r="P516" s="5">
        <v>12.08</v>
      </c>
      <c r="Q516" s="5">
        <v>12.08</v>
      </c>
      <c r="R516" s="5">
        <v>12.08</v>
      </c>
    </row>
    <row r="517" spans="1:18" x14ac:dyDescent="0.25">
      <c r="A517">
        <v>2011</v>
      </c>
      <c r="B517">
        <v>4</v>
      </c>
      <c r="C517">
        <v>4</v>
      </c>
      <c r="D517" t="str">
        <f t="shared" si="8"/>
        <v>DC201104-sem4</v>
      </c>
      <c r="E517" s="1">
        <v>40649</v>
      </c>
      <c r="F517" s="1">
        <v>40655</v>
      </c>
      <c r="G517" s="5">
        <v>12.08</v>
      </c>
      <c r="H517" s="5">
        <v>12.08</v>
      </c>
      <c r="I517" s="5">
        <v>12.08</v>
      </c>
      <c r="J517" s="5">
        <v>12.08</v>
      </c>
      <c r="K517" s="5">
        <v>12.08</v>
      </c>
      <c r="L517" s="5">
        <v>12.08</v>
      </c>
      <c r="M517" s="5">
        <v>12.08</v>
      </c>
      <c r="N517" s="5">
        <v>12.08</v>
      </c>
      <c r="O517" s="5">
        <v>12.08</v>
      </c>
      <c r="P517" s="5">
        <v>12.08</v>
      </c>
      <c r="Q517" s="5">
        <v>12.08</v>
      </c>
      <c r="R517" s="5">
        <v>12.08</v>
      </c>
    </row>
    <row r="518" spans="1:18" x14ac:dyDescent="0.25">
      <c r="A518">
        <v>2011</v>
      </c>
      <c r="B518">
        <v>4</v>
      </c>
      <c r="C518">
        <v>5</v>
      </c>
      <c r="D518" t="str">
        <f t="shared" si="8"/>
        <v>DC201104-sem5</v>
      </c>
      <c r="E518" s="1">
        <v>40656</v>
      </c>
      <c r="F518" s="1">
        <v>40662</v>
      </c>
      <c r="G518" s="5">
        <v>12.08</v>
      </c>
      <c r="H518" s="5">
        <v>12.08</v>
      </c>
      <c r="I518" s="5">
        <v>12.08</v>
      </c>
      <c r="J518" s="5">
        <v>12.08</v>
      </c>
      <c r="K518" s="5">
        <v>12.08</v>
      </c>
      <c r="L518" s="5">
        <v>12.08</v>
      </c>
      <c r="M518" s="5">
        <v>12.08</v>
      </c>
      <c r="N518" s="5">
        <v>12.08</v>
      </c>
      <c r="O518" s="5">
        <v>12.08</v>
      </c>
      <c r="P518" s="5">
        <v>12.08</v>
      </c>
      <c r="Q518" s="5">
        <v>12.08</v>
      </c>
      <c r="R518" s="5">
        <v>12.08</v>
      </c>
    </row>
    <row r="519" spans="1:18" x14ac:dyDescent="0.25">
      <c r="A519">
        <v>2011</v>
      </c>
      <c r="B519">
        <v>5</v>
      </c>
      <c r="C519">
        <v>1</v>
      </c>
      <c r="D519" t="str">
        <f t="shared" si="8"/>
        <v>DC201105-sem1</v>
      </c>
      <c r="E519" s="1">
        <v>40663</v>
      </c>
      <c r="F519" s="1">
        <v>40669</v>
      </c>
      <c r="G519" s="5">
        <v>15.94</v>
      </c>
      <c r="H519" s="5">
        <v>15.62</v>
      </c>
      <c r="I519" s="5">
        <v>15.31</v>
      </c>
      <c r="J519" s="5">
        <v>15.94</v>
      </c>
      <c r="K519" s="5">
        <v>15.62</v>
      </c>
      <c r="L519" s="5">
        <v>15.31</v>
      </c>
      <c r="M519" s="5">
        <v>15.94</v>
      </c>
      <c r="N519" s="5">
        <v>15.62</v>
      </c>
      <c r="O519" s="5">
        <v>15.38</v>
      </c>
      <c r="P519" s="5">
        <v>15.94</v>
      </c>
      <c r="Q519" s="5">
        <v>15.62</v>
      </c>
      <c r="R519" s="5">
        <v>15.31</v>
      </c>
    </row>
    <row r="520" spans="1:18" x14ac:dyDescent="0.25">
      <c r="A520">
        <v>2011</v>
      </c>
      <c r="B520">
        <v>5</v>
      </c>
      <c r="C520">
        <v>2</v>
      </c>
      <c r="D520" t="str">
        <f t="shared" si="8"/>
        <v>DC201105-sem2</v>
      </c>
      <c r="E520" s="1">
        <v>40670</v>
      </c>
      <c r="F520" s="1">
        <v>40676</v>
      </c>
      <c r="G520" s="5">
        <v>14.32</v>
      </c>
      <c r="H520" s="5">
        <v>13.91</v>
      </c>
      <c r="I520" s="5">
        <v>13.54</v>
      </c>
      <c r="J520" s="5">
        <v>14.32</v>
      </c>
      <c r="K520" s="5">
        <v>13.91</v>
      </c>
      <c r="L520" s="5">
        <v>13.54</v>
      </c>
      <c r="M520" s="5">
        <v>13.79</v>
      </c>
      <c r="N520" s="5">
        <v>13.79</v>
      </c>
      <c r="O520" s="5">
        <v>13.54</v>
      </c>
      <c r="P520" s="5">
        <v>13.78</v>
      </c>
      <c r="Q520" s="5">
        <v>13.78</v>
      </c>
      <c r="R520" s="5">
        <v>13.54</v>
      </c>
    </row>
    <row r="521" spans="1:18" x14ac:dyDescent="0.25">
      <c r="A521">
        <v>2011</v>
      </c>
      <c r="B521">
        <v>5</v>
      </c>
      <c r="C521">
        <v>3</v>
      </c>
      <c r="D521" t="str">
        <f t="shared" si="8"/>
        <v>DC201105-sem3</v>
      </c>
      <c r="E521" s="1">
        <v>40677</v>
      </c>
      <c r="F521" s="1">
        <v>40683</v>
      </c>
      <c r="G521" s="5">
        <v>15.91</v>
      </c>
      <c r="H521" s="5">
        <v>15.64</v>
      </c>
      <c r="I521" s="5">
        <v>15.11</v>
      </c>
      <c r="J521" s="5">
        <v>15.91</v>
      </c>
      <c r="K521" s="5">
        <v>15.64</v>
      </c>
      <c r="L521" s="5">
        <v>15.11</v>
      </c>
      <c r="M521" s="5">
        <v>15.91</v>
      </c>
      <c r="N521" s="5">
        <v>15.64</v>
      </c>
      <c r="O521" s="5">
        <v>15.11</v>
      </c>
      <c r="P521" s="5">
        <v>15.91</v>
      </c>
      <c r="Q521" s="5">
        <v>15.64</v>
      </c>
      <c r="R521" s="5">
        <v>15.11</v>
      </c>
    </row>
    <row r="522" spans="1:18" x14ac:dyDescent="0.25">
      <c r="A522">
        <v>2011</v>
      </c>
      <c r="B522">
        <v>5</v>
      </c>
      <c r="C522">
        <v>4</v>
      </c>
      <c r="D522" t="str">
        <f t="shared" si="8"/>
        <v>DC201105-sem4</v>
      </c>
      <c r="E522" s="1">
        <v>40684</v>
      </c>
      <c r="F522" s="1">
        <v>40690</v>
      </c>
      <c r="G522" s="5">
        <v>17.46</v>
      </c>
      <c r="H522" s="5">
        <v>17.09</v>
      </c>
      <c r="I522" s="5">
        <v>16.899999999999999</v>
      </c>
      <c r="J522" s="5">
        <v>17.46</v>
      </c>
      <c r="K522" s="5">
        <v>17.09</v>
      </c>
      <c r="L522" s="5">
        <v>16.899999999999999</v>
      </c>
      <c r="M522" s="5">
        <v>17.46</v>
      </c>
      <c r="N522" s="5">
        <v>17.09</v>
      </c>
      <c r="O522" s="5">
        <v>16.899999999999999</v>
      </c>
      <c r="P522" s="5">
        <v>17.46</v>
      </c>
      <c r="Q522" s="5">
        <v>17.09</v>
      </c>
      <c r="R522" s="5">
        <v>16.899999999999999</v>
      </c>
    </row>
    <row r="523" spans="1:18" x14ac:dyDescent="0.25">
      <c r="A523">
        <v>2011</v>
      </c>
      <c r="B523">
        <v>6</v>
      </c>
      <c r="C523">
        <v>1</v>
      </c>
      <c r="D523" t="str">
        <f t="shared" si="8"/>
        <v>DC201106-sem1</v>
      </c>
      <c r="E523" s="1">
        <v>40691</v>
      </c>
      <c r="F523" s="1">
        <v>40697</v>
      </c>
      <c r="G523" s="5">
        <v>30.46</v>
      </c>
      <c r="H523" s="5">
        <v>29.96</v>
      </c>
      <c r="I523" s="5">
        <v>29.96</v>
      </c>
      <c r="J523" s="5">
        <v>30.46</v>
      </c>
      <c r="K523" s="5">
        <v>29.96</v>
      </c>
      <c r="L523" s="5">
        <v>29.96</v>
      </c>
      <c r="M523" s="5">
        <v>30.46</v>
      </c>
      <c r="N523" s="5">
        <v>29.81</v>
      </c>
      <c r="O523" s="5">
        <v>28.6</v>
      </c>
      <c r="P523" s="5">
        <v>30.46</v>
      </c>
      <c r="Q523" s="5">
        <v>29.81</v>
      </c>
      <c r="R523" s="5">
        <v>28.6</v>
      </c>
    </row>
    <row r="524" spans="1:18" x14ac:dyDescent="0.25">
      <c r="A524">
        <v>2011</v>
      </c>
      <c r="B524">
        <v>6</v>
      </c>
      <c r="C524">
        <v>2</v>
      </c>
      <c r="D524" t="str">
        <f t="shared" si="8"/>
        <v>DC201106-sem2</v>
      </c>
      <c r="E524" s="1">
        <v>40698</v>
      </c>
      <c r="F524" s="1">
        <v>40704</v>
      </c>
      <c r="G524" s="5">
        <v>33.25</v>
      </c>
      <c r="H524" s="5">
        <v>32.74</v>
      </c>
      <c r="I524" s="5">
        <v>32.729999999999997</v>
      </c>
      <c r="J524" s="5">
        <v>33.25</v>
      </c>
      <c r="K524" s="5">
        <v>32.74</v>
      </c>
      <c r="L524" s="5">
        <v>32.729999999999997</v>
      </c>
      <c r="M524" s="5">
        <v>33.25</v>
      </c>
      <c r="N524" s="5">
        <v>32.74</v>
      </c>
      <c r="O524" s="5">
        <v>32.729999999999997</v>
      </c>
      <c r="P524" s="5">
        <v>33.25</v>
      </c>
      <c r="Q524" s="5">
        <v>32.74</v>
      </c>
      <c r="R524" s="5">
        <v>32.729999999999997</v>
      </c>
    </row>
    <row r="525" spans="1:18" x14ac:dyDescent="0.25">
      <c r="A525">
        <v>2011</v>
      </c>
      <c r="B525">
        <v>6</v>
      </c>
      <c r="C525">
        <v>3</v>
      </c>
      <c r="D525" t="str">
        <f t="shared" si="8"/>
        <v>DC201106-sem3</v>
      </c>
      <c r="E525" s="1">
        <v>40705</v>
      </c>
      <c r="F525" s="1">
        <v>40711</v>
      </c>
      <c r="G525" s="5">
        <v>35.72</v>
      </c>
      <c r="H525" s="5">
        <v>35.01</v>
      </c>
      <c r="I525" s="5">
        <v>34.630000000000003</v>
      </c>
      <c r="J525" s="5">
        <v>35.72</v>
      </c>
      <c r="K525" s="5">
        <v>35.01</v>
      </c>
      <c r="L525" s="5">
        <v>34.630000000000003</v>
      </c>
      <c r="M525" s="5">
        <v>35.72</v>
      </c>
      <c r="N525" s="5">
        <v>35.01</v>
      </c>
      <c r="O525" s="5">
        <v>34.630000000000003</v>
      </c>
      <c r="P525" s="5">
        <v>35.72</v>
      </c>
      <c r="Q525" s="5">
        <v>35.01</v>
      </c>
      <c r="R525" s="5">
        <v>34.630000000000003</v>
      </c>
    </row>
    <row r="526" spans="1:18" x14ac:dyDescent="0.25">
      <c r="A526">
        <v>2011</v>
      </c>
      <c r="B526">
        <v>6</v>
      </c>
      <c r="C526">
        <v>4</v>
      </c>
      <c r="D526" t="str">
        <f t="shared" si="8"/>
        <v>DC201106-sem4</v>
      </c>
      <c r="E526" s="1">
        <v>40712</v>
      </c>
      <c r="F526" s="1">
        <v>40718</v>
      </c>
      <c r="G526" s="5">
        <v>30.59</v>
      </c>
      <c r="H526" s="5">
        <v>29.78</v>
      </c>
      <c r="I526" s="5">
        <v>29.23</v>
      </c>
      <c r="J526" s="5">
        <v>30.59</v>
      </c>
      <c r="K526" s="5">
        <v>29.78</v>
      </c>
      <c r="L526" s="5">
        <v>29.23</v>
      </c>
      <c r="M526" s="5">
        <v>30.59</v>
      </c>
      <c r="N526" s="5">
        <v>29.78</v>
      </c>
      <c r="O526" s="5">
        <v>29.23</v>
      </c>
      <c r="P526" s="5">
        <v>30.59</v>
      </c>
      <c r="Q526" s="5">
        <v>29.78</v>
      </c>
      <c r="R526" s="5">
        <v>29.23</v>
      </c>
    </row>
    <row r="527" spans="1:18" x14ac:dyDescent="0.25">
      <c r="A527">
        <v>2011</v>
      </c>
      <c r="B527">
        <v>6</v>
      </c>
      <c r="C527">
        <v>5</v>
      </c>
      <c r="D527" t="str">
        <f t="shared" si="8"/>
        <v>DC201106-sem5</v>
      </c>
      <c r="E527" s="1">
        <v>40719</v>
      </c>
      <c r="F527" s="1">
        <v>40725</v>
      </c>
      <c r="G527" s="5">
        <v>31.22</v>
      </c>
      <c r="H527" s="5">
        <v>30.73</v>
      </c>
      <c r="I527" s="5">
        <v>29.7</v>
      </c>
      <c r="J527" s="5">
        <v>31.22</v>
      </c>
      <c r="K527" s="5">
        <v>30.73</v>
      </c>
      <c r="L527" s="5">
        <v>29.7</v>
      </c>
      <c r="M527" s="5">
        <v>31.22</v>
      </c>
      <c r="N527" s="5">
        <v>30.73</v>
      </c>
      <c r="O527" s="5">
        <v>29.7</v>
      </c>
      <c r="P527" s="5">
        <v>31.22</v>
      </c>
      <c r="Q527" s="5">
        <v>30.73</v>
      </c>
      <c r="R527" s="5">
        <v>29.7</v>
      </c>
    </row>
    <row r="528" spans="1:18" x14ac:dyDescent="0.25">
      <c r="A528">
        <v>2011</v>
      </c>
      <c r="B528">
        <v>7</v>
      </c>
      <c r="C528">
        <v>1</v>
      </c>
      <c r="D528" t="str">
        <f t="shared" si="8"/>
        <v>DC201107-sem1</v>
      </c>
      <c r="E528" s="1">
        <v>40726</v>
      </c>
      <c r="F528" s="1">
        <v>40732</v>
      </c>
      <c r="G528" s="5">
        <v>28.23</v>
      </c>
      <c r="H528" s="5">
        <v>27.88</v>
      </c>
      <c r="I528" s="5">
        <v>27.48</v>
      </c>
      <c r="J528" s="5">
        <v>28.23</v>
      </c>
      <c r="K528" s="5">
        <v>27.88</v>
      </c>
      <c r="L528" s="5">
        <v>27.48</v>
      </c>
      <c r="M528" s="5">
        <v>28.23</v>
      </c>
      <c r="N528" s="5">
        <v>27.88</v>
      </c>
      <c r="O528" s="5">
        <v>27.48</v>
      </c>
      <c r="P528" s="5">
        <v>28.23</v>
      </c>
      <c r="Q528" s="5">
        <v>27.88</v>
      </c>
      <c r="R528" s="5">
        <v>27.48</v>
      </c>
    </row>
    <row r="529" spans="1:18" x14ac:dyDescent="0.25">
      <c r="A529">
        <v>2011</v>
      </c>
      <c r="B529">
        <v>7</v>
      </c>
      <c r="C529">
        <v>2</v>
      </c>
      <c r="D529" t="str">
        <f t="shared" si="8"/>
        <v>DC201107-sem2</v>
      </c>
      <c r="E529" s="1">
        <v>40733</v>
      </c>
      <c r="F529" s="1">
        <v>40739</v>
      </c>
      <c r="G529" s="5">
        <v>23.75</v>
      </c>
      <c r="H529" s="5">
        <v>23.14</v>
      </c>
      <c r="I529" s="5">
        <v>22.96</v>
      </c>
      <c r="J529" s="5">
        <v>23.75</v>
      </c>
      <c r="K529" s="5">
        <v>23.14</v>
      </c>
      <c r="L529" s="5">
        <v>22.96</v>
      </c>
      <c r="M529" s="5">
        <v>23.75</v>
      </c>
      <c r="N529" s="5">
        <v>23.14</v>
      </c>
      <c r="O529" s="5">
        <v>22.97</v>
      </c>
      <c r="P529" s="5">
        <v>23.75</v>
      </c>
      <c r="Q529" s="5">
        <v>23.14</v>
      </c>
      <c r="R529" s="5">
        <v>22.97</v>
      </c>
    </row>
    <row r="530" spans="1:18" x14ac:dyDescent="0.25">
      <c r="A530">
        <v>2011</v>
      </c>
      <c r="B530">
        <v>7</v>
      </c>
      <c r="C530">
        <v>3</v>
      </c>
      <c r="D530" t="str">
        <f t="shared" si="8"/>
        <v>DC201107-sem3</v>
      </c>
      <c r="E530" s="1">
        <v>40740</v>
      </c>
      <c r="F530" s="1">
        <v>40746</v>
      </c>
      <c r="G530" s="5">
        <v>21.8</v>
      </c>
      <c r="H530" s="5">
        <v>20.92</v>
      </c>
      <c r="I530" s="5">
        <v>20.79</v>
      </c>
      <c r="J530" s="5">
        <v>21.8</v>
      </c>
      <c r="K530" s="5">
        <v>20.92</v>
      </c>
      <c r="L530" s="5">
        <v>20.79</v>
      </c>
      <c r="M530" s="5">
        <v>21.8</v>
      </c>
      <c r="N530" s="5">
        <v>20.92</v>
      </c>
      <c r="O530" s="5">
        <v>20.79</v>
      </c>
      <c r="P530" s="5">
        <v>21.8</v>
      </c>
      <c r="Q530" s="5">
        <v>20.92</v>
      </c>
      <c r="R530" s="5">
        <v>20.79</v>
      </c>
    </row>
    <row r="531" spans="1:18" x14ac:dyDescent="0.25">
      <c r="A531">
        <v>2011</v>
      </c>
      <c r="B531">
        <v>7</v>
      </c>
      <c r="C531">
        <v>4</v>
      </c>
      <c r="D531" t="str">
        <f t="shared" si="8"/>
        <v>DC201107-sem4</v>
      </c>
      <c r="E531" s="1">
        <v>40747</v>
      </c>
      <c r="F531" s="1">
        <v>40753</v>
      </c>
      <c r="G531" s="5">
        <v>20.260000000000002</v>
      </c>
      <c r="H531" s="5">
        <v>19.43</v>
      </c>
      <c r="I531" s="5">
        <v>18.8</v>
      </c>
      <c r="J531" s="5">
        <v>20.260000000000002</v>
      </c>
      <c r="K531" s="5">
        <v>19.43</v>
      </c>
      <c r="L531" s="5">
        <v>18.8</v>
      </c>
      <c r="M531" s="5">
        <v>20.260000000000002</v>
      </c>
      <c r="N531" s="5">
        <v>19.43</v>
      </c>
      <c r="O531" s="5">
        <v>19.399999999999999</v>
      </c>
      <c r="P531" s="5">
        <v>20.260000000000002</v>
      </c>
      <c r="Q531" s="5">
        <v>19.43</v>
      </c>
      <c r="R531" s="5">
        <v>19.37</v>
      </c>
    </row>
    <row r="532" spans="1:18" x14ac:dyDescent="0.25">
      <c r="A532">
        <v>2011</v>
      </c>
      <c r="B532">
        <v>8</v>
      </c>
      <c r="C532">
        <v>1</v>
      </c>
      <c r="D532" t="str">
        <f t="shared" si="8"/>
        <v>DC201108-sem1</v>
      </c>
      <c r="E532" s="1">
        <v>40754</v>
      </c>
      <c r="F532" s="1">
        <v>40760</v>
      </c>
      <c r="G532" s="5">
        <v>24.21</v>
      </c>
      <c r="H532" s="5">
        <v>23.81</v>
      </c>
      <c r="I532" s="5">
        <v>22.98</v>
      </c>
      <c r="J532" s="5">
        <v>22.71</v>
      </c>
      <c r="K532" s="5">
        <v>22.71</v>
      </c>
      <c r="L532" s="5">
        <v>12.08</v>
      </c>
      <c r="M532" s="5">
        <v>24.21</v>
      </c>
      <c r="N532" s="5">
        <v>23.81</v>
      </c>
      <c r="O532" s="5">
        <v>22.98</v>
      </c>
      <c r="P532" s="5">
        <v>24.21</v>
      </c>
      <c r="Q532" s="5">
        <v>23.81</v>
      </c>
      <c r="R532" s="5">
        <v>22.98</v>
      </c>
    </row>
    <row r="533" spans="1:18" x14ac:dyDescent="0.25">
      <c r="A533">
        <v>2011</v>
      </c>
      <c r="B533">
        <v>8</v>
      </c>
      <c r="C533">
        <v>2</v>
      </c>
      <c r="D533" t="str">
        <f t="shared" si="8"/>
        <v>DC201108-sem2</v>
      </c>
      <c r="E533" s="1">
        <v>40761</v>
      </c>
      <c r="F533" s="1">
        <v>40767</v>
      </c>
      <c r="G533" s="5">
        <v>16.97</v>
      </c>
      <c r="H533" s="5">
        <v>16.350000000000001</v>
      </c>
      <c r="I533" s="5">
        <v>15.68</v>
      </c>
      <c r="J533" s="5">
        <v>16.97</v>
      </c>
      <c r="K533" s="5">
        <v>12.08</v>
      </c>
      <c r="L533" s="5">
        <v>12.08</v>
      </c>
      <c r="M533" s="5">
        <v>16.97</v>
      </c>
      <c r="N533" s="5">
        <v>16.350000000000001</v>
      </c>
      <c r="O533" s="5">
        <v>15.68</v>
      </c>
      <c r="P533" s="5">
        <v>16.97</v>
      </c>
      <c r="Q533" s="5">
        <v>16.350000000000001</v>
      </c>
      <c r="R533" s="5">
        <v>15.68</v>
      </c>
    </row>
    <row r="534" spans="1:18" x14ac:dyDescent="0.25">
      <c r="A534">
        <v>2011</v>
      </c>
      <c r="B534">
        <v>8</v>
      </c>
      <c r="C534">
        <v>3</v>
      </c>
      <c r="D534" t="str">
        <f t="shared" si="8"/>
        <v>DC201108-sem3</v>
      </c>
      <c r="E534" s="1">
        <v>40768</v>
      </c>
      <c r="F534" s="1">
        <v>40774</v>
      </c>
      <c r="G534" s="5">
        <v>18.68</v>
      </c>
      <c r="H534" s="5">
        <v>18.09</v>
      </c>
      <c r="I534" s="5">
        <v>17.34</v>
      </c>
      <c r="J534" s="5">
        <v>18.68</v>
      </c>
      <c r="K534" s="5">
        <v>18.09</v>
      </c>
      <c r="L534" s="5">
        <v>12.08</v>
      </c>
      <c r="M534" s="5">
        <v>18.68</v>
      </c>
      <c r="N534" s="5">
        <v>18.09</v>
      </c>
      <c r="O534" s="5">
        <v>17.34</v>
      </c>
      <c r="P534" s="5">
        <v>18.68</v>
      </c>
      <c r="Q534" s="5">
        <v>18.09</v>
      </c>
      <c r="R534" s="5">
        <v>17.34</v>
      </c>
    </row>
    <row r="535" spans="1:18" x14ac:dyDescent="0.25">
      <c r="A535">
        <v>2011</v>
      </c>
      <c r="B535">
        <v>8</v>
      </c>
      <c r="C535">
        <v>4</v>
      </c>
      <c r="D535" t="str">
        <f t="shared" si="8"/>
        <v>DC201108-sem4</v>
      </c>
      <c r="E535" s="1">
        <v>40775</v>
      </c>
      <c r="F535" s="1">
        <v>40781</v>
      </c>
      <c r="G535" s="5">
        <v>25.08</v>
      </c>
      <c r="H535" s="5">
        <v>24.4</v>
      </c>
      <c r="I535" s="5">
        <v>23.41</v>
      </c>
      <c r="J535" s="5">
        <v>23.41</v>
      </c>
      <c r="K535" s="5">
        <v>23.41</v>
      </c>
      <c r="L535" s="5">
        <v>12.08</v>
      </c>
      <c r="M535" s="5">
        <v>25.08</v>
      </c>
      <c r="N535" s="5">
        <v>24.4</v>
      </c>
      <c r="O535" s="5">
        <v>23.41</v>
      </c>
      <c r="P535" s="5">
        <v>25.08</v>
      </c>
      <c r="Q535" s="5">
        <v>24.4</v>
      </c>
      <c r="R535" s="5">
        <v>23.41</v>
      </c>
    </row>
    <row r="536" spans="1:18" x14ac:dyDescent="0.25">
      <c r="A536">
        <v>2011</v>
      </c>
      <c r="B536">
        <v>9</v>
      </c>
      <c r="C536">
        <v>1</v>
      </c>
      <c r="D536" t="str">
        <f t="shared" si="8"/>
        <v>DC201109-sem1</v>
      </c>
      <c r="E536" s="1">
        <v>40782</v>
      </c>
      <c r="F536" s="1">
        <v>40788</v>
      </c>
      <c r="G536" s="5">
        <v>17.600000000000001</v>
      </c>
      <c r="H536" s="5">
        <v>16.77</v>
      </c>
      <c r="I536" s="5">
        <v>15.9</v>
      </c>
      <c r="J536" s="5">
        <v>12.08</v>
      </c>
      <c r="K536" s="5">
        <v>12.08</v>
      </c>
      <c r="L536" s="5">
        <v>12.08</v>
      </c>
      <c r="M536" s="5">
        <v>17.600000000000001</v>
      </c>
      <c r="N536" s="5">
        <v>16.77</v>
      </c>
      <c r="O536" s="5">
        <v>16.09</v>
      </c>
      <c r="P536" s="5">
        <v>17.600000000000001</v>
      </c>
      <c r="Q536" s="5">
        <v>16.77</v>
      </c>
      <c r="R536" s="5">
        <v>16.09</v>
      </c>
    </row>
    <row r="537" spans="1:18" x14ac:dyDescent="0.25">
      <c r="A537">
        <v>2011</v>
      </c>
      <c r="B537">
        <v>9</v>
      </c>
      <c r="C537">
        <v>2</v>
      </c>
      <c r="D537" t="str">
        <f t="shared" si="8"/>
        <v>DC201109-sem2</v>
      </c>
      <c r="E537" s="1">
        <v>40789</v>
      </c>
      <c r="F537" s="1">
        <v>40795</v>
      </c>
      <c r="G537" s="5">
        <v>18.07</v>
      </c>
      <c r="H537" s="5">
        <v>17.47</v>
      </c>
      <c r="I537" s="5">
        <v>16.73</v>
      </c>
      <c r="J537" s="5">
        <v>12.08</v>
      </c>
      <c r="K537" s="5">
        <v>12.08</v>
      </c>
      <c r="L537" s="5">
        <v>12.08</v>
      </c>
      <c r="M537" s="5">
        <v>18.07</v>
      </c>
      <c r="N537" s="5">
        <v>17.47</v>
      </c>
      <c r="O537" s="5">
        <v>16.73</v>
      </c>
      <c r="P537" s="5">
        <v>18.07</v>
      </c>
      <c r="Q537" s="5">
        <v>17.47</v>
      </c>
      <c r="R537" s="5">
        <v>16.73</v>
      </c>
    </row>
    <row r="538" spans="1:18" x14ac:dyDescent="0.25">
      <c r="A538">
        <v>2011</v>
      </c>
      <c r="B538">
        <v>9</v>
      </c>
      <c r="C538">
        <v>3</v>
      </c>
      <c r="D538" t="str">
        <f t="shared" si="8"/>
        <v>DC201109-sem3</v>
      </c>
      <c r="E538" s="1">
        <v>40796</v>
      </c>
      <c r="F538" s="1">
        <v>40802</v>
      </c>
      <c r="G538" s="5">
        <v>21.44</v>
      </c>
      <c r="H538" s="5">
        <v>21.01</v>
      </c>
      <c r="I538" s="5">
        <v>20.25</v>
      </c>
      <c r="J538" s="5">
        <v>20.25</v>
      </c>
      <c r="K538" s="5">
        <v>20.25</v>
      </c>
      <c r="L538" s="5">
        <v>12.08</v>
      </c>
      <c r="M538" s="5">
        <v>21.44</v>
      </c>
      <c r="N538" s="5">
        <v>21.01</v>
      </c>
      <c r="O538" s="5">
        <v>20.25</v>
      </c>
      <c r="P538" s="5">
        <v>21.44</v>
      </c>
      <c r="Q538" s="5">
        <v>21.01</v>
      </c>
      <c r="R538" s="5">
        <v>20.25</v>
      </c>
    </row>
    <row r="539" spans="1:18" x14ac:dyDescent="0.25">
      <c r="A539">
        <v>2011</v>
      </c>
      <c r="B539">
        <v>9</v>
      </c>
      <c r="C539">
        <v>4</v>
      </c>
      <c r="D539" t="str">
        <f t="shared" si="8"/>
        <v>DC201109-sem4</v>
      </c>
      <c r="E539" s="1">
        <v>40803</v>
      </c>
      <c r="F539" s="1">
        <v>40809</v>
      </c>
      <c r="G539" s="5">
        <v>24.84</v>
      </c>
      <c r="H539" s="5">
        <v>23.8</v>
      </c>
      <c r="I539" s="5">
        <v>22.83</v>
      </c>
      <c r="J539" s="5">
        <v>24.84</v>
      </c>
      <c r="K539" s="5">
        <v>23.8</v>
      </c>
      <c r="L539" s="5">
        <v>12.08</v>
      </c>
      <c r="M539" s="5">
        <v>24.84</v>
      </c>
      <c r="N539" s="5">
        <v>23.8</v>
      </c>
      <c r="O539" s="5">
        <v>22.83</v>
      </c>
      <c r="P539" s="5">
        <v>24.84</v>
      </c>
      <c r="Q539" s="5">
        <v>23.8</v>
      </c>
      <c r="R539" s="5">
        <v>22.83</v>
      </c>
    </row>
    <row r="540" spans="1:18" x14ac:dyDescent="0.25">
      <c r="A540">
        <v>2011</v>
      </c>
      <c r="B540">
        <v>9</v>
      </c>
      <c r="C540">
        <v>5</v>
      </c>
      <c r="D540" t="str">
        <f t="shared" si="8"/>
        <v>DC201109-sem5</v>
      </c>
      <c r="E540" s="1">
        <v>40810</v>
      </c>
      <c r="F540" s="1">
        <v>40816</v>
      </c>
      <c r="G540" s="5">
        <v>25.76</v>
      </c>
      <c r="H540" s="5">
        <v>24.8</v>
      </c>
      <c r="I540" s="5">
        <v>23.61</v>
      </c>
      <c r="J540" s="5">
        <v>25.76</v>
      </c>
      <c r="K540" s="5">
        <v>24.8</v>
      </c>
      <c r="L540" s="5">
        <v>12.08</v>
      </c>
      <c r="M540" s="5">
        <v>25.76</v>
      </c>
      <c r="N540" s="5">
        <v>24.8</v>
      </c>
      <c r="O540" s="5">
        <v>23.61</v>
      </c>
      <c r="P540" s="5">
        <v>25.76</v>
      </c>
      <c r="Q540" s="5">
        <v>24.8</v>
      </c>
      <c r="R540" s="5">
        <v>23.61</v>
      </c>
    </row>
    <row r="541" spans="1:18" x14ac:dyDescent="0.25">
      <c r="A541">
        <v>2011</v>
      </c>
      <c r="B541">
        <v>10</v>
      </c>
      <c r="C541">
        <v>1</v>
      </c>
      <c r="D541" t="str">
        <f t="shared" si="8"/>
        <v>DC201110-sem1</v>
      </c>
      <c r="E541" s="1">
        <v>40817</v>
      </c>
      <c r="F541" s="1">
        <v>40823</v>
      </c>
      <c r="G541" s="5">
        <v>44.03</v>
      </c>
      <c r="H541" s="5">
        <v>43.42</v>
      </c>
      <c r="I541" s="5">
        <v>41.99</v>
      </c>
      <c r="J541" s="5">
        <v>44.03</v>
      </c>
      <c r="K541" s="5">
        <v>43.42</v>
      </c>
      <c r="L541" s="5">
        <v>41.55</v>
      </c>
      <c r="M541" s="5">
        <v>44.03</v>
      </c>
      <c r="N541" s="5">
        <v>43.42</v>
      </c>
      <c r="O541" s="5">
        <v>41.99</v>
      </c>
      <c r="P541" s="5">
        <v>44.03</v>
      </c>
      <c r="Q541" s="5">
        <v>43.42</v>
      </c>
      <c r="R541" s="5">
        <v>41.99</v>
      </c>
    </row>
    <row r="542" spans="1:18" x14ac:dyDescent="0.25">
      <c r="A542">
        <v>2011</v>
      </c>
      <c r="B542">
        <v>10</v>
      </c>
      <c r="C542">
        <v>2</v>
      </c>
      <c r="D542" t="str">
        <f t="shared" si="8"/>
        <v>DC201110-sem2</v>
      </c>
      <c r="E542" s="1">
        <v>40824</v>
      </c>
      <c r="F542" s="1">
        <v>40830</v>
      </c>
      <c r="G542" s="5">
        <v>44.1</v>
      </c>
      <c r="H542" s="5">
        <v>43.29</v>
      </c>
      <c r="I542" s="5">
        <v>42.75</v>
      </c>
      <c r="J542" s="5">
        <v>43.14</v>
      </c>
      <c r="K542" s="5">
        <v>42.94</v>
      </c>
      <c r="L542" s="5">
        <v>42.75</v>
      </c>
      <c r="M542" s="5">
        <v>44.1</v>
      </c>
      <c r="N542" s="5">
        <v>43.29</v>
      </c>
      <c r="O542" s="5">
        <v>42.75</v>
      </c>
      <c r="P542" s="5">
        <v>44.1</v>
      </c>
      <c r="Q542" s="5">
        <v>43.29</v>
      </c>
      <c r="R542" s="5">
        <v>42.75</v>
      </c>
    </row>
    <row r="543" spans="1:18" x14ac:dyDescent="0.25">
      <c r="A543">
        <v>2011</v>
      </c>
      <c r="B543">
        <v>10</v>
      </c>
      <c r="C543">
        <v>3</v>
      </c>
      <c r="D543" t="str">
        <f t="shared" si="8"/>
        <v>DC201110-sem3</v>
      </c>
      <c r="E543" s="1">
        <v>40831</v>
      </c>
      <c r="F543" s="1">
        <v>40837</v>
      </c>
      <c r="G543" s="5">
        <v>39.14</v>
      </c>
      <c r="H543" s="5">
        <v>38.92</v>
      </c>
      <c r="I543" s="5">
        <v>37.479999999999997</v>
      </c>
      <c r="J543" s="5">
        <v>39.14</v>
      </c>
      <c r="K543" s="5">
        <v>38.92</v>
      </c>
      <c r="L543" s="5">
        <v>37.479999999999997</v>
      </c>
      <c r="M543" s="5">
        <v>39.14</v>
      </c>
      <c r="N543" s="5">
        <v>38.92</v>
      </c>
      <c r="O543" s="5">
        <v>37.54</v>
      </c>
      <c r="P543" s="5">
        <v>39.14</v>
      </c>
      <c r="Q543" s="5">
        <v>38.92</v>
      </c>
      <c r="R543" s="5">
        <v>37.479999999999997</v>
      </c>
    </row>
    <row r="544" spans="1:18" x14ac:dyDescent="0.25">
      <c r="A544">
        <v>2011</v>
      </c>
      <c r="B544">
        <v>10</v>
      </c>
      <c r="C544">
        <v>4</v>
      </c>
      <c r="D544" t="str">
        <f t="shared" si="8"/>
        <v>DC201110-sem4</v>
      </c>
      <c r="E544" s="1">
        <v>40838</v>
      </c>
      <c r="F544" s="1">
        <v>40844</v>
      </c>
      <c r="G544" s="5">
        <v>24.1</v>
      </c>
      <c r="H544" s="5">
        <v>23.92</v>
      </c>
      <c r="I544" s="5">
        <v>22.95</v>
      </c>
      <c r="J544" s="5">
        <v>24.1</v>
      </c>
      <c r="K544" s="5">
        <v>23.92</v>
      </c>
      <c r="L544" s="5">
        <v>22.95</v>
      </c>
      <c r="M544" s="5">
        <v>24.1</v>
      </c>
      <c r="N544" s="5">
        <v>23.92</v>
      </c>
      <c r="O544" s="5">
        <v>22.95</v>
      </c>
      <c r="P544" s="5">
        <v>24.1</v>
      </c>
      <c r="Q544" s="5">
        <v>23.92</v>
      </c>
      <c r="R544" s="5">
        <v>22.95</v>
      </c>
    </row>
    <row r="545" spans="1:18" x14ac:dyDescent="0.25">
      <c r="A545">
        <v>2011</v>
      </c>
      <c r="B545">
        <v>11</v>
      </c>
      <c r="C545">
        <v>1</v>
      </c>
      <c r="D545" t="str">
        <f t="shared" si="8"/>
        <v>DC201111-sem1</v>
      </c>
      <c r="E545" s="1">
        <v>40845</v>
      </c>
      <c r="F545" s="1">
        <v>40851</v>
      </c>
      <c r="G545" s="5">
        <v>39.32</v>
      </c>
      <c r="H545" s="5">
        <v>38.44</v>
      </c>
      <c r="I545" s="5">
        <v>37.729999999999997</v>
      </c>
      <c r="J545" s="5">
        <v>39.32</v>
      </c>
      <c r="K545" s="5">
        <v>38.44</v>
      </c>
      <c r="L545" s="5">
        <v>37.729999999999997</v>
      </c>
      <c r="M545" s="5">
        <v>39.32</v>
      </c>
      <c r="N545" s="5">
        <v>38.44</v>
      </c>
      <c r="O545" s="5">
        <v>37.729999999999997</v>
      </c>
      <c r="P545" s="5">
        <v>39.32</v>
      </c>
      <c r="Q545" s="5">
        <v>38.44</v>
      </c>
      <c r="R545" s="5">
        <v>37.729999999999997</v>
      </c>
    </row>
    <row r="546" spans="1:18" x14ac:dyDescent="0.25">
      <c r="A546">
        <v>2011</v>
      </c>
      <c r="B546">
        <v>11</v>
      </c>
      <c r="C546">
        <v>2</v>
      </c>
      <c r="D546" t="str">
        <f t="shared" si="8"/>
        <v>DC201111-sem2</v>
      </c>
      <c r="E546" s="1">
        <v>40852</v>
      </c>
      <c r="F546" s="1">
        <v>40858</v>
      </c>
      <c r="G546" s="5">
        <v>44.03</v>
      </c>
      <c r="H546" s="5">
        <v>44.03</v>
      </c>
      <c r="I546" s="5">
        <v>42.94</v>
      </c>
      <c r="J546" s="5">
        <v>44.03</v>
      </c>
      <c r="K546" s="5">
        <v>44.03</v>
      </c>
      <c r="L546" s="5">
        <v>42.94</v>
      </c>
      <c r="M546" s="5">
        <v>44.03</v>
      </c>
      <c r="N546" s="5">
        <v>44.03</v>
      </c>
      <c r="O546" s="5">
        <v>42.94</v>
      </c>
      <c r="P546" s="5">
        <v>44.03</v>
      </c>
      <c r="Q546" s="5">
        <v>44.03</v>
      </c>
      <c r="R546" s="5">
        <v>42.94</v>
      </c>
    </row>
    <row r="547" spans="1:18" x14ac:dyDescent="0.25">
      <c r="A547">
        <v>2011</v>
      </c>
      <c r="B547">
        <v>11</v>
      </c>
      <c r="C547">
        <v>3</v>
      </c>
      <c r="D547" t="str">
        <f t="shared" si="8"/>
        <v>DC201111-sem3</v>
      </c>
      <c r="E547" s="1">
        <v>40859</v>
      </c>
      <c r="F547" s="1">
        <v>40865</v>
      </c>
      <c r="G547" s="5">
        <v>40.409999999999997</v>
      </c>
      <c r="H547" s="5">
        <v>39.72</v>
      </c>
      <c r="I547" s="5">
        <v>39.01</v>
      </c>
      <c r="J547" s="5">
        <v>40.409999999999997</v>
      </c>
      <c r="K547" s="5">
        <v>39.72</v>
      </c>
      <c r="L547" s="5">
        <v>39</v>
      </c>
      <c r="M547" s="5">
        <v>40.409999999999997</v>
      </c>
      <c r="N547" s="5">
        <v>39.72</v>
      </c>
      <c r="O547" s="5">
        <v>39.01</v>
      </c>
      <c r="P547" s="5">
        <v>40.409999999999997</v>
      </c>
      <c r="Q547" s="5">
        <v>39.72</v>
      </c>
      <c r="R547" s="5">
        <v>39.01</v>
      </c>
    </row>
    <row r="548" spans="1:18" x14ac:dyDescent="0.25">
      <c r="A548">
        <v>2011</v>
      </c>
      <c r="B548">
        <v>11</v>
      </c>
      <c r="C548">
        <v>4</v>
      </c>
      <c r="D548" t="str">
        <f t="shared" si="8"/>
        <v>DC201111-sem4</v>
      </c>
      <c r="E548" s="1">
        <v>40866</v>
      </c>
      <c r="F548" s="1">
        <v>40872</v>
      </c>
      <c r="G548" s="5">
        <v>45.45</v>
      </c>
      <c r="H548" s="5">
        <v>45.45</v>
      </c>
      <c r="I548" s="5">
        <v>43.94</v>
      </c>
      <c r="J548" s="5">
        <v>45.45</v>
      </c>
      <c r="K548" s="5">
        <v>45.45</v>
      </c>
      <c r="L548" s="5">
        <v>43.94</v>
      </c>
      <c r="M548" s="5">
        <v>45.45</v>
      </c>
      <c r="N548" s="5">
        <v>45.45</v>
      </c>
      <c r="O548" s="5">
        <v>43.94</v>
      </c>
      <c r="P548" s="5">
        <v>45.45</v>
      </c>
      <c r="Q548" s="5">
        <v>45.45</v>
      </c>
      <c r="R548" s="5">
        <v>43.94</v>
      </c>
    </row>
    <row r="549" spans="1:18" x14ac:dyDescent="0.25">
      <c r="A549">
        <v>2011</v>
      </c>
      <c r="B549">
        <v>12</v>
      </c>
      <c r="C549">
        <v>1</v>
      </c>
      <c r="D549" t="str">
        <f t="shared" si="8"/>
        <v>DC201112-sem1</v>
      </c>
      <c r="E549" s="1">
        <v>40873</v>
      </c>
      <c r="F549" s="1">
        <v>40879</v>
      </c>
      <c r="G549" s="5">
        <v>64.739999999999995</v>
      </c>
      <c r="H549" s="5">
        <v>64.47</v>
      </c>
      <c r="I549" s="5">
        <v>61.97</v>
      </c>
      <c r="J549" s="5">
        <v>64.739999999999995</v>
      </c>
      <c r="K549" s="5">
        <v>64.47</v>
      </c>
      <c r="L549" s="5">
        <v>61.97</v>
      </c>
      <c r="M549" s="5">
        <v>64.739999999999995</v>
      </c>
      <c r="N549" s="5">
        <v>64.47</v>
      </c>
      <c r="O549" s="5">
        <v>61.97</v>
      </c>
      <c r="P549" s="5">
        <v>64.739999999999995</v>
      </c>
      <c r="Q549" s="5">
        <v>64.47</v>
      </c>
      <c r="R549" s="5">
        <v>61.97</v>
      </c>
    </row>
    <row r="550" spans="1:18" x14ac:dyDescent="0.25">
      <c r="A550">
        <v>2011</v>
      </c>
      <c r="B550">
        <v>12</v>
      </c>
      <c r="C550">
        <v>2</v>
      </c>
      <c r="D550" t="str">
        <f t="shared" si="8"/>
        <v>DC201112-sem2</v>
      </c>
      <c r="E550" s="1">
        <v>40880</v>
      </c>
      <c r="F550" s="1">
        <v>40886</v>
      </c>
      <c r="G550" s="5">
        <v>52.45</v>
      </c>
      <c r="H550" s="5">
        <v>52.45</v>
      </c>
      <c r="I550" s="5">
        <v>49.68</v>
      </c>
      <c r="J550" s="5">
        <v>52.45</v>
      </c>
      <c r="K550" s="5">
        <v>52.45</v>
      </c>
      <c r="L550" s="5">
        <v>49.68</v>
      </c>
      <c r="M550" s="5">
        <v>52.45</v>
      </c>
      <c r="N550" s="5">
        <v>52.45</v>
      </c>
      <c r="O550" s="5">
        <v>49.68</v>
      </c>
      <c r="P550" s="5">
        <v>52.45</v>
      </c>
      <c r="Q550" s="5">
        <v>52.45</v>
      </c>
      <c r="R550" s="5">
        <v>49.68</v>
      </c>
    </row>
    <row r="551" spans="1:18" x14ac:dyDescent="0.25">
      <c r="A551">
        <v>2011</v>
      </c>
      <c r="B551">
        <v>12</v>
      </c>
      <c r="C551">
        <v>3</v>
      </c>
      <c r="D551" t="str">
        <f t="shared" si="8"/>
        <v>DC201112-sem3</v>
      </c>
      <c r="E551" s="1">
        <v>40887</v>
      </c>
      <c r="F551" s="1">
        <v>40893</v>
      </c>
      <c r="G551" s="5">
        <v>35.72</v>
      </c>
      <c r="H551" s="5">
        <v>35.72</v>
      </c>
      <c r="I551" s="5">
        <v>34.08</v>
      </c>
      <c r="J551" s="5">
        <v>35.72</v>
      </c>
      <c r="K551" s="5">
        <v>35.72</v>
      </c>
      <c r="L551" s="5">
        <v>34.08</v>
      </c>
      <c r="M551" s="5">
        <v>32.270000000000003</v>
      </c>
      <c r="N551" s="5">
        <v>28.96</v>
      </c>
      <c r="O551" s="5">
        <v>27.54</v>
      </c>
      <c r="P551" s="5">
        <v>32.270000000000003</v>
      </c>
      <c r="Q551" s="5">
        <v>28.96</v>
      </c>
      <c r="R551" s="5">
        <v>27.54</v>
      </c>
    </row>
    <row r="552" spans="1:18" x14ac:dyDescent="0.25">
      <c r="A552">
        <v>2011</v>
      </c>
      <c r="B552">
        <v>12</v>
      </c>
      <c r="C552">
        <v>4</v>
      </c>
      <c r="D552" t="str">
        <f t="shared" si="8"/>
        <v>DC201112-sem4</v>
      </c>
      <c r="E552" s="1">
        <v>40894</v>
      </c>
      <c r="F552" s="1">
        <v>40900</v>
      </c>
      <c r="G552" s="5">
        <v>45.73</v>
      </c>
      <c r="H552" s="5">
        <v>45.7</v>
      </c>
      <c r="I552" s="5">
        <v>44.38</v>
      </c>
      <c r="J552" s="5">
        <v>45.73</v>
      </c>
      <c r="K552" s="5">
        <v>45.7</v>
      </c>
      <c r="L552" s="5">
        <v>44.38</v>
      </c>
      <c r="M552" s="5">
        <v>38.659999999999997</v>
      </c>
      <c r="N552" s="5">
        <v>34.68</v>
      </c>
      <c r="O552" s="5">
        <v>34.51</v>
      </c>
      <c r="P552" s="5">
        <v>38.659999999999997</v>
      </c>
      <c r="Q552" s="5">
        <v>34.68</v>
      </c>
      <c r="R552" s="5">
        <v>34.51</v>
      </c>
    </row>
    <row r="553" spans="1:18" x14ac:dyDescent="0.25">
      <c r="A553">
        <v>2011</v>
      </c>
      <c r="B553">
        <v>12</v>
      </c>
      <c r="C553">
        <v>5</v>
      </c>
      <c r="D553" t="str">
        <f t="shared" si="8"/>
        <v>DC201112-sem5</v>
      </c>
      <c r="E553" s="1">
        <v>40901</v>
      </c>
      <c r="F553" s="1">
        <v>40907</v>
      </c>
      <c r="G553" s="5">
        <v>40.76</v>
      </c>
      <c r="H553" s="5">
        <v>40.479999999999997</v>
      </c>
      <c r="I553" s="5">
        <v>39.71</v>
      </c>
      <c r="J553" s="5">
        <v>40.76</v>
      </c>
      <c r="K553" s="5">
        <v>40.479999999999997</v>
      </c>
      <c r="L553" s="5">
        <v>39.71</v>
      </c>
      <c r="M553" s="5">
        <v>32.21</v>
      </c>
      <c r="N553" s="5">
        <v>29.32</v>
      </c>
      <c r="O553" s="5">
        <v>29.32</v>
      </c>
      <c r="P553" s="5">
        <v>32.21</v>
      </c>
      <c r="Q553" s="5">
        <v>29.32</v>
      </c>
      <c r="R553" s="5">
        <v>29.32</v>
      </c>
    </row>
    <row r="554" spans="1:18" x14ac:dyDescent="0.25">
      <c r="A554">
        <v>2012</v>
      </c>
      <c r="B554">
        <v>1</v>
      </c>
      <c r="C554">
        <v>1</v>
      </c>
      <c r="D554" t="str">
        <f t="shared" si="8"/>
        <v>DC201201-sem1</v>
      </c>
      <c r="E554" s="1">
        <v>40908</v>
      </c>
      <c r="F554" s="1">
        <v>40914</v>
      </c>
      <c r="G554" s="5">
        <v>47.73</v>
      </c>
      <c r="H554" s="5">
        <v>47.47</v>
      </c>
      <c r="I554" s="5">
        <v>45.31</v>
      </c>
      <c r="J554" s="5">
        <v>47.73</v>
      </c>
      <c r="K554" s="5">
        <v>47.47</v>
      </c>
      <c r="L554" s="5">
        <v>45.31</v>
      </c>
      <c r="M554" s="5">
        <v>47.73</v>
      </c>
      <c r="N554" s="5">
        <v>12.2</v>
      </c>
      <c r="O554" s="5">
        <v>12.2</v>
      </c>
      <c r="P554" s="5">
        <v>47.73</v>
      </c>
      <c r="Q554" s="5">
        <v>12.2</v>
      </c>
      <c r="R554" s="5">
        <v>12.2</v>
      </c>
    </row>
    <row r="555" spans="1:18" x14ac:dyDescent="0.25">
      <c r="A555">
        <v>2012</v>
      </c>
      <c r="B555">
        <v>1</v>
      </c>
      <c r="C555">
        <v>2</v>
      </c>
      <c r="D555" t="str">
        <f t="shared" si="8"/>
        <v>DC201201-sem2</v>
      </c>
      <c r="E555" s="1">
        <v>40915</v>
      </c>
      <c r="F555" s="1">
        <v>40921</v>
      </c>
      <c r="G555" s="5">
        <v>29.69</v>
      </c>
      <c r="H555" s="5">
        <v>29.69</v>
      </c>
      <c r="I555" s="5">
        <v>28.57</v>
      </c>
      <c r="J555" s="5">
        <v>29.69</v>
      </c>
      <c r="K555" s="5">
        <v>29.69</v>
      </c>
      <c r="L555" s="5">
        <v>28.57</v>
      </c>
      <c r="M555" s="5">
        <v>12.2</v>
      </c>
      <c r="N555" s="5">
        <v>12.2</v>
      </c>
      <c r="O555" s="5">
        <v>12.2</v>
      </c>
      <c r="P555" s="5">
        <v>12.2</v>
      </c>
      <c r="Q555" s="5">
        <v>12.2</v>
      </c>
      <c r="R555" s="5">
        <v>12.2</v>
      </c>
    </row>
    <row r="556" spans="1:18" x14ac:dyDescent="0.25">
      <c r="A556">
        <v>2012</v>
      </c>
      <c r="B556">
        <v>1</v>
      </c>
      <c r="C556">
        <v>3</v>
      </c>
      <c r="D556" t="str">
        <f t="shared" si="8"/>
        <v>DC201201-sem3</v>
      </c>
      <c r="E556" s="1">
        <v>40922</v>
      </c>
      <c r="F556" s="1">
        <v>40928</v>
      </c>
      <c r="G556" s="5">
        <v>12.2</v>
      </c>
      <c r="H556" s="5">
        <v>12.2</v>
      </c>
      <c r="I556" s="5">
        <v>12.2</v>
      </c>
      <c r="J556" s="5">
        <v>12.2</v>
      </c>
      <c r="K556" s="5">
        <v>12.2</v>
      </c>
      <c r="L556" s="5">
        <v>12.2</v>
      </c>
      <c r="M556" s="5">
        <v>12.2</v>
      </c>
      <c r="N556" s="5">
        <v>12.2</v>
      </c>
      <c r="O556" s="5">
        <v>12.2</v>
      </c>
      <c r="P556" s="5">
        <v>12.2</v>
      </c>
      <c r="Q556" s="5">
        <v>12.2</v>
      </c>
      <c r="R556" s="5">
        <v>12.2</v>
      </c>
    </row>
    <row r="557" spans="1:18" x14ac:dyDescent="0.25">
      <c r="A557">
        <v>2012</v>
      </c>
      <c r="B557">
        <v>1</v>
      </c>
      <c r="C557">
        <v>4</v>
      </c>
      <c r="D557" t="str">
        <f t="shared" si="8"/>
        <v>DC201201-sem4</v>
      </c>
      <c r="E557" s="1">
        <v>40929</v>
      </c>
      <c r="F557" s="1">
        <v>40935</v>
      </c>
      <c r="G557" s="5">
        <v>12.2</v>
      </c>
      <c r="H557" s="5">
        <v>12.2</v>
      </c>
      <c r="I557" s="5">
        <v>12.2</v>
      </c>
      <c r="J557" s="5">
        <v>12.2</v>
      </c>
      <c r="K557" s="5">
        <v>12.2</v>
      </c>
      <c r="L557" s="5">
        <v>12.2</v>
      </c>
      <c r="M557" s="5">
        <v>12.2</v>
      </c>
      <c r="N557" s="5">
        <v>12.2</v>
      </c>
      <c r="O557" s="5">
        <v>12.2</v>
      </c>
      <c r="P557" s="5">
        <v>12.2</v>
      </c>
      <c r="Q557" s="5">
        <v>12.2</v>
      </c>
      <c r="R557" s="5">
        <v>12.2</v>
      </c>
    </row>
    <row r="558" spans="1:18" x14ac:dyDescent="0.25">
      <c r="A558">
        <v>2012</v>
      </c>
      <c r="B558">
        <v>2</v>
      </c>
      <c r="C558">
        <v>1</v>
      </c>
      <c r="D558" t="str">
        <f t="shared" si="8"/>
        <v>DC201202-sem1</v>
      </c>
      <c r="E558" s="1">
        <v>40936</v>
      </c>
      <c r="F558" s="1">
        <v>40942</v>
      </c>
      <c r="G558" s="5">
        <v>17.57</v>
      </c>
      <c r="H558" s="5">
        <v>17.57</v>
      </c>
      <c r="I558" s="5">
        <v>12.2</v>
      </c>
      <c r="J558" s="5">
        <v>17.57</v>
      </c>
      <c r="K558" s="5">
        <v>17.57</v>
      </c>
      <c r="L558" s="5">
        <v>12.2</v>
      </c>
      <c r="M558" s="5">
        <v>12.2</v>
      </c>
      <c r="N558" s="5">
        <v>12.2</v>
      </c>
      <c r="O558" s="5">
        <v>12.2</v>
      </c>
      <c r="P558" s="5">
        <v>12.2</v>
      </c>
      <c r="Q558" s="5">
        <v>12.2</v>
      </c>
      <c r="R558" s="5">
        <v>12.2</v>
      </c>
    </row>
    <row r="559" spans="1:18" x14ac:dyDescent="0.25">
      <c r="A559">
        <v>2012</v>
      </c>
      <c r="B559">
        <v>2</v>
      </c>
      <c r="C559">
        <v>2</v>
      </c>
      <c r="D559" t="str">
        <f t="shared" si="8"/>
        <v>DC201202-sem2</v>
      </c>
      <c r="E559" s="1">
        <v>40943</v>
      </c>
      <c r="F559" s="1">
        <v>40949</v>
      </c>
      <c r="G559" s="5">
        <v>37.700000000000003</v>
      </c>
      <c r="H559" s="5">
        <v>37.700000000000003</v>
      </c>
      <c r="I559" s="5">
        <v>35.450000000000003</v>
      </c>
      <c r="J559" s="5">
        <v>37.700000000000003</v>
      </c>
      <c r="K559" s="5">
        <v>37.700000000000003</v>
      </c>
      <c r="L559" s="5">
        <v>35.450000000000003</v>
      </c>
      <c r="M559" s="5">
        <v>12.2</v>
      </c>
      <c r="N559" s="5">
        <v>12.2</v>
      </c>
      <c r="O559" s="5">
        <v>12.2</v>
      </c>
      <c r="P559" s="5">
        <v>12.2</v>
      </c>
      <c r="Q559" s="5">
        <v>12.2</v>
      </c>
      <c r="R559" s="5">
        <v>12.2</v>
      </c>
    </row>
    <row r="560" spans="1:18" x14ac:dyDescent="0.25">
      <c r="A560">
        <v>2012</v>
      </c>
      <c r="B560">
        <v>2</v>
      </c>
      <c r="C560">
        <v>3</v>
      </c>
      <c r="D560" t="str">
        <f t="shared" si="8"/>
        <v>DC201202-sem3</v>
      </c>
      <c r="E560" s="1">
        <v>40950</v>
      </c>
      <c r="F560" s="1">
        <v>40956</v>
      </c>
      <c r="G560" s="5">
        <v>55.85</v>
      </c>
      <c r="H560" s="5">
        <v>55.85</v>
      </c>
      <c r="I560" s="5">
        <v>53.86</v>
      </c>
      <c r="J560" s="5">
        <v>55.85</v>
      </c>
      <c r="K560" s="5">
        <v>55.85</v>
      </c>
      <c r="L560" s="5">
        <v>53.86</v>
      </c>
      <c r="M560" s="5">
        <v>12.2</v>
      </c>
      <c r="N560" s="5">
        <v>12.2</v>
      </c>
      <c r="O560" s="5">
        <v>12.2</v>
      </c>
      <c r="P560" s="5">
        <v>12.2</v>
      </c>
      <c r="Q560" s="5">
        <v>12.2</v>
      </c>
      <c r="R560" s="5">
        <v>12.2</v>
      </c>
    </row>
    <row r="561" spans="1:18" x14ac:dyDescent="0.25">
      <c r="A561">
        <v>2012</v>
      </c>
      <c r="B561">
        <v>2</v>
      </c>
      <c r="C561">
        <v>4</v>
      </c>
      <c r="D561" t="str">
        <f t="shared" si="8"/>
        <v>DC201202-sem4</v>
      </c>
      <c r="E561" s="1">
        <v>40957</v>
      </c>
      <c r="F561" s="1">
        <v>40963</v>
      </c>
      <c r="G561" s="5">
        <v>63.2</v>
      </c>
      <c r="H561" s="5">
        <v>63.2</v>
      </c>
      <c r="I561" s="5">
        <v>62.2</v>
      </c>
      <c r="J561" s="5">
        <v>63.2</v>
      </c>
      <c r="K561" s="5">
        <v>63.2</v>
      </c>
      <c r="L561" s="5">
        <v>62.2</v>
      </c>
      <c r="M561" s="5">
        <v>12.2</v>
      </c>
      <c r="N561" s="5">
        <v>12.2</v>
      </c>
      <c r="O561" s="5">
        <v>12.2</v>
      </c>
      <c r="P561" s="5">
        <v>12.2</v>
      </c>
      <c r="Q561" s="5">
        <v>12.2</v>
      </c>
      <c r="R561" s="5">
        <v>12.2</v>
      </c>
    </row>
    <row r="562" spans="1:18" x14ac:dyDescent="0.25">
      <c r="A562">
        <v>2012</v>
      </c>
      <c r="B562">
        <v>2</v>
      </c>
      <c r="C562">
        <v>5</v>
      </c>
      <c r="D562" t="str">
        <f t="shared" si="8"/>
        <v>DC201202-sem5</v>
      </c>
      <c r="E562" s="1">
        <v>40964</v>
      </c>
      <c r="F562" s="1">
        <v>40970</v>
      </c>
      <c r="G562" s="5">
        <v>69.25</v>
      </c>
      <c r="H562" s="5">
        <v>68.260000000000005</v>
      </c>
      <c r="I562" s="5">
        <v>65.989999999999995</v>
      </c>
      <c r="J562" s="5">
        <v>69.25</v>
      </c>
      <c r="K562" s="5">
        <v>68.260000000000005</v>
      </c>
      <c r="L562" s="5">
        <v>65.989999999999995</v>
      </c>
      <c r="M562" s="5">
        <v>14.35</v>
      </c>
      <c r="N562" s="5">
        <v>14.35</v>
      </c>
      <c r="O562" s="5">
        <v>14.35</v>
      </c>
      <c r="P562" s="5">
        <v>14.35</v>
      </c>
      <c r="Q562" s="5">
        <v>14.35</v>
      </c>
      <c r="R562" s="5">
        <v>14.35</v>
      </c>
    </row>
    <row r="563" spans="1:18" x14ac:dyDescent="0.25">
      <c r="A563">
        <v>2012</v>
      </c>
      <c r="B563">
        <v>3</v>
      </c>
      <c r="C563">
        <v>1</v>
      </c>
      <c r="D563" t="str">
        <f t="shared" si="8"/>
        <v>DC201203-sem1</v>
      </c>
      <c r="E563" s="1">
        <v>40971</v>
      </c>
      <c r="F563" s="1">
        <v>40977</v>
      </c>
      <c r="G563" s="5">
        <v>98.47</v>
      </c>
      <c r="H563" s="5">
        <v>98.46</v>
      </c>
      <c r="I563" s="5">
        <v>94.84</v>
      </c>
      <c r="J563" s="5">
        <v>98.47</v>
      </c>
      <c r="K563" s="5">
        <v>98.46</v>
      </c>
      <c r="L563" s="5">
        <v>94.84</v>
      </c>
      <c r="M563" s="5">
        <v>86.52</v>
      </c>
      <c r="N563" s="5">
        <v>86.52</v>
      </c>
      <c r="O563" s="5">
        <v>86.52</v>
      </c>
      <c r="P563" s="5">
        <v>86.52</v>
      </c>
      <c r="Q563" s="5">
        <v>86.52</v>
      </c>
      <c r="R563" s="5">
        <v>86.52</v>
      </c>
    </row>
    <row r="564" spans="1:18" x14ac:dyDescent="0.25">
      <c r="A564">
        <v>2012</v>
      </c>
      <c r="B564">
        <v>3</v>
      </c>
      <c r="C564">
        <v>2</v>
      </c>
      <c r="D564" t="str">
        <f t="shared" si="8"/>
        <v>DC201203-sem2</v>
      </c>
      <c r="E564" s="1">
        <v>40978</v>
      </c>
      <c r="F564" s="1">
        <v>40984</v>
      </c>
      <c r="G564" s="5">
        <v>139.24</v>
      </c>
      <c r="H564" s="5">
        <v>139.24</v>
      </c>
      <c r="I564" s="5">
        <v>133.72</v>
      </c>
      <c r="J564" s="5">
        <v>139.24</v>
      </c>
      <c r="K564" s="5">
        <v>139.24</v>
      </c>
      <c r="L564" s="5">
        <v>133.72</v>
      </c>
      <c r="M564" s="5">
        <v>117.08</v>
      </c>
      <c r="N564" s="5">
        <v>117.08</v>
      </c>
      <c r="O564" s="5">
        <v>116.31</v>
      </c>
      <c r="P564" s="5">
        <v>117.08</v>
      </c>
      <c r="Q564" s="5">
        <v>117.08</v>
      </c>
      <c r="R564" s="5">
        <v>116.31</v>
      </c>
    </row>
    <row r="565" spans="1:18" x14ac:dyDescent="0.25">
      <c r="A565">
        <v>2012</v>
      </c>
      <c r="B565">
        <v>3</v>
      </c>
      <c r="C565">
        <v>3</v>
      </c>
      <c r="D565" t="str">
        <f t="shared" si="8"/>
        <v>DC201203-sem3</v>
      </c>
      <c r="E565" s="1">
        <v>40985</v>
      </c>
      <c r="F565" s="1">
        <v>40991</v>
      </c>
      <c r="G565" s="5">
        <v>142.26</v>
      </c>
      <c r="H565" s="5">
        <v>141.05000000000001</v>
      </c>
      <c r="I565" s="5">
        <v>139.53</v>
      </c>
      <c r="J565" s="5">
        <v>142.26</v>
      </c>
      <c r="K565" s="5">
        <v>141.05000000000001</v>
      </c>
      <c r="L565" s="5">
        <v>139.53</v>
      </c>
      <c r="M565" s="5">
        <v>119.74</v>
      </c>
      <c r="N565" s="5">
        <v>119.42</v>
      </c>
      <c r="O565" s="5">
        <v>118.63</v>
      </c>
      <c r="P565" s="5">
        <v>119.74</v>
      </c>
      <c r="Q565" s="5">
        <v>119.42</v>
      </c>
      <c r="R565" s="5">
        <v>118.63</v>
      </c>
    </row>
    <row r="566" spans="1:18" x14ac:dyDescent="0.25">
      <c r="A566">
        <v>2012</v>
      </c>
      <c r="B566">
        <v>3</v>
      </c>
      <c r="C566">
        <v>4</v>
      </c>
      <c r="D566" t="str">
        <f t="shared" si="8"/>
        <v>DC201203-sem4</v>
      </c>
      <c r="E566" s="1">
        <v>40992</v>
      </c>
      <c r="F566" s="1">
        <v>40998</v>
      </c>
      <c r="G566" s="5">
        <v>134.91</v>
      </c>
      <c r="H566" s="5">
        <v>133.47999999999999</v>
      </c>
      <c r="I566" s="5">
        <v>130.51</v>
      </c>
      <c r="J566" s="5">
        <v>134.91</v>
      </c>
      <c r="K566" s="5">
        <v>133.47999999999999</v>
      </c>
      <c r="L566" s="5">
        <v>130.51</v>
      </c>
      <c r="M566" s="5">
        <v>134.91</v>
      </c>
      <c r="N566" s="5">
        <v>133.47999999999999</v>
      </c>
      <c r="O566" s="5">
        <v>130.51</v>
      </c>
      <c r="P566" s="5">
        <v>134.91</v>
      </c>
      <c r="Q566" s="5">
        <v>133.47999999999999</v>
      </c>
      <c r="R566" s="5">
        <v>130.51</v>
      </c>
    </row>
    <row r="567" spans="1:18" x14ac:dyDescent="0.25">
      <c r="A567">
        <v>2012</v>
      </c>
      <c r="B567">
        <v>4</v>
      </c>
      <c r="C567">
        <v>1</v>
      </c>
      <c r="D567" t="str">
        <f t="shared" si="8"/>
        <v>DC201204-sem1</v>
      </c>
      <c r="E567" s="1">
        <v>40999</v>
      </c>
      <c r="F567" s="1">
        <v>41005</v>
      </c>
      <c r="G567" s="5">
        <v>187.82</v>
      </c>
      <c r="H567" s="5">
        <v>185.44</v>
      </c>
      <c r="I567" s="5">
        <v>185.44</v>
      </c>
      <c r="J567" s="5">
        <v>187.82</v>
      </c>
      <c r="K567" s="5">
        <v>185.44</v>
      </c>
      <c r="L567" s="5">
        <v>185.44</v>
      </c>
      <c r="M567" s="5">
        <v>174.02</v>
      </c>
      <c r="N567" s="5">
        <v>168.63</v>
      </c>
      <c r="O567" s="5">
        <v>166.95</v>
      </c>
      <c r="P567" s="5">
        <v>174.02</v>
      </c>
      <c r="Q567" s="5">
        <v>168.63</v>
      </c>
      <c r="R567" s="5">
        <v>166.95</v>
      </c>
    </row>
    <row r="568" spans="1:18" x14ac:dyDescent="0.25">
      <c r="A568">
        <v>2012</v>
      </c>
      <c r="B568">
        <v>4</v>
      </c>
      <c r="C568">
        <v>2</v>
      </c>
      <c r="D568" t="str">
        <f t="shared" si="8"/>
        <v>DC201204-sem2</v>
      </c>
      <c r="E568" s="1">
        <v>41006</v>
      </c>
      <c r="F568" s="1">
        <v>41012</v>
      </c>
      <c r="G568" s="5">
        <v>201.95</v>
      </c>
      <c r="H568" s="5">
        <v>194.07</v>
      </c>
      <c r="I568" s="5">
        <v>186.15</v>
      </c>
      <c r="J568" s="5">
        <v>201.95</v>
      </c>
      <c r="K568" s="5">
        <v>201.95</v>
      </c>
      <c r="L568" s="5">
        <v>186.15</v>
      </c>
      <c r="M568" s="5">
        <v>189.58</v>
      </c>
      <c r="N568" s="5">
        <v>187.38</v>
      </c>
      <c r="O568" s="5">
        <v>186.15</v>
      </c>
      <c r="P568" s="5">
        <v>189.58</v>
      </c>
      <c r="Q568" s="5">
        <v>187.38</v>
      </c>
      <c r="R568" s="5">
        <v>186.15</v>
      </c>
    </row>
    <row r="569" spans="1:18" x14ac:dyDescent="0.25">
      <c r="A569">
        <v>2012</v>
      </c>
      <c r="B569">
        <v>4</v>
      </c>
      <c r="C569">
        <v>3</v>
      </c>
      <c r="D569" t="str">
        <f t="shared" si="8"/>
        <v>DC201204-sem3</v>
      </c>
      <c r="E569" s="1">
        <v>41013</v>
      </c>
      <c r="F569" s="1">
        <v>41019</v>
      </c>
      <c r="G569" s="5">
        <v>210.35</v>
      </c>
      <c r="H569" s="5">
        <v>204.01</v>
      </c>
      <c r="I569" s="5">
        <v>196.83</v>
      </c>
      <c r="J569" s="5">
        <v>219</v>
      </c>
      <c r="K569" s="5">
        <v>219</v>
      </c>
      <c r="L569" s="5">
        <v>196.83</v>
      </c>
      <c r="M569" s="5">
        <v>184.26</v>
      </c>
      <c r="N569" s="5">
        <v>181.42</v>
      </c>
      <c r="O569" s="5">
        <v>179.13</v>
      </c>
      <c r="P569" s="5">
        <v>184.26</v>
      </c>
      <c r="Q569" s="5">
        <v>181.42</v>
      </c>
      <c r="R569" s="5">
        <v>179.13</v>
      </c>
    </row>
    <row r="570" spans="1:18" x14ac:dyDescent="0.25">
      <c r="A570">
        <v>2012</v>
      </c>
      <c r="B570">
        <v>4</v>
      </c>
      <c r="C570">
        <v>4</v>
      </c>
      <c r="D570" t="str">
        <f t="shared" si="8"/>
        <v>DC201204-sem4</v>
      </c>
      <c r="E570" s="1">
        <v>41020</v>
      </c>
      <c r="F570" s="1">
        <v>41026</v>
      </c>
      <c r="G570" s="5">
        <v>197.19</v>
      </c>
      <c r="H570" s="5">
        <v>192.76</v>
      </c>
      <c r="I570" s="5">
        <v>189.19</v>
      </c>
      <c r="J570" s="5">
        <v>197.19</v>
      </c>
      <c r="K570" s="5">
        <v>192.76</v>
      </c>
      <c r="L570" s="5">
        <v>189.19</v>
      </c>
      <c r="M570" s="5">
        <v>197.19</v>
      </c>
      <c r="N570" s="5">
        <v>192.76</v>
      </c>
      <c r="O570" s="5">
        <v>189.19</v>
      </c>
      <c r="P570" s="5">
        <v>197.19</v>
      </c>
      <c r="Q570" s="5">
        <v>192.76</v>
      </c>
      <c r="R570" s="5">
        <v>189.19</v>
      </c>
    </row>
    <row r="571" spans="1:18" x14ac:dyDescent="0.25">
      <c r="A571">
        <v>2012</v>
      </c>
      <c r="B571">
        <v>5</v>
      </c>
      <c r="C571">
        <v>1</v>
      </c>
      <c r="D571" t="str">
        <f t="shared" si="8"/>
        <v>DC201205-sem1</v>
      </c>
      <c r="E571" s="1">
        <v>41027</v>
      </c>
      <c r="F571" s="1">
        <v>41033</v>
      </c>
      <c r="G571" s="5">
        <v>190.83</v>
      </c>
      <c r="H571" s="5">
        <v>188.96</v>
      </c>
      <c r="I571" s="5">
        <v>188.82</v>
      </c>
      <c r="J571" s="5">
        <v>190.83</v>
      </c>
      <c r="K571" s="5">
        <v>188.96</v>
      </c>
      <c r="L571" s="5">
        <v>188.82</v>
      </c>
      <c r="M571" s="5">
        <v>187.83</v>
      </c>
      <c r="N571" s="5">
        <v>187.83</v>
      </c>
      <c r="O571" s="5">
        <v>180.2</v>
      </c>
      <c r="P571" s="5">
        <v>187.83</v>
      </c>
      <c r="Q571" s="5">
        <v>187.83</v>
      </c>
      <c r="R571" s="5">
        <v>180.2</v>
      </c>
    </row>
    <row r="572" spans="1:18" x14ac:dyDescent="0.25">
      <c r="A572">
        <v>2012</v>
      </c>
      <c r="B572">
        <v>5</v>
      </c>
      <c r="C572">
        <v>2</v>
      </c>
      <c r="D572" t="str">
        <f t="shared" si="8"/>
        <v>DC201205-sem2</v>
      </c>
      <c r="E572" s="1">
        <v>41034</v>
      </c>
      <c r="F572" s="1">
        <v>41040</v>
      </c>
      <c r="G572" s="5">
        <v>181.05</v>
      </c>
      <c r="H572" s="5">
        <v>180.2</v>
      </c>
      <c r="I572" s="5">
        <v>179.28</v>
      </c>
      <c r="J572" s="5">
        <v>181.05</v>
      </c>
      <c r="K572" s="5">
        <v>180.2</v>
      </c>
      <c r="L572" s="5">
        <v>179.28</v>
      </c>
      <c r="M572" s="5">
        <v>181.05</v>
      </c>
      <c r="N572" s="5">
        <v>180.2</v>
      </c>
      <c r="O572" s="5">
        <v>179.28</v>
      </c>
      <c r="P572" s="5">
        <v>181.05</v>
      </c>
      <c r="Q572" s="5">
        <v>180.2</v>
      </c>
      <c r="R572" s="5">
        <v>179.28</v>
      </c>
    </row>
    <row r="573" spans="1:18" x14ac:dyDescent="0.25">
      <c r="A573">
        <v>2012</v>
      </c>
      <c r="B573">
        <v>5</v>
      </c>
      <c r="C573">
        <v>3</v>
      </c>
      <c r="D573" t="str">
        <f t="shared" si="8"/>
        <v>DC201205-sem3</v>
      </c>
      <c r="E573" s="1">
        <v>41041</v>
      </c>
      <c r="F573" s="1">
        <v>41047</v>
      </c>
      <c r="G573" s="5">
        <v>171.67</v>
      </c>
      <c r="H573" s="5">
        <v>171.66</v>
      </c>
      <c r="I573" s="5">
        <v>168.5</v>
      </c>
      <c r="J573" s="5">
        <v>171.67</v>
      </c>
      <c r="K573" s="5">
        <v>171.66</v>
      </c>
      <c r="L573" s="5">
        <v>168.5</v>
      </c>
      <c r="M573" s="5">
        <v>171.67</v>
      </c>
      <c r="N573" s="5">
        <v>171.66</v>
      </c>
      <c r="O573" s="5">
        <v>168.5</v>
      </c>
      <c r="P573" s="5">
        <v>171.67</v>
      </c>
      <c r="Q573" s="5">
        <v>171.66</v>
      </c>
      <c r="R573" s="5">
        <v>168.5</v>
      </c>
    </row>
    <row r="574" spans="1:18" x14ac:dyDescent="0.25">
      <c r="A574">
        <v>2012</v>
      </c>
      <c r="B574">
        <v>5</v>
      </c>
      <c r="C574">
        <v>4</v>
      </c>
      <c r="D574" t="str">
        <f t="shared" si="8"/>
        <v>DC201205-sem4</v>
      </c>
      <c r="E574" s="1">
        <v>41048</v>
      </c>
      <c r="F574" s="1">
        <v>41054</v>
      </c>
      <c r="G574" s="5">
        <v>191.92</v>
      </c>
      <c r="H574" s="5">
        <v>191.89</v>
      </c>
      <c r="I574" s="5">
        <v>188.99</v>
      </c>
      <c r="J574" s="5">
        <v>191.92</v>
      </c>
      <c r="K574" s="5">
        <v>191.89</v>
      </c>
      <c r="L574" s="5">
        <v>188.99</v>
      </c>
      <c r="M574" s="5">
        <v>191.92</v>
      </c>
      <c r="N574" s="5">
        <v>191.89</v>
      </c>
      <c r="O574" s="5">
        <v>188.99</v>
      </c>
      <c r="P574" s="5">
        <v>191.92</v>
      </c>
      <c r="Q574" s="5">
        <v>191.89</v>
      </c>
      <c r="R574" s="5">
        <v>188.99</v>
      </c>
    </row>
    <row r="575" spans="1:18" x14ac:dyDescent="0.25">
      <c r="A575">
        <v>2012</v>
      </c>
      <c r="B575">
        <v>6</v>
      </c>
      <c r="C575">
        <v>1</v>
      </c>
      <c r="D575" t="str">
        <f t="shared" si="8"/>
        <v>DC201206-sem1</v>
      </c>
      <c r="E575" s="1">
        <v>41055</v>
      </c>
      <c r="F575" s="1">
        <v>41061</v>
      </c>
      <c r="G575" s="5">
        <v>179.19</v>
      </c>
      <c r="H575" s="5">
        <v>177.49</v>
      </c>
      <c r="I575" s="5">
        <v>176.42</v>
      </c>
      <c r="J575" s="5">
        <v>179.19</v>
      </c>
      <c r="K575" s="5">
        <v>177.49</v>
      </c>
      <c r="L575" s="5">
        <v>176.42</v>
      </c>
      <c r="M575" s="5">
        <v>179.19</v>
      </c>
      <c r="N575" s="5">
        <v>177.49</v>
      </c>
      <c r="O575" s="5">
        <v>176.42</v>
      </c>
      <c r="P575" s="5">
        <v>179.19</v>
      </c>
      <c r="Q575" s="5">
        <v>177.49</v>
      </c>
      <c r="R575" s="5">
        <v>176.42</v>
      </c>
    </row>
    <row r="576" spans="1:18" x14ac:dyDescent="0.25">
      <c r="A576">
        <v>2012</v>
      </c>
      <c r="B576">
        <v>6</v>
      </c>
      <c r="C576">
        <v>2</v>
      </c>
      <c r="D576" t="str">
        <f t="shared" si="8"/>
        <v>DC201206-sem2</v>
      </c>
      <c r="E576" s="1">
        <v>41062</v>
      </c>
      <c r="F576" s="1">
        <v>41068</v>
      </c>
      <c r="G576" s="5">
        <v>148.61000000000001</v>
      </c>
      <c r="H576" s="5">
        <v>146.91999999999999</v>
      </c>
      <c r="I576" s="5">
        <v>146.19</v>
      </c>
      <c r="J576" s="5">
        <v>148.61000000000001</v>
      </c>
      <c r="K576" s="5">
        <v>146.91999999999999</v>
      </c>
      <c r="L576" s="5">
        <v>146.19</v>
      </c>
      <c r="M576" s="5">
        <v>148.61000000000001</v>
      </c>
      <c r="N576" s="5">
        <v>146.91999999999999</v>
      </c>
      <c r="O576" s="5">
        <v>146.19</v>
      </c>
      <c r="P576" s="5">
        <v>148.61000000000001</v>
      </c>
      <c r="Q576" s="5">
        <v>146.91999999999999</v>
      </c>
      <c r="R576" s="5">
        <v>146.19</v>
      </c>
    </row>
    <row r="577" spans="1:18" x14ac:dyDescent="0.25">
      <c r="A577">
        <v>2012</v>
      </c>
      <c r="B577">
        <v>6</v>
      </c>
      <c r="C577">
        <v>3</v>
      </c>
      <c r="D577" t="str">
        <f t="shared" si="8"/>
        <v>DC201206-sem3</v>
      </c>
      <c r="E577" s="1">
        <v>41069</v>
      </c>
      <c r="F577" s="1">
        <v>41075</v>
      </c>
      <c r="G577" s="5">
        <v>151.79</v>
      </c>
      <c r="H577" s="5">
        <v>148.19</v>
      </c>
      <c r="I577" s="5">
        <v>146.13999999999999</v>
      </c>
      <c r="J577" s="5">
        <v>151.79</v>
      </c>
      <c r="K577" s="5">
        <v>148.19</v>
      </c>
      <c r="L577" s="5">
        <v>146.13999999999999</v>
      </c>
      <c r="M577" s="5">
        <v>151.79</v>
      </c>
      <c r="N577" s="5">
        <v>148.19</v>
      </c>
      <c r="O577" s="5">
        <v>146.13999999999999</v>
      </c>
      <c r="P577" s="5">
        <v>151.79</v>
      </c>
      <c r="Q577" s="5">
        <v>148.19</v>
      </c>
      <c r="R577" s="5">
        <v>146.13999999999999</v>
      </c>
    </row>
    <row r="578" spans="1:18" x14ac:dyDescent="0.25">
      <c r="A578">
        <v>2012</v>
      </c>
      <c r="B578">
        <v>6</v>
      </c>
      <c r="C578">
        <v>4</v>
      </c>
      <c r="D578" t="str">
        <f t="shared" si="8"/>
        <v>DC201206-sem4</v>
      </c>
      <c r="E578" s="1">
        <v>41076</v>
      </c>
      <c r="F578" s="1">
        <v>41082</v>
      </c>
      <c r="G578" s="5">
        <v>105.79</v>
      </c>
      <c r="H578" s="5">
        <v>103.46</v>
      </c>
      <c r="I578" s="5">
        <v>101.16</v>
      </c>
      <c r="J578" s="5">
        <v>105.79</v>
      </c>
      <c r="K578" s="5">
        <v>103.46</v>
      </c>
      <c r="L578" s="5">
        <v>101.16</v>
      </c>
      <c r="M578" s="5">
        <v>105.79</v>
      </c>
      <c r="N578" s="5">
        <v>103.46</v>
      </c>
      <c r="O578" s="5">
        <v>101.16</v>
      </c>
      <c r="P578" s="5">
        <v>105.79</v>
      </c>
      <c r="Q578" s="5">
        <v>103.46</v>
      </c>
      <c r="R578" s="5">
        <v>101.16</v>
      </c>
    </row>
    <row r="579" spans="1:18" x14ac:dyDescent="0.25">
      <c r="A579">
        <v>2012</v>
      </c>
      <c r="B579">
        <v>6</v>
      </c>
      <c r="C579">
        <v>5</v>
      </c>
      <c r="D579" t="str">
        <f t="shared" ref="D579:D642" si="9">"DC"&amp;A579&amp;REPT("0",2-LEN(B579))&amp;B579&amp;"-sem"&amp;C579</f>
        <v>DC201206-sem5</v>
      </c>
      <c r="E579" s="1">
        <v>41083</v>
      </c>
      <c r="F579" s="1">
        <v>41089</v>
      </c>
      <c r="G579" s="5">
        <v>79.39</v>
      </c>
      <c r="H579" s="5">
        <v>78.25</v>
      </c>
      <c r="I579" s="5">
        <v>74.33</v>
      </c>
      <c r="J579" s="5">
        <v>79.39</v>
      </c>
      <c r="K579" s="5">
        <v>78.25</v>
      </c>
      <c r="L579" s="5">
        <v>74.33</v>
      </c>
      <c r="M579" s="5">
        <v>79.39</v>
      </c>
      <c r="N579" s="5">
        <v>78.25</v>
      </c>
      <c r="O579" s="5">
        <v>76.17</v>
      </c>
      <c r="P579" s="5">
        <v>79.39</v>
      </c>
      <c r="Q579" s="5">
        <v>78.25</v>
      </c>
      <c r="R579" s="5">
        <v>74.33</v>
      </c>
    </row>
    <row r="580" spans="1:18" x14ac:dyDescent="0.25">
      <c r="A580">
        <v>2012</v>
      </c>
      <c r="B580">
        <v>7</v>
      </c>
      <c r="C580">
        <v>1</v>
      </c>
      <c r="D580" t="str">
        <f t="shared" si="9"/>
        <v>DC201207-sem1</v>
      </c>
      <c r="E580" s="1">
        <v>41090</v>
      </c>
      <c r="F580" s="1">
        <v>41096</v>
      </c>
      <c r="G580" s="5">
        <v>58.5</v>
      </c>
      <c r="H580" s="5">
        <v>56.86</v>
      </c>
      <c r="I580" s="5">
        <v>54.83</v>
      </c>
      <c r="J580" s="5">
        <v>58.5</v>
      </c>
      <c r="K580" s="5">
        <v>56.85</v>
      </c>
      <c r="L580" s="5">
        <v>54.83</v>
      </c>
      <c r="M580" s="5">
        <v>58.5</v>
      </c>
      <c r="N580" s="5">
        <v>56.86</v>
      </c>
      <c r="O580" s="5">
        <v>54.83</v>
      </c>
      <c r="P580" s="5">
        <v>58.5</v>
      </c>
      <c r="Q580" s="5">
        <v>56.86</v>
      </c>
      <c r="R580" s="5">
        <v>54.83</v>
      </c>
    </row>
    <row r="581" spans="1:18" x14ac:dyDescent="0.25">
      <c r="A581">
        <v>2012</v>
      </c>
      <c r="B581">
        <v>7</v>
      </c>
      <c r="C581">
        <v>2</v>
      </c>
      <c r="D581" t="str">
        <f t="shared" si="9"/>
        <v>DC201207-sem2</v>
      </c>
      <c r="E581" s="1">
        <v>41097</v>
      </c>
      <c r="F581" s="1">
        <v>41103</v>
      </c>
      <c r="G581" s="5">
        <v>97.67</v>
      </c>
      <c r="H581" s="5">
        <v>95.32</v>
      </c>
      <c r="I581" s="5">
        <v>94.11</v>
      </c>
      <c r="J581" s="5">
        <v>97.67</v>
      </c>
      <c r="K581" s="5">
        <v>95.32</v>
      </c>
      <c r="L581" s="5">
        <v>94.11</v>
      </c>
      <c r="M581" s="5">
        <v>97.67</v>
      </c>
      <c r="N581" s="5">
        <v>95.32</v>
      </c>
      <c r="O581" s="5">
        <v>94.11</v>
      </c>
      <c r="P581" s="5">
        <v>97.67</v>
      </c>
      <c r="Q581" s="5">
        <v>95.32</v>
      </c>
      <c r="R581" s="5">
        <v>94.11</v>
      </c>
    </row>
    <row r="582" spans="1:18" x14ac:dyDescent="0.25">
      <c r="A582">
        <v>2012</v>
      </c>
      <c r="B582">
        <v>7</v>
      </c>
      <c r="C582">
        <v>3</v>
      </c>
      <c r="D582" t="str">
        <f t="shared" si="9"/>
        <v>DC201207-sem3</v>
      </c>
      <c r="E582" s="1">
        <v>41104</v>
      </c>
      <c r="F582" s="1">
        <v>41110</v>
      </c>
      <c r="G582" s="5">
        <v>108.4</v>
      </c>
      <c r="H582" s="5">
        <v>106.31</v>
      </c>
      <c r="I582" s="5">
        <v>106.01</v>
      </c>
      <c r="J582" s="5">
        <v>108.4</v>
      </c>
      <c r="K582" s="5">
        <v>106.31</v>
      </c>
      <c r="L582" s="5">
        <v>106.01</v>
      </c>
      <c r="M582" s="5">
        <v>108.4</v>
      </c>
      <c r="N582" s="5">
        <v>106.31</v>
      </c>
      <c r="O582" s="5">
        <v>106.01</v>
      </c>
      <c r="P582" s="5">
        <v>108.4</v>
      </c>
      <c r="Q582" s="5">
        <v>106.31</v>
      </c>
      <c r="R582" s="5">
        <v>106.01</v>
      </c>
    </row>
    <row r="583" spans="1:18" x14ac:dyDescent="0.25">
      <c r="A583">
        <v>2012</v>
      </c>
      <c r="B583">
        <v>7</v>
      </c>
      <c r="C583">
        <v>4</v>
      </c>
      <c r="D583" t="str">
        <f t="shared" si="9"/>
        <v>DC201207-sem4</v>
      </c>
      <c r="E583" s="1">
        <v>41111</v>
      </c>
      <c r="F583" s="1">
        <v>41117</v>
      </c>
      <c r="G583" s="5">
        <v>105.55</v>
      </c>
      <c r="H583" s="5">
        <v>103.85</v>
      </c>
      <c r="I583" s="5">
        <v>103.37</v>
      </c>
      <c r="J583" s="5">
        <v>105.55</v>
      </c>
      <c r="K583" s="5">
        <v>103.85</v>
      </c>
      <c r="L583" s="5">
        <v>103.37</v>
      </c>
      <c r="M583" s="5">
        <v>105.55</v>
      </c>
      <c r="N583" s="5">
        <v>103.85</v>
      </c>
      <c r="O583" s="5">
        <v>103.37</v>
      </c>
      <c r="P583" s="5">
        <v>105.55</v>
      </c>
      <c r="Q583" s="5">
        <v>103.85</v>
      </c>
      <c r="R583" s="5">
        <v>103.37</v>
      </c>
    </row>
    <row r="584" spans="1:18" x14ac:dyDescent="0.25">
      <c r="A584">
        <v>2012</v>
      </c>
      <c r="B584">
        <v>8</v>
      </c>
      <c r="C584">
        <v>1</v>
      </c>
      <c r="D584" t="str">
        <f t="shared" si="9"/>
        <v>DC201208-sem1</v>
      </c>
      <c r="E584" s="1">
        <v>41118</v>
      </c>
      <c r="F584" s="1">
        <v>41124</v>
      </c>
      <c r="G584" s="5">
        <v>90.43</v>
      </c>
      <c r="H584" s="5">
        <v>88.78</v>
      </c>
      <c r="I584" s="5">
        <v>87.12</v>
      </c>
      <c r="J584" s="5">
        <v>90.43</v>
      </c>
      <c r="K584" s="5">
        <v>88.78</v>
      </c>
      <c r="L584" s="5">
        <v>87.12</v>
      </c>
      <c r="M584" s="5">
        <v>90.43</v>
      </c>
      <c r="N584" s="5">
        <v>88.78</v>
      </c>
      <c r="O584" s="5">
        <v>87.12</v>
      </c>
      <c r="P584" s="5">
        <v>90.43</v>
      </c>
      <c r="Q584" s="5">
        <v>88.78</v>
      </c>
      <c r="R584" s="5">
        <v>87.12</v>
      </c>
    </row>
    <row r="585" spans="1:18" x14ac:dyDescent="0.25">
      <c r="A585">
        <v>2012</v>
      </c>
      <c r="B585">
        <v>8</v>
      </c>
      <c r="C585">
        <v>2</v>
      </c>
      <c r="D585" t="str">
        <f t="shared" si="9"/>
        <v>DC201208-sem2</v>
      </c>
      <c r="E585" s="1">
        <v>41125</v>
      </c>
      <c r="F585" s="1">
        <v>41131</v>
      </c>
      <c r="G585" s="5">
        <v>109.88</v>
      </c>
      <c r="H585" s="5">
        <v>106.77</v>
      </c>
      <c r="I585" s="5">
        <v>105.35</v>
      </c>
      <c r="J585" s="5">
        <v>109.88</v>
      </c>
      <c r="K585" s="5">
        <v>106.77</v>
      </c>
      <c r="L585" s="5">
        <v>105.35</v>
      </c>
      <c r="M585" s="5">
        <v>109.88</v>
      </c>
      <c r="N585" s="5">
        <v>106.77</v>
      </c>
      <c r="O585" s="5">
        <v>105.35</v>
      </c>
      <c r="P585" s="5">
        <v>109.88</v>
      </c>
      <c r="Q585" s="5">
        <v>106.77</v>
      </c>
      <c r="R585" s="5">
        <v>105.35</v>
      </c>
    </row>
    <row r="586" spans="1:18" x14ac:dyDescent="0.25">
      <c r="A586">
        <v>2012</v>
      </c>
      <c r="B586">
        <v>8</v>
      </c>
      <c r="C586">
        <v>3</v>
      </c>
      <c r="D586" t="str">
        <f t="shared" si="9"/>
        <v>DC201208-sem3</v>
      </c>
      <c r="E586" s="1">
        <v>41132</v>
      </c>
      <c r="F586" s="1">
        <v>41138</v>
      </c>
      <c r="G586" s="5">
        <v>118.43</v>
      </c>
      <c r="H586" s="5">
        <v>116.3</v>
      </c>
      <c r="I586" s="5">
        <v>115.67</v>
      </c>
      <c r="J586" s="5">
        <v>118.43</v>
      </c>
      <c r="K586" s="5">
        <v>116.3</v>
      </c>
      <c r="L586" s="5">
        <v>115.67</v>
      </c>
      <c r="M586" s="5">
        <v>118.43</v>
      </c>
      <c r="N586" s="5">
        <v>116.3</v>
      </c>
      <c r="O586" s="5">
        <v>115.67</v>
      </c>
      <c r="P586" s="5">
        <v>118.43</v>
      </c>
      <c r="Q586" s="5">
        <v>116.3</v>
      </c>
      <c r="R586" s="5">
        <v>115.67</v>
      </c>
    </row>
    <row r="587" spans="1:18" x14ac:dyDescent="0.25">
      <c r="A587">
        <v>2012</v>
      </c>
      <c r="B587">
        <v>8</v>
      </c>
      <c r="C587">
        <v>4</v>
      </c>
      <c r="D587" t="str">
        <f t="shared" si="9"/>
        <v>DC201208-sem4</v>
      </c>
      <c r="E587" s="1">
        <v>41139</v>
      </c>
      <c r="F587" s="1">
        <v>41145</v>
      </c>
      <c r="G587" s="5">
        <v>131.1</v>
      </c>
      <c r="H587" s="5">
        <v>128.80000000000001</v>
      </c>
      <c r="I587" s="5">
        <v>128.01</v>
      </c>
      <c r="J587" s="5">
        <v>130</v>
      </c>
      <c r="K587" s="5">
        <v>128.80000000000001</v>
      </c>
      <c r="L587" s="5">
        <v>128.01</v>
      </c>
      <c r="M587" s="5">
        <v>131.1</v>
      </c>
      <c r="N587" s="5">
        <v>128.80000000000001</v>
      </c>
      <c r="O587" s="5">
        <v>128.01</v>
      </c>
      <c r="P587" s="5">
        <v>131.1</v>
      </c>
      <c r="Q587" s="5">
        <v>128.80000000000001</v>
      </c>
      <c r="R587" s="5">
        <v>128.01</v>
      </c>
    </row>
    <row r="588" spans="1:18" x14ac:dyDescent="0.25">
      <c r="A588">
        <v>2012</v>
      </c>
      <c r="B588">
        <v>8</v>
      </c>
      <c r="C588">
        <v>5</v>
      </c>
      <c r="D588" t="str">
        <f t="shared" si="9"/>
        <v>DC201208-sem5</v>
      </c>
      <c r="E588" s="1">
        <v>41146</v>
      </c>
      <c r="F588" s="1">
        <v>41152</v>
      </c>
      <c r="G588" s="5">
        <v>140.37</v>
      </c>
      <c r="H588" s="5">
        <v>137.74</v>
      </c>
      <c r="I588" s="5">
        <v>137.01</v>
      </c>
      <c r="J588" s="5">
        <v>140.37</v>
      </c>
      <c r="K588" s="5">
        <v>137.74</v>
      </c>
      <c r="L588" s="5">
        <v>137.01</v>
      </c>
      <c r="M588" s="5">
        <v>140.37</v>
      </c>
      <c r="N588" s="5">
        <v>137.74</v>
      </c>
      <c r="O588" s="5">
        <v>137.01</v>
      </c>
      <c r="P588" s="5">
        <v>140.37</v>
      </c>
      <c r="Q588" s="5">
        <v>137.74</v>
      </c>
      <c r="R588" s="5">
        <v>137.01</v>
      </c>
    </row>
    <row r="589" spans="1:18" x14ac:dyDescent="0.25">
      <c r="A589">
        <v>2012</v>
      </c>
      <c r="B589">
        <v>9</v>
      </c>
      <c r="C589">
        <v>1</v>
      </c>
      <c r="D589" t="str">
        <f t="shared" si="9"/>
        <v>DC201209-sem1</v>
      </c>
      <c r="E589" s="1">
        <v>41153</v>
      </c>
      <c r="F589" s="1">
        <v>41159</v>
      </c>
      <c r="G589" s="5">
        <v>177.64</v>
      </c>
      <c r="H589" s="5">
        <v>173.66</v>
      </c>
      <c r="I589" s="5">
        <v>173.5</v>
      </c>
      <c r="J589" s="5">
        <v>177.64</v>
      </c>
      <c r="K589" s="5">
        <v>173.66</v>
      </c>
      <c r="L589" s="5">
        <v>173.5</v>
      </c>
      <c r="M589" s="5">
        <v>177.64</v>
      </c>
      <c r="N589" s="5">
        <v>173.66</v>
      </c>
      <c r="O589" s="5">
        <v>173.5</v>
      </c>
      <c r="P589" s="5">
        <v>177.64</v>
      </c>
      <c r="Q589" s="5">
        <v>173.66</v>
      </c>
      <c r="R589" s="5">
        <v>173.5</v>
      </c>
    </row>
    <row r="590" spans="1:18" x14ac:dyDescent="0.25">
      <c r="A590">
        <v>2012</v>
      </c>
      <c r="B590">
        <v>9</v>
      </c>
      <c r="C590">
        <v>2</v>
      </c>
      <c r="D590" t="str">
        <f t="shared" si="9"/>
        <v>DC201209-sem2</v>
      </c>
      <c r="E590" s="1">
        <v>41160</v>
      </c>
      <c r="F590" s="1">
        <v>41166</v>
      </c>
      <c r="G590" s="5">
        <v>185.38</v>
      </c>
      <c r="H590" s="5">
        <v>181.24</v>
      </c>
      <c r="I590" s="5">
        <v>180.47</v>
      </c>
      <c r="J590" s="5">
        <v>185.38</v>
      </c>
      <c r="K590" s="5">
        <v>181.24</v>
      </c>
      <c r="L590" s="5">
        <v>180.47</v>
      </c>
      <c r="M590" s="5">
        <v>185.38</v>
      </c>
      <c r="N590" s="5">
        <v>181.24</v>
      </c>
      <c r="O590" s="5">
        <v>180.47</v>
      </c>
      <c r="P590" s="5">
        <v>185.38</v>
      </c>
      <c r="Q590" s="5">
        <v>181.24</v>
      </c>
      <c r="R590" s="5">
        <v>180.47</v>
      </c>
    </row>
    <row r="591" spans="1:18" x14ac:dyDescent="0.25">
      <c r="A591">
        <v>2012</v>
      </c>
      <c r="B591">
        <v>9</v>
      </c>
      <c r="C591">
        <v>3</v>
      </c>
      <c r="D591" t="str">
        <f t="shared" si="9"/>
        <v>DC201209-sem3</v>
      </c>
      <c r="E591" s="1">
        <v>41167</v>
      </c>
      <c r="F591" s="1">
        <v>41173</v>
      </c>
      <c r="G591" s="5">
        <v>191.61</v>
      </c>
      <c r="H591" s="5">
        <v>191</v>
      </c>
      <c r="I591" s="5">
        <v>188.6</v>
      </c>
      <c r="J591" s="5">
        <v>191.61</v>
      </c>
      <c r="K591" s="5">
        <v>191</v>
      </c>
      <c r="L591" s="5">
        <v>188.6</v>
      </c>
      <c r="M591" s="5">
        <v>191.61</v>
      </c>
      <c r="N591" s="5">
        <v>191</v>
      </c>
      <c r="O591" s="5">
        <v>188.6</v>
      </c>
      <c r="P591" s="5">
        <v>191.61</v>
      </c>
      <c r="Q591" s="5">
        <v>191</v>
      </c>
      <c r="R591" s="5">
        <v>188.6</v>
      </c>
    </row>
    <row r="592" spans="1:18" x14ac:dyDescent="0.25">
      <c r="A592">
        <v>2012</v>
      </c>
      <c r="B592">
        <v>9</v>
      </c>
      <c r="C592">
        <v>4</v>
      </c>
      <c r="D592" t="str">
        <f t="shared" si="9"/>
        <v>DC201209-sem4</v>
      </c>
      <c r="E592" s="1">
        <v>41174</v>
      </c>
      <c r="F592" s="1">
        <v>41180</v>
      </c>
      <c r="G592" s="5">
        <v>189.56</v>
      </c>
      <c r="H592" s="5">
        <v>188.15</v>
      </c>
      <c r="I592" s="5">
        <v>185.8</v>
      </c>
      <c r="J592" s="5">
        <v>189.56</v>
      </c>
      <c r="K592" s="5">
        <v>188.15</v>
      </c>
      <c r="L592" s="5">
        <v>185.8</v>
      </c>
      <c r="M592" s="5">
        <v>189.56</v>
      </c>
      <c r="N592" s="5">
        <v>188.15</v>
      </c>
      <c r="O592" s="5">
        <v>185.8</v>
      </c>
      <c r="P592" s="5">
        <v>189.56</v>
      </c>
      <c r="Q592" s="5">
        <v>188.15</v>
      </c>
      <c r="R592" s="5">
        <v>185.8</v>
      </c>
    </row>
    <row r="593" spans="1:18" x14ac:dyDescent="0.25">
      <c r="A593">
        <v>2012</v>
      </c>
      <c r="B593">
        <v>10</v>
      </c>
      <c r="C593">
        <v>1</v>
      </c>
      <c r="D593" t="str">
        <f t="shared" si="9"/>
        <v>DC201210-sem1</v>
      </c>
      <c r="E593" s="1">
        <v>41181</v>
      </c>
      <c r="F593" s="1">
        <v>41187</v>
      </c>
      <c r="G593" s="5">
        <v>185.24</v>
      </c>
      <c r="H593" s="5">
        <v>184.02</v>
      </c>
      <c r="I593" s="5">
        <v>173.98</v>
      </c>
      <c r="J593" s="5">
        <v>185.24</v>
      </c>
      <c r="K593" s="5">
        <v>184.02</v>
      </c>
      <c r="L593" s="5">
        <v>173.98</v>
      </c>
      <c r="M593" s="5">
        <v>185.24</v>
      </c>
      <c r="N593" s="5">
        <v>184.02</v>
      </c>
      <c r="O593" s="5">
        <v>184.02</v>
      </c>
      <c r="P593" s="5">
        <v>185.24</v>
      </c>
      <c r="Q593" s="5">
        <v>184.02</v>
      </c>
      <c r="R593" s="5">
        <v>184.02</v>
      </c>
    </row>
    <row r="594" spans="1:18" x14ac:dyDescent="0.25">
      <c r="A594">
        <v>2012</v>
      </c>
      <c r="B594">
        <v>10</v>
      </c>
      <c r="C594">
        <v>2</v>
      </c>
      <c r="D594" t="str">
        <f t="shared" si="9"/>
        <v>DC201210-sem2</v>
      </c>
      <c r="E594" s="1">
        <v>41188</v>
      </c>
      <c r="F594" s="1">
        <v>41194</v>
      </c>
      <c r="G594" s="5">
        <v>249.78</v>
      </c>
      <c r="H594" s="5">
        <v>244.58</v>
      </c>
      <c r="I594" s="5">
        <v>240.08</v>
      </c>
      <c r="J594" s="5">
        <v>249.78</v>
      </c>
      <c r="K594" s="5">
        <v>244.58</v>
      </c>
      <c r="L594" s="5">
        <v>240.08</v>
      </c>
      <c r="M594" s="5">
        <v>256.3</v>
      </c>
      <c r="N594" s="5">
        <v>256.3</v>
      </c>
      <c r="O594" s="5">
        <v>256.3</v>
      </c>
      <c r="P594" s="5">
        <v>256.3</v>
      </c>
      <c r="Q594" s="5">
        <v>256.3</v>
      </c>
      <c r="R594" s="5">
        <v>256.3</v>
      </c>
    </row>
    <row r="595" spans="1:18" x14ac:dyDescent="0.25">
      <c r="A595">
        <v>2012</v>
      </c>
      <c r="B595">
        <v>10</v>
      </c>
      <c r="C595">
        <v>3</v>
      </c>
      <c r="D595" t="str">
        <f t="shared" si="9"/>
        <v>DC201210-sem3</v>
      </c>
      <c r="E595" s="1">
        <v>41195</v>
      </c>
      <c r="F595" s="1">
        <v>41201</v>
      </c>
      <c r="G595" s="5">
        <v>325.06</v>
      </c>
      <c r="H595" s="5">
        <v>323.85000000000002</v>
      </c>
      <c r="I595" s="5">
        <v>319.75</v>
      </c>
      <c r="J595" s="5">
        <v>325.06</v>
      </c>
      <c r="K595" s="5">
        <v>323.85000000000002</v>
      </c>
      <c r="L595" s="5">
        <v>319.75</v>
      </c>
      <c r="M595" s="5">
        <v>329.04</v>
      </c>
      <c r="N595" s="5">
        <v>329.04</v>
      </c>
      <c r="O595" s="5">
        <v>329.04</v>
      </c>
      <c r="P595" s="5">
        <v>329.04</v>
      </c>
      <c r="Q595" s="5">
        <v>329.04</v>
      </c>
      <c r="R595" s="5">
        <v>329.04</v>
      </c>
    </row>
    <row r="596" spans="1:18" x14ac:dyDescent="0.25">
      <c r="A596">
        <v>2012</v>
      </c>
      <c r="B596">
        <v>10</v>
      </c>
      <c r="C596">
        <v>4</v>
      </c>
      <c r="D596" t="str">
        <f t="shared" si="9"/>
        <v>DC201210-sem4</v>
      </c>
      <c r="E596" s="1">
        <v>41202</v>
      </c>
      <c r="F596" s="1">
        <v>41208</v>
      </c>
      <c r="G596" s="5">
        <v>291.39999999999998</v>
      </c>
      <c r="H596" s="5">
        <v>289.92</v>
      </c>
      <c r="I596" s="5">
        <v>284.61</v>
      </c>
      <c r="J596" s="5">
        <v>291.39999999999998</v>
      </c>
      <c r="K596" s="5">
        <v>289.92</v>
      </c>
      <c r="L596" s="5">
        <v>284.61</v>
      </c>
      <c r="M596" s="5">
        <v>330.39</v>
      </c>
      <c r="N596" s="5">
        <v>330.39</v>
      </c>
      <c r="O596" s="5">
        <v>330.39</v>
      </c>
      <c r="P596" s="5">
        <v>330.39</v>
      </c>
      <c r="Q596" s="5">
        <v>330.39</v>
      </c>
      <c r="R596" s="5">
        <v>330.39</v>
      </c>
    </row>
    <row r="597" spans="1:18" x14ac:dyDescent="0.25">
      <c r="A597">
        <v>2012</v>
      </c>
      <c r="B597">
        <v>11</v>
      </c>
      <c r="C597">
        <v>1</v>
      </c>
      <c r="D597" t="str">
        <f t="shared" si="9"/>
        <v>DC201211-sem1</v>
      </c>
      <c r="E597" s="1">
        <v>41209</v>
      </c>
      <c r="F597" s="1">
        <v>41215</v>
      </c>
      <c r="G597" s="5">
        <v>364.61</v>
      </c>
      <c r="H597" s="5">
        <v>362.76</v>
      </c>
      <c r="I597" s="5">
        <v>360.38</v>
      </c>
      <c r="J597" s="5">
        <v>364.61</v>
      </c>
      <c r="K597" s="5">
        <v>362.76</v>
      </c>
      <c r="L597" s="5">
        <v>360.38</v>
      </c>
      <c r="M597" s="5">
        <v>364.61</v>
      </c>
      <c r="N597" s="5">
        <v>362.76</v>
      </c>
      <c r="O597" s="5">
        <v>360.38</v>
      </c>
      <c r="P597" s="5">
        <v>364.61</v>
      </c>
      <c r="Q597" s="5">
        <v>362.76</v>
      </c>
      <c r="R597" s="5">
        <v>360.38</v>
      </c>
    </row>
    <row r="598" spans="1:18" x14ac:dyDescent="0.25">
      <c r="A598">
        <v>2012</v>
      </c>
      <c r="B598">
        <v>11</v>
      </c>
      <c r="C598">
        <v>2</v>
      </c>
      <c r="D598" t="str">
        <f t="shared" si="9"/>
        <v>DC201211-sem2</v>
      </c>
      <c r="E598" s="1">
        <v>41216</v>
      </c>
      <c r="F598" s="1">
        <v>41222</v>
      </c>
      <c r="G598" s="5">
        <v>429.85</v>
      </c>
      <c r="H598" s="5">
        <v>429.85</v>
      </c>
      <c r="I598" s="5">
        <v>427.54</v>
      </c>
      <c r="J598" s="5">
        <v>429.85</v>
      </c>
      <c r="K598" s="5">
        <v>429.85</v>
      </c>
      <c r="L598" s="5">
        <v>427.54</v>
      </c>
      <c r="M598" s="5">
        <v>429.85</v>
      </c>
      <c r="N598" s="5">
        <v>429.85</v>
      </c>
      <c r="O598" s="5">
        <v>427.54</v>
      </c>
      <c r="P598" s="5">
        <v>429.85</v>
      </c>
      <c r="Q598" s="5">
        <v>429.85</v>
      </c>
      <c r="R598" s="5">
        <v>427.54</v>
      </c>
    </row>
    <row r="599" spans="1:18" x14ac:dyDescent="0.25">
      <c r="A599">
        <v>2012</v>
      </c>
      <c r="B599">
        <v>11</v>
      </c>
      <c r="C599">
        <v>3</v>
      </c>
      <c r="D599" t="str">
        <f t="shared" si="9"/>
        <v>DC201211-sem3</v>
      </c>
      <c r="E599" s="1">
        <v>41223</v>
      </c>
      <c r="F599" s="1">
        <v>41229</v>
      </c>
      <c r="G599" s="5">
        <v>453.51</v>
      </c>
      <c r="H599" s="5">
        <v>453.51</v>
      </c>
      <c r="I599" s="5">
        <v>449.61</v>
      </c>
      <c r="J599" s="5">
        <v>453.51</v>
      </c>
      <c r="K599" s="5">
        <v>453.51</v>
      </c>
      <c r="L599" s="5">
        <v>449.61</v>
      </c>
      <c r="M599" s="5">
        <v>453.51</v>
      </c>
      <c r="N599" s="5">
        <v>453.51</v>
      </c>
      <c r="O599" s="5">
        <v>449.61</v>
      </c>
      <c r="P599" s="5">
        <v>453.51</v>
      </c>
      <c r="Q599" s="5">
        <v>453.51</v>
      </c>
      <c r="R599" s="5">
        <v>449.61</v>
      </c>
    </row>
    <row r="600" spans="1:18" x14ac:dyDescent="0.25">
      <c r="A600">
        <v>2012</v>
      </c>
      <c r="B600">
        <v>11</v>
      </c>
      <c r="C600">
        <v>4</v>
      </c>
      <c r="D600" t="str">
        <f t="shared" si="9"/>
        <v>DC201211-sem4</v>
      </c>
      <c r="E600" s="1">
        <v>41230</v>
      </c>
      <c r="F600" s="1">
        <v>41236</v>
      </c>
      <c r="G600" s="5">
        <v>315.56</v>
      </c>
      <c r="H600" s="5">
        <v>315.56</v>
      </c>
      <c r="I600" s="5">
        <v>314.35000000000002</v>
      </c>
      <c r="J600" s="5">
        <v>315.56</v>
      </c>
      <c r="K600" s="5">
        <v>315.56</v>
      </c>
      <c r="L600" s="5">
        <v>314.35000000000002</v>
      </c>
      <c r="M600" s="5">
        <v>315.56</v>
      </c>
      <c r="N600" s="5">
        <v>315.56</v>
      </c>
      <c r="O600" s="5">
        <v>314.35000000000002</v>
      </c>
      <c r="P600" s="5">
        <v>315.56</v>
      </c>
      <c r="Q600" s="5">
        <v>315.56</v>
      </c>
      <c r="R600" s="5">
        <v>314.35000000000002</v>
      </c>
    </row>
    <row r="601" spans="1:18" x14ac:dyDescent="0.25">
      <c r="A601">
        <v>2012</v>
      </c>
      <c r="B601">
        <v>11</v>
      </c>
      <c r="C601">
        <v>5</v>
      </c>
      <c r="D601" t="str">
        <f t="shared" si="9"/>
        <v>DC201211-sem5</v>
      </c>
      <c r="E601" s="1">
        <v>41237</v>
      </c>
      <c r="F601" s="1">
        <v>41243</v>
      </c>
      <c r="G601" s="5">
        <v>311.76</v>
      </c>
      <c r="H601" s="5">
        <v>311.76</v>
      </c>
      <c r="I601" s="5">
        <v>307.41000000000003</v>
      </c>
      <c r="J601" s="5">
        <v>311.76</v>
      </c>
      <c r="K601" s="5">
        <v>311.76</v>
      </c>
      <c r="L601" s="5">
        <v>307.41000000000003</v>
      </c>
      <c r="M601" s="5">
        <v>311.76</v>
      </c>
      <c r="N601" s="5">
        <v>311.76</v>
      </c>
      <c r="O601" s="5">
        <v>307.41000000000003</v>
      </c>
      <c r="P601" s="5">
        <v>311.76</v>
      </c>
      <c r="Q601" s="5">
        <v>311.76</v>
      </c>
      <c r="R601" s="5">
        <v>307.41000000000003</v>
      </c>
    </row>
    <row r="602" spans="1:18" x14ac:dyDescent="0.25">
      <c r="A602">
        <v>2012</v>
      </c>
      <c r="B602">
        <v>12</v>
      </c>
      <c r="C602">
        <v>1</v>
      </c>
      <c r="D602" t="str">
        <f t="shared" si="9"/>
        <v>DC201212-sem1</v>
      </c>
      <c r="E602" s="1">
        <v>41244</v>
      </c>
      <c r="F602" s="1">
        <v>41250</v>
      </c>
      <c r="G602" s="5">
        <v>205.96</v>
      </c>
      <c r="H602" s="5">
        <v>205.96</v>
      </c>
      <c r="I602" s="5">
        <v>198.54</v>
      </c>
      <c r="J602" s="5">
        <v>205.96</v>
      </c>
      <c r="K602" s="5">
        <v>205.96</v>
      </c>
      <c r="L602" s="5">
        <v>198.54</v>
      </c>
      <c r="M602" s="5">
        <v>205.96</v>
      </c>
      <c r="N602" s="5">
        <v>205.96</v>
      </c>
      <c r="O602" s="5">
        <v>198.54</v>
      </c>
      <c r="P602" s="5">
        <v>205.96</v>
      </c>
      <c r="Q602" s="5">
        <v>205.96</v>
      </c>
      <c r="R602" s="5">
        <v>198.54</v>
      </c>
    </row>
    <row r="603" spans="1:18" x14ac:dyDescent="0.25">
      <c r="A603">
        <v>2012</v>
      </c>
      <c r="B603">
        <v>12</v>
      </c>
      <c r="C603">
        <v>2</v>
      </c>
      <c r="D603" t="str">
        <f t="shared" si="9"/>
        <v>DC201212-sem2</v>
      </c>
      <c r="E603" s="1">
        <v>41251</v>
      </c>
      <c r="F603" s="1">
        <v>41257</v>
      </c>
      <c r="G603" s="5">
        <v>275.47000000000003</v>
      </c>
      <c r="H603" s="5">
        <v>275.47000000000003</v>
      </c>
      <c r="I603" s="5">
        <v>264.94</v>
      </c>
      <c r="J603" s="5">
        <v>275.47000000000003</v>
      </c>
      <c r="K603" s="5">
        <v>275.47000000000003</v>
      </c>
      <c r="L603" s="5">
        <v>264.94</v>
      </c>
      <c r="M603" s="5">
        <v>275.47000000000003</v>
      </c>
      <c r="N603" s="5">
        <v>275.47000000000003</v>
      </c>
      <c r="O603" s="5">
        <v>264.94</v>
      </c>
      <c r="P603" s="5">
        <v>275.47000000000003</v>
      </c>
      <c r="Q603" s="5">
        <v>275.47000000000003</v>
      </c>
      <c r="R603" s="5">
        <v>264.94</v>
      </c>
    </row>
    <row r="604" spans="1:18" x14ac:dyDescent="0.25">
      <c r="A604">
        <v>2012</v>
      </c>
      <c r="B604">
        <v>12</v>
      </c>
      <c r="C604">
        <v>3</v>
      </c>
      <c r="D604" t="str">
        <f t="shared" si="9"/>
        <v>DC201212-sem3</v>
      </c>
      <c r="E604" s="1">
        <v>41258</v>
      </c>
      <c r="F604" s="1">
        <v>41264</v>
      </c>
      <c r="G604" s="5">
        <v>188.67</v>
      </c>
      <c r="H604" s="5">
        <v>187.63</v>
      </c>
      <c r="I604" s="5">
        <v>179.69</v>
      </c>
      <c r="J604" s="5">
        <v>188.67</v>
      </c>
      <c r="K604" s="5">
        <v>187.63</v>
      </c>
      <c r="L604" s="5">
        <v>179.69</v>
      </c>
      <c r="M604" s="5">
        <v>188.67</v>
      </c>
      <c r="N604" s="5">
        <v>187.31</v>
      </c>
      <c r="O604" s="5">
        <v>179.69</v>
      </c>
      <c r="P604" s="5">
        <v>188.67</v>
      </c>
      <c r="Q604" s="5">
        <v>187.31</v>
      </c>
      <c r="R604" s="5">
        <v>179.69</v>
      </c>
    </row>
    <row r="605" spans="1:18" x14ac:dyDescent="0.25">
      <c r="A605">
        <v>2012</v>
      </c>
      <c r="B605">
        <v>12</v>
      </c>
      <c r="C605">
        <v>4</v>
      </c>
      <c r="D605" t="str">
        <f t="shared" si="9"/>
        <v>DC201212-sem4</v>
      </c>
      <c r="E605" s="1">
        <v>41265</v>
      </c>
      <c r="F605" s="1">
        <v>41271</v>
      </c>
      <c r="G605" s="5">
        <v>349.93</v>
      </c>
      <c r="H605" s="5">
        <v>343.85</v>
      </c>
      <c r="I605" s="5">
        <v>341.57</v>
      </c>
      <c r="J605" s="5">
        <v>349.93</v>
      </c>
      <c r="K605" s="5">
        <v>343.85</v>
      </c>
      <c r="L605" s="5">
        <v>341.57</v>
      </c>
      <c r="M605" s="5">
        <v>349.93</v>
      </c>
      <c r="N605" s="5">
        <v>312.16000000000003</v>
      </c>
      <c r="O605" s="5">
        <v>312.16000000000003</v>
      </c>
      <c r="P605" s="5">
        <v>349.93</v>
      </c>
      <c r="Q605" s="5">
        <v>312.16000000000003</v>
      </c>
      <c r="R605" s="5">
        <v>312.16000000000003</v>
      </c>
    </row>
    <row r="606" spans="1:18" x14ac:dyDescent="0.25">
      <c r="A606">
        <v>2013</v>
      </c>
      <c r="B606">
        <v>1</v>
      </c>
      <c r="C606">
        <v>1</v>
      </c>
      <c r="D606" t="str">
        <f t="shared" si="9"/>
        <v>DC201301-sem1</v>
      </c>
      <c r="E606" s="1">
        <v>41272</v>
      </c>
      <c r="F606" s="1">
        <v>41278</v>
      </c>
      <c r="G606" s="5">
        <v>348.22</v>
      </c>
      <c r="H606" s="5">
        <v>343.19</v>
      </c>
      <c r="I606" s="5">
        <v>338.63</v>
      </c>
      <c r="J606" s="5">
        <v>348.22</v>
      </c>
      <c r="K606" s="5">
        <v>343.19</v>
      </c>
      <c r="L606" s="5">
        <v>338.63</v>
      </c>
      <c r="M606" s="5">
        <v>348.22</v>
      </c>
      <c r="N606" s="5">
        <v>343.19</v>
      </c>
      <c r="O606" s="5">
        <v>338.63</v>
      </c>
      <c r="P606" s="5">
        <v>348.22</v>
      </c>
      <c r="Q606" s="5">
        <v>343.19</v>
      </c>
      <c r="R606" s="5">
        <v>338.63</v>
      </c>
    </row>
    <row r="607" spans="1:18" x14ac:dyDescent="0.25">
      <c r="A607">
        <v>2013</v>
      </c>
      <c r="B607">
        <v>1</v>
      </c>
      <c r="C607">
        <v>2</v>
      </c>
      <c r="D607" t="str">
        <f t="shared" si="9"/>
        <v>DC201301-sem2</v>
      </c>
      <c r="E607" s="1">
        <v>41279</v>
      </c>
      <c r="F607" s="1">
        <v>41285</v>
      </c>
      <c r="G607" s="5">
        <v>554.82000000000005</v>
      </c>
      <c r="H607" s="5">
        <v>554.82000000000005</v>
      </c>
      <c r="I607" s="5">
        <v>554.82000000000005</v>
      </c>
      <c r="J607" s="5">
        <v>554.82000000000005</v>
      </c>
      <c r="K607" s="5">
        <v>554.82000000000005</v>
      </c>
      <c r="L607" s="5">
        <v>554.82000000000005</v>
      </c>
      <c r="M607" s="5">
        <v>554.82000000000005</v>
      </c>
      <c r="N607" s="5">
        <v>554.82000000000005</v>
      </c>
      <c r="O607" s="5">
        <v>546.17999999999995</v>
      </c>
      <c r="P607" s="5">
        <v>554.82000000000005</v>
      </c>
      <c r="Q607" s="5">
        <v>554.82000000000005</v>
      </c>
      <c r="R607" s="5">
        <v>546.17999999999995</v>
      </c>
    </row>
    <row r="608" spans="1:18" x14ac:dyDescent="0.25">
      <c r="A608">
        <v>2013</v>
      </c>
      <c r="B608">
        <v>1</v>
      </c>
      <c r="C608">
        <v>3</v>
      </c>
      <c r="D608" t="str">
        <f t="shared" si="9"/>
        <v>DC201301-sem3</v>
      </c>
      <c r="E608" s="1">
        <v>41286</v>
      </c>
      <c r="F608" s="1">
        <v>41292</v>
      </c>
      <c r="G608" s="5">
        <v>341.7</v>
      </c>
      <c r="H608" s="5">
        <v>341.7</v>
      </c>
      <c r="I608" s="5">
        <v>336.55</v>
      </c>
      <c r="J608" s="5">
        <v>341.7</v>
      </c>
      <c r="K608" s="5">
        <v>341.7</v>
      </c>
      <c r="L608" s="5">
        <v>336.55</v>
      </c>
      <c r="M608" s="5">
        <v>341.7</v>
      </c>
      <c r="N608" s="5">
        <v>341.7</v>
      </c>
      <c r="O608" s="5">
        <v>336.55</v>
      </c>
      <c r="P608" s="5">
        <v>341.7</v>
      </c>
      <c r="Q608" s="5">
        <v>341.7</v>
      </c>
      <c r="R608" s="5">
        <v>336.55</v>
      </c>
    </row>
    <row r="609" spans="1:18" x14ac:dyDescent="0.25">
      <c r="A609">
        <v>2013</v>
      </c>
      <c r="B609">
        <v>1</v>
      </c>
      <c r="C609">
        <v>4</v>
      </c>
      <c r="D609" t="str">
        <f t="shared" si="9"/>
        <v>DC201301-sem4</v>
      </c>
      <c r="E609" s="1">
        <v>41293</v>
      </c>
      <c r="F609" s="1">
        <v>41299</v>
      </c>
      <c r="G609" s="5">
        <v>480.62</v>
      </c>
      <c r="H609" s="5">
        <v>480.62</v>
      </c>
      <c r="I609" s="5">
        <v>478.43</v>
      </c>
      <c r="J609" s="5">
        <v>480.62</v>
      </c>
      <c r="K609" s="5">
        <v>480.62</v>
      </c>
      <c r="L609" s="5">
        <v>478.43</v>
      </c>
      <c r="M609" s="5">
        <v>480.62</v>
      </c>
      <c r="N609" s="5">
        <v>480.62</v>
      </c>
      <c r="O609" s="5">
        <v>474.77</v>
      </c>
      <c r="P609" s="5">
        <v>480.62</v>
      </c>
      <c r="Q609" s="5">
        <v>480.62</v>
      </c>
      <c r="R609" s="5">
        <v>474.77</v>
      </c>
    </row>
    <row r="610" spans="1:18" x14ac:dyDescent="0.25">
      <c r="A610">
        <v>2013</v>
      </c>
      <c r="B610">
        <v>2</v>
      </c>
      <c r="C610">
        <v>1</v>
      </c>
      <c r="D610" t="str">
        <f t="shared" si="9"/>
        <v>DC201302-sem1</v>
      </c>
      <c r="E610" s="1">
        <v>41300</v>
      </c>
      <c r="F610" s="1">
        <v>41306</v>
      </c>
      <c r="G610" s="5">
        <v>312.87</v>
      </c>
      <c r="H610" s="5">
        <v>312.87</v>
      </c>
      <c r="I610" s="5">
        <v>298.14</v>
      </c>
      <c r="J610" s="5">
        <v>312.87</v>
      </c>
      <c r="K610" s="5">
        <v>312.87</v>
      </c>
      <c r="L610" s="5">
        <v>298.14</v>
      </c>
      <c r="M610" s="5">
        <v>292.77999999999997</v>
      </c>
      <c r="N610" s="5">
        <v>291.47000000000003</v>
      </c>
      <c r="O610" s="5">
        <v>289.55</v>
      </c>
      <c r="P610" s="5">
        <v>292.77999999999997</v>
      </c>
      <c r="Q610" s="5">
        <v>291.47000000000003</v>
      </c>
      <c r="R610" s="5">
        <v>289.55</v>
      </c>
    </row>
    <row r="611" spans="1:18" x14ac:dyDescent="0.25">
      <c r="A611">
        <v>2013</v>
      </c>
      <c r="B611">
        <v>2</v>
      </c>
      <c r="C611">
        <v>2</v>
      </c>
      <c r="D611" t="str">
        <f t="shared" si="9"/>
        <v>DC201302-sem2</v>
      </c>
      <c r="E611" s="1">
        <v>41307</v>
      </c>
      <c r="F611" s="1">
        <v>41313</v>
      </c>
      <c r="G611" s="5">
        <v>176.85</v>
      </c>
      <c r="H611" s="5">
        <v>176.85</v>
      </c>
      <c r="I611" s="5">
        <v>171.72</v>
      </c>
      <c r="J611" s="5">
        <v>176.85</v>
      </c>
      <c r="K611" s="5">
        <v>176.85</v>
      </c>
      <c r="L611" s="5">
        <v>171.72</v>
      </c>
      <c r="M611" s="5">
        <v>176.85</v>
      </c>
      <c r="N611" s="5">
        <v>176.85</v>
      </c>
      <c r="O611" s="5">
        <v>171.72</v>
      </c>
      <c r="P611" s="5">
        <v>176.85</v>
      </c>
      <c r="Q611" s="5">
        <v>176.85</v>
      </c>
      <c r="R611" s="5">
        <v>171.72</v>
      </c>
    </row>
    <row r="612" spans="1:18" x14ac:dyDescent="0.25">
      <c r="A612">
        <v>2013</v>
      </c>
      <c r="B612">
        <v>2</v>
      </c>
      <c r="C612">
        <v>3</v>
      </c>
      <c r="D612" t="str">
        <f t="shared" si="9"/>
        <v>DC201302-sem3</v>
      </c>
      <c r="E612" s="1">
        <v>41314</v>
      </c>
      <c r="F612" s="1">
        <v>41320</v>
      </c>
      <c r="G612" s="5">
        <v>158.72</v>
      </c>
      <c r="H612" s="5">
        <v>158.72</v>
      </c>
      <c r="I612" s="5">
        <v>153.88</v>
      </c>
      <c r="J612" s="5">
        <v>158.72</v>
      </c>
      <c r="K612" s="5">
        <v>158.72</v>
      </c>
      <c r="L612" s="5">
        <v>153.88</v>
      </c>
      <c r="M612" s="5">
        <v>153.38999999999999</v>
      </c>
      <c r="N612" s="5">
        <v>153.38999999999999</v>
      </c>
      <c r="O612" s="5">
        <v>151.6</v>
      </c>
      <c r="P612" s="5">
        <v>153.38999999999999</v>
      </c>
      <c r="Q612" s="5">
        <v>153.38999999999999</v>
      </c>
      <c r="R612" s="5">
        <v>151.6</v>
      </c>
    </row>
    <row r="613" spans="1:18" x14ac:dyDescent="0.25">
      <c r="A613">
        <v>2013</v>
      </c>
      <c r="B613">
        <v>2</v>
      </c>
      <c r="C613">
        <v>4</v>
      </c>
      <c r="D613" t="str">
        <f t="shared" si="9"/>
        <v>DC201302-sem4</v>
      </c>
      <c r="E613" s="1">
        <v>41321</v>
      </c>
      <c r="F613" s="1">
        <v>41327</v>
      </c>
      <c r="G613" s="5">
        <v>217.6</v>
      </c>
      <c r="H613" s="5">
        <v>217.6</v>
      </c>
      <c r="I613" s="5">
        <v>209.35</v>
      </c>
      <c r="J613" s="5">
        <v>217.6</v>
      </c>
      <c r="K613" s="5">
        <v>217.6</v>
      </c>
      <c r="L613" s="5">
        <v>209.35</v>
      </c>
      <c r="M613" s="5">
        <v>216.53</v>
      </c>
      <c r="N613" s="5">
        <v>216.53</v>
      </c>
      <c r="O613" s="5">
        <v>207.71</v>
      </c>
      <c r="P613" s="5">
        <v>216.53</v>
      </c>
      <c r="Q613" s="5">
        <v>216.53</v>
      </c>
      <c r="R613" s="5">
        <v>207.71</v>
      </c>
    </row>
    <row r="614" spans="1:18" x14ac:dyDescent="0.25">
      <c r="A614">
        <v>2013</v>
      </c>
      <c r="B614">
        <v>3</v>
      </c>
      <c r="C614">
        <v>1</v>
      </c>
      <c r="D614" t="str">
        <f t="shared" si="9"/>
        <v>DC201303-sem1</v>
      </c>
      <c r="E614" s="1">
        <v>41328</v>
      </c>
      <c r="F614" s="1">
        <v>41334</v>
      </c>
      <c r="G614" s="5">
        <v>317.48</v>
      </c>
      <c r="H614" s="5">
        <v>315.92</v>
      </c>
      <c r="I614" s="5">
        <v>306.3</v>
      </c>
      <c r="J614" s="5">
        <v>317.48</v>
      </c>
      <c r="K614" s="5">
        <v>315.92</v>
      </c>
      <c r="L614" s="5">
        <v>306.3</v>
      </c>
      <c r="M614" s="5">
        <v>317.48</v>
      </c>
      <c r="N614" s="5">
        <v>315.92</v>
      </c>
      <c r="O614" s="5">
        <v>306.3</v>
      </c>
      <c r="P614" s="5">
        <v>317.48</v>
      </c>
      <c r="Q614" s="5">
        <v>315.92</v>
      </c>
      <c r="R614" s="5">
        <v>306.3</v>
      </c>
    </row>
    <row r="615" spans="1:18" x14ac:dyDescent="0.25">
      <c r="A615">
        <v>2013</v>
      </c>
      <c r="B615">
        <v>3</v>
      </c>
      <c r="C615">
        <v>2</v>
      </c>
      <c r="D615" t="str">
        <f t="shared" si="9"/>
        <v>DC201303-sem2</v>
      </c>
      <c r="E615" s="1">
        <v>41335</v>
      </c>
      <c r="F615" s="1">
        <v>41341</v>
      </c>
      <c r="G615" s="5">
        <v>376.87</v>
      </c>
      <c r="H615" s="5">
        <v>376.87</v>
      </c>
      <c r="I615" s="5">
        <v>368.69</v>
      </c>
      <c r="J615" s="5">
        <v>376.87</v>
      </c>
      <c r="K615" s="5">
        <v>376.87</v>
      </c>
      <c r="L615" s="5">
        <v>368.69</v>
      </c>
      <c r="M615" s="5">
        <v>376.87</v>
      </c>
      <c r="N615" s="5">
        <v>376.4</v>
      </c>
      <c r="O615" s="5">
        <v>365.69</v>
      </c>
      <c r="P615" s="5">
        <v>376.87</v>
      </c>
      <c r="Q615" s="5">
        <v>376.4</v>
      </c>
      <c r="R615" s="5">
        <v>365.69</v>
      </c>
    </row>
    <row r="616" spans="1:18" x14ac:dyDescent="0.25">
      <c r="A616">
        <v>2013</v>
      </c>
      <c r="B616">
        <v>3</v>
      </c>
      <c r="C616">
        <v>3</v>
      </c>
      <c r="D616" t="str">
        <f t="shared" si="9"/>
        <v>DC201303-sem3</v>
      </c>
      <c r="E616" s="1">
        <v>41342</v>
      </c>
      <c r="F616" s="1">
        <v>41348</v>
      </c>
      <c r="G616" s="5">
        <v>344.5</v>
      </c>
      <c r="H616" s="5">
        <v>344.5</v>
      </c>
      <c r="I616" s="5">
        <v>337.57</v>
      </c>
      <c r="J616" s="5">
        <v>344.5</v>
      </c>
      <c r="K616" s="5">
        <v>344.5</v>
      </c>
      <c r="L616" s="5">
        <v>337.57</v>
      </c>
      <c r="M616" s="5">
        <v>344.5</v>
      </c>
      <c r="N616" s="5">
        <v>344.5</v>
      </c>
      <c r="O616" s="5">
        <v>336.93</v>
      </c>
      <c r="P616" s="5">
        <v>344.5</v>
      </c>
      <c r="Q616" s="5">
        <v>344.5</v>
      </c>
      <c r="R616" s="5">
        <v>336.93</v>
      </c>
    </row>
    <row r="617" spans="1:18" x14ac:dyDescent="0.25">
      <c r="A617">
        <v>2013</v>
      </c>
      <c r="B617">
        <v>3</v>
      </c>
      <c r="C617">
        <v>4</v>
      </c>
      <c r="D617" t="str">
        <f t="shared" si="9"/>
        <v>DC201303-sem4</v>
      </c>
      <c r="E617" s="1">
        <v>41349</v>
      </c>
      <c r="F617" s="1">
        <v>41355</v>
      </c>
      <c r="G617" s="5">
        <v>340.15</v>
      </c>
      <c r="H617" s="5">
        <v>340.15</v>
      </c>
      <c r="I617" s="5">
        <v>336.68</v>
      </c>
      <c r="J617" s="5">
        <v>340.15</v>
      </c>
      <c r="K617" s="5">
        <v>340.15</v>
      </c>
      <c r="L617" s="5">
        <v>336.68</v>
      </c>
      <c r="M617" s="5">
        <v>340.15</v>
      </c>
      <c r="N617" s="5">
        <v>340.15</v>
      </c>
      <c r="O617" s="5">
        <v>336.68</v>
      </c>
      <c r="P617" s="5">
        <v>340.15</v>
      </c>
      <c r="Q617" s="5">
        <v>340.15</v>
      </c>
      <c r="R617" s="5">
        <v>336.68</v>
      </c>
    </row>
    <row r="618" spans="1:18" x14ac:dyDescent="0.25">
      <c r="A618">
        <v>2013</v>
      </c>
      <c r="B618">
        <v>3</v>
      </c>
      <c r="C618">
        <v>5</v>
      </c>
      <c r="D618" t="str">
        <f t="shared" si="9"/>
        <v>DC201303-sem5</v>
      </c>
      <c r="E618" s="1">
        <v>41356</v>
      </c>
      <c r="F618" s="1">
        <v>41362</v>
      </c>
      <c r="G618" s="5">
        <v>321.76</v>
      </c>
      <c r="H618" s="5">
        <v>321.49</v>
      </c>
      <c r="I618" s="5">
        <v>316.99</v>
      </c>
      <c r="J618" s="5">
        <v>321.76</v>
      </c>
      <c r="K618" s="5">
        <v>321.49</v>
      </c>
      <c r="L618" s="5">
        <v>316.99</v>
      </c>
      <c r="M618" s="5">
        <v>321.76</v>
      </c>
      <c r="N618" s="5">
        <v>321.49</v>
      </c>
      <c r="O618" s="5">
        <v>321.49</v>
      </c>
      <c r="P618" s="5">
        <v>321.76</v>
      </c>
      <c r="Q618" s="5">
        <v>321.49</v>
      </c>
      <c r="R618" s="5">
        <v>316.99</v>
      </c>
    </row>
    <row r="619" spans="1:18" x14ac:dyDescent="0.25">
      <c r="A619">
        <v>2013</v>
      </c>
      <c r="B619">
        <v>4</v>
      </c>
      <c r="C619">
        <v>1</v>
      </c>
      <c r="D619" t="str">
        <f t="shared" si="9"/>
        <v>DC201304-sem1</v>
      </c>
      <c r="E619" s="1">
        <v>41363</v>
      </c>
      <c r="F619" s="1">
        <v>41369</v>
      </c>
      <c r="G619" s="5">
        <v>302.27</v>
      </c>
      <c r="H619" s="5">
        <v>299.70999999999998</v>
      </c>
      <c r="I619" s="5">
        <v>298.76</v>
      </c>
      <c r="J619" s="5">
        <v>302.27</v>
      </c>
      <c r="K619" s="5">
        <v>299.70999999999998</v>
      </c>
      <c r="L619" s="5">
        <v>298.76</v>
      </c>
      <c r="M619" s="5">
        <v>302.27</v>
      </c>
      <c r="N619" s="5">
        <v>299.70999999999998</v>
      </c>
      <c r="O619" s="5">
        <v>298.76</v>
      </c>
      <c r="P619" s="5">
        <v>302.27</v>
      </c>
      <c r="Q619" s="5">
        <v>299.70999999999998</v>
      </c>
      <c r="R619" s="5">
        <v>298.76</v>
      </c>
    </row>
    <row r="620" spans="1:18" x14ac:dyDescent="0.25">
      <c r="A620">
        <v>2013</v>
      </c>
      <c r="B620">
        <v>4</v>
      </c>
      <c r="C620">
        <v>2</v>
      </c>
      <c r="D620" t="str">
        <f t="shared" si="9"/>
        <v>DC201304-sem2</v>
      </c>
      <c r="E620" s="1">
        <v>41370</v>
      </c>
      <c r="F620" s="1">
        <v>41376</v>
      </c>
      <c r="G620" s="5">
        <v>191.98</v>
      </c>
      <c r="H620" s="5">
        <v>190.62</v>
      </c>
      <c r="I620" s="5">
        <v>186.05</v>
      </c>
      <c r="J620" s="5">
        <v>191.98</v>
      </c>
      <c r="K620" s="5">
        <v>190.62</v>
      </c>
      <c r="L620" s="5">
        <v>186.05</v>
      </c>
      <c r="M620" s="5">
        <v>191.98</v>
      </c>
      <c r="N620" s="5">
        <v>190.62</v>
      </c>
      <c r="O620" s="5">
        <v>187.92</v>
      </c>
      <c r="P620" s="5">
        <v>191.98</v>
      </c>
      <c r="Q620" s="5">
        <v>190.62</v>
      </c>
      <c r="R620" s="5">
        <v>186.05</v>
      </c>
    </row>
    <row r="621" spans="1:18" x14ac:dyDescent="0.25">
      <c r="A621">
        <v>2013</v>
      </c>
      <c r="B621">
        <v>4</v>
      </c>
      <c r="C621">
        <v>3</v>
      </c>
      <c r="D621" t="str">
        <f t="shared" si="9"/>
        <v>DC201304-sem3</v>
      </c>
      <c r="E621" s="1">
        <v>41377</v>
      </c>
      <c r="F621" s="1">
        <v>41383</v>
      </c>
      <c r="G621" s="5">
        <v>152.86000000000001</v>
      </c>
      <c r="H621" s="5">
        <v>151.44999999999999</v>
      </c>
      <c r="I621" s="5">
        <v>147.86000000000001</v>
      </c>
      <c r="J621" s="5">
        <v>152.86000000000001</v>
      </c>
      <c r="K621" s="5">
        <v>151.44999999999999</v>
      </c>
      <c r="L621" s="5">
        <v>147.86000000000001</v>
      </c>
      <c r="M621" s="5">
        <v>152.86000000000001</v>
      </c>
      <c r="N621" s="5">
        <v>151.47</v>
      </c>
      <c r="O621" s="5">
        <v>150.46</v>
      </c>
      <c r="P621" s="5">
        <v>152.86000000000001</v>
      </c>
      <c r="Q621" s="5">
        <v>151.44999999999999</v>
      </c>
      <c r="R621" s="5">
        <v>147.86000000000001</v>
      </c>
    </row>
    <row r="622" spans="1:18" x14ac:dyDescent="0.25">
      <c r="A622">
        <v>2013</v>
      </c>
      <c r="B622">
        <v>4</v>
      </c>
      <c r="C622">
        <v>4</v>
      </c>
      <c r="D622" t="str">
        <f t="shared" si="9"/>
        <v>DC201304-sem4</v>
      </c>
      <c r="E622" s="1">
        <v>41384</v>
      </c>
      <c r="F622" s="1">
        <v>41390</v>
      </c>
      <c r="G622" s="5">
        <v>129.78</v>
      </c>
      <c r="H622" s="5">
        <v>129.38</v>
      </c>
      <c r="I622" s="5">
        <v>126.38</v>
      </c>
      <c r="J622" s="5">
        <v>129.78</v>
      </c>
      <c r="K622" s="5">
        <v>129.38</v>
      </c>
      <c r="L622" s="5">
        <v>126.38</v>
      </c>
      <c r="M622" s="5">
        <v>133.31</v>
      </c>
      <c r="N622" s="5">
        <v>133.31</v>
      </c>
      <c r="O622" s="5">
        <v>128.25</v>
      </c>
      <c r="P622" s="5">
        <v>129.78</v>
      </c>
      <c r="Q622" s="5">
        <v>129.38</v>
      </c>
      <c r="R622" s="5">
        <v>126.38</v>
      </c>
    </row>
    <row r="623" spans="1:18" x14ac:dyDescent="0.25">
      <c r="A623">
        <v>2013</v>
      </c>
      <c r="B623">
        <v>5</v>
      </c>
      <c r="C623">
        <v>1</v>
      </c>
      <c r="D623" t="str">
        <f t="shared" si="9"/>
        <v>DC201305-sem1</v>
      </c>
      <c r="E623" s="1">
        <v>41391</v>
      </c>
      <c r="F623" s="1">
        <v>41397</v>
      </c>
      <c r="G623" s="5">
        <v>282.02999999999997</v>
      </c>
      <c r="H623" s="5">
        <v>279.27</v>
      </c>
      <c r="I623" s="5">
        <v>275.05</v>
      </c>
      <c r="J623" s="5">
        <v>282.02999999999997</v>
      </c>
      <c r="K623" s="5">
        <v>279.27</v>
      </c>
      <c r="L623" s="5">
        <v>275.05</v>
      </c>
      <c r="M623" s="5">
        <v>282.02999999999997</v>
      </c>
      <c r="N623" s="5">
        <v>280.45</v>
      </c>
      <c r="O623" s="5">
        <v>276.08999999999997</v>
      </c>
      <c r="P623" s="5">
        <v>282.02999999999997</v>
      </c>
      <c r="Q623" s="5">
        <v>279.27</v>
      </c>
      <c r="R623" s="5">
        <v>275.05</v>
      </c>
    </row>
    <row r="624" spans="1:18" x14ac:dyDescent="0.25">
      <c r="A624">
        <v>2013</v>
      </c>
      <c r="B624">
        <v>5</v>
      </c>
      <c r="C624">
        <v>2</v>
      </c>
      <c r="D624" t="str">
        <f t="shared" si="9"/>
        <v>DC201305-sem2</v>
      </c>
      <c r="E624" s="1">
        <v>41398</v>
      </c>
      <c r="F624" s="1">
        <v>41404</v>
      </c>
      <c r="G624" s="5">
        <v>343.51</v>
      </c>
      <c r="H624" s="5">
        <v>342</v>
      </c>
      <c r="I624" s="5">
        <v>339.57</v>
      </c>
      <c r="J624" s="5">
        <v>343.51</v>
      </c>
      <c r="K624" s="5">
        <v>342</v>
      </c>
      <c r="L624" s="5">
        <v>339.57</v>
      </c>
      <c r="M624" s="5">
        <v>343.51</v>
      </c>
      <c r="N624" s="5">
        <v>342</v>
      </c>
      <c r="O624" s="5">
        <v>339.57</v>
      </c>
      <c r="P624" s="5">
        <v>343.51</v>
      </c>
      <c r="Q624" s="5">
        <v>342</v>
      </c>
      <c r="R624" s="5">
        <v>339.57</v>
      </c>
    </row>
    <row r="625" spans="1:18" x14ac:dyDescent="0.25">
      <c r="A625">
        <v>2013</v>
      </c>
      <c r="B625">
        <v>5</v>
      </c>
      <c r="C625">
        <v>3</v>
      </c>
      <c r="D625" t="str">
        <f t="shared" si="9"/>
        <v>DC201305-sem3</v>
      </c>
      <c r="E625" s="1">
        <v>41405</v>
      </c>
      <c r="F625" s="1">
        <v>41411</v>
      </c>
      <c r="G625" s="5">
        <v>360.6</v>
      </c>
      <c r="H625" s="5">
        <v>357.33</v>
      </c>
      <c r="I625" s="5">
        <v>354.26</v>
      </c>
      <c r="J625" s="5">
        <v>360.6</v>
      </c>
      <c r="K625" s="5">
        <v>357.33</v>
      </c>
      <c r="L625" s="5">
        <v>354.26</v>
      </c>
      <c r="M625" s="5">
        <v>360.6</v>
      </c>
      <c r="N625" s="5">
        <v>357.33</v>
      </c>
      <c r="O625" s="5">
        <v>354.26</v>
      </c>
      <c r="P625" s="5">
        <v>360.6</v>
      </c>
      <c r="Q625" s="5">
        <v>357.33</v>
      </c>
      <c r="R625" s="5">
        <v>354.26</v>
      </c>
    </row>
    <row r="626" spans="1:18" x14ac:dyDescent="0.25">
      <c r="A626">
        <v>2013</v>
      </c>
      <c r="B626">
        <v>5</v>
      </c>
      <c r="C626">
        <v>4</v>
      </c>
      <c r="D626" t="str">
        <f t="shared" si="9"/>
        <v>DC201305-sem4</v>
      </c>
      <c r="E626" s="1">
        <v>41412</v>
      </c>
      <c r="F626" s="1">
        <v>41418</v>
      </c>
      <c r="G626" s="5">
        <v>360.17</v>
      </c>
      <c r="H626" s="5">
        <v>356.8</v>
      </c>
      <c r="I626" s="5">
        <v>348.98</v>
      </c>
      <c r="J626" s="5">
        <v>360.17</v>
      </c>
      <c r="K626" s="5">
        <v>356.8</v>
      </c>
      <c r="L626" s="5">
        <v>348.98</v>
      </c>
      <c r="M626" s="5">
        <v>360.17</v>
      </c>
      <c r="N626" s="5">
        <v>356.8</v>
      </c>
      <c r="O626" s="5">
        <v>348.98</v>
      </c>
      <c r="P626" s="5">
        <v>360.17</v>
      </c>
      <c r="Q626" s="5">
        <v>356.8</v>
      </c>
      <c r="R626" s="5">
        <v>348.98</v>
      </c>
    </row>
    <row r="627" spans="1:18" x14ac:dyDescent="0.25">
      <c r="A627">
        <v>2013</v>
      </c>
      <c r="B627">
        <v>5</v>
      </c>
      <c r="C627">
        <v>5</v>
      </c>
      <c r="D627" t="str">
        <f t="shared" si="9"/>
        <v>DC201305-sem5</v>
      </c>
      <c r="E627" s="1">
        <v>41419</v>
      </c>
      <c r="F627" s="1">
        <v>41425</v>
      </c>
      <c r="G627" s="5">
        <v>361.81</v>
      </c>
      <c r="H627" s="5">
        <v>357.29</v>
      </c>
      <c r="I627" s="5">
        <v>353.44</v>
      </c>
      <c r="J627" s="5">
        <v>361.81</v>
      </c>
      <c r="K627" s="5">
        <v>357.29</v>
      </c>
      <c r="L627" s="5">
        <v>353.44</v>
      </c>
      <c r="M627" s="5">
        <v>361.81</v>
      </c>
      <c r="N627" s="5">
        <v>357.29</v>
      </c>
      <c r="O627" s="5">
        <v>353.44</v>
      </c>
      <c r="P627" s="5">
        <v>361.81</v>
      </c>
      <c r="Q627" s="5">
        <v>357.29</v>
      </c>
      <c r="R627" s="5">
        <v>353.44</v>
      </c>
    </row>
    <row r="628" spans="1:18" x14ac:dyDescent="0.25">
      <c r="A628">
        <v>2013</v>
      </c>
      <c r="B628">
        <v>6</v>
      </c>
      <c r="C628">
        <v>1</v>
      </c>
      <c r="D628" t="str">
        <f t="shared" si="9"/>
        <v>DC201306-sem1</v>
      </c>
      <c r="E628" s="1">
        <v>41426</v>
      </c>
      <c r="F628" s="1">
        <v>41432</v>
      </c>
      <c r="G628" s="5">
        <v>327.93</v>
      </c>
      <c r="H628" s="5">
        <v>324.69</v>
      </c>
      <c r="I628" s="5">
        <v>320.57</v>
      </c>
      <c r="J628" s="5">
        <v>327.93</v>
      </c>
      <c r="K628" s="5">
        <v>324.69</v>
      </c>
      <c r="L628" s="5">
        <v>320.57</v>
      </c>
      <c r="M628" s="5">
        <v>327.93</v>
      </c>
      <c r="N628" s="5">
        <v>324.69</v>
      </c>
      <c r="O628" s="5">
        <v>320.57</v>
      </c>
      <c r="P628" s="5">
        <v>327.93</v>
      </c>
      <c r="Q628" s="5">
        <v>324.69</v>
      </c>
      <c r="R628" s="5">
        <v>320.57</v>
      </c>
    </row>
    <row r="629" spans="1:18" x14ac:dyDescent="0.25">
      <c r="A629">
        <v>2013</v>
      </c>
      <c r="B629">
        <v>6</v>
      </c>
      <c r="C629">
        <v>2</v>
      </c>
      <c r="D629" t="str">
        <f t="shared" si="9"/>
        <v>DC201306-sem2</v>
      </c>
      <c r="E629" s="1">
        <v>41433</v>
      </c>
      <c r="F629" s="1">
        <v>41439</v>
      </c>
      <c r="G629" s="5">
        <v>182.33</v>
      </c>
      <c r="H629" s="5">
        <v>180.95</v>
      </c>
      <c r="I629" s="5">
        <v>179.63</v>
      </c>
      <c r="J629" s="5">
        <v>182.33</v>
      </c>
      <c r="K629" s="5">
        <v>180.95</v>
      </c>
      <c r="L629" s="5">
        <v>179.63</v>
      </c>
      <c r="M629" s="5">
        <v>182.33</v>
      </c>
      <c r="N629" s="5">
        <v>180.95</v>
      </c>
      <c r="O629" s="5">
        <v>180.95</v>
      </c>
      <c r="P629" s="5">
        <v>182.33</v>
      </c>
      <c r="Q629" s="5">
        <v>180.95</v>
      </c>
      <c r="R629" s="5">
        <v>179.63</v>
      </c>
    </row>
    <row r="630" spans="1:18" x14ac:dyDescent="0.25">
      <c r="A630">
        <v>2013</v>
      </c>
      <c r="B630">
        <v>6</v>
      </c>
      <c r="C630">
        <v>3</v>
      </c>
      <c r="D630" t="str">
        <f t="shared" si="9"/>
        <v>DC201306-sem3</v>
      </c>
      <c r="E630" s="1">
        <v>41440</v>
      </c>
      <c r="F630" s="1">
        <v>41446</v>
      </c>
      <c r="G630" s="5">
        <v>196.12</v>
      </c>
      <c r="H630" s="5">
        <v>193.93</v>
      </c>
      <c r="I630" s="5">
        <v>188.14</v>
      </c>
      <c r="J630" s="5">
        <v>196.12</v>
      </c>
      <c r="K630" s="5">
        <v>193.93</v>
      </c>
      <c r="L630" s="5">
        <v>188.14</v>
      </c>
      <c r="M630" s="5">
        <v>196.12</v>
      </c>
      <c r="N630" s="5">
        <v>193.93</v>
      </c>
      <c r="O630" s="5">
        <v>188.14</v>
      </c>
      <c r="P630" s="5">
        <v>196.12</v>
      </c>
      <c r="Q630" s="5">
        <v>193.93</v>
      </c>
      <c r="R630" s="5">
        <v>188.14</v>
      </c>
    </row>
    <row r="631" spans="1:18" x14ac:dyDescent="0.25">
      <c r="A631">
        <v>2013</v>
      </c>
      <c r="B631">
        <v>6</v>
      </c>
      <c r="C631">
        <v>4</v>
      </c>
      <c r="D631" t="str">
        <f t="shared" si="9"/>
        <v>DC201306-sem4</v>
      </c>
      <c r="E631" s="1">
        <v>41447</v>
      </c>
      <c r="F631" s="1">
        <v>41453</v>
      </c>
      <c r="G631" s="5">
        <v>170.29</v>
      </c>
      <c r="H631" s="5">
        <v>167.9</v>
      </c>
      <c r="I631" s="5">
        <v>162.16</v>
      </c>
      <c r="J631" s="5">
        <v>169.04</v>
      </c>
      <c r="K631" s="5">
        <v>167.9</v>
      </c>
      <c r="L631" s="5">
        <v>162.16</v>
      </c>
      <c r="M631" s="5">
        <v>170.29</v>
      </c>
      <c r="N631" s="5">
        <v>167.9</v>
      </c>
      <c r="O631" s="5">
        <v>162.16</v>
      </c>
      <c r="P631" s="5">
        <v>170.29</v>
      </c>
      <c r="Q631" s="5">
        <v>167.9</v>
      </c>
      <c r="R631" s="5">
        <v>162.16</v>
      </c>
    </row>
    <row r="632" spans="1:18" x14ac:dyDescent="0.25">
      <c r="A632">
        <v>2013</v>
      </c>
      <c r="B632">
        <v>7</v>
      </c>
      <c r="C632">
        <v>1</v>
      </c>
      <c r="D632" t="str">
        <f t="shared" si="9"/>
        <v>DC201307-sem1</v>
      </c>
      <c r="E632" s="1">
        <v>41454</v>
      </c>
      <c r="F632" s="1">
        <v>41460</v>
      </c>
      <c r="G632" s="5">
        <v>99.86</v>
      </c>
      <c r="H632" s="5">
        <v>98.56</v>
      </c>
      <c r="I632" s="5">
        <v>94.3</v>
      </c>
      <c r="J632" s="5">
        <v>80.790000000000006</v>
      </c>
      <c r="K632" s="5">
        <v>78.819999999999993</v>
      </c>
      <c r="L632" s="5">
        <v>14.13</v>
      </c>
      <c r="M632" s="5">
        <v>99.86</v>
      </c>
      <c r="N632" s="5">
        <v>99.38</v>
      </c>
      <c r="O632" s="5">
        <v>99.38</v>
      </c>
      <c r="P632" s="5">
        <v>99.86</v>
      </c>
      <c r="Q632" s="5">
        <v>98.56</v>
      </c>
      <c r="R632" s="5">
        <v>95.49</v>
      </c>
    </row>
    <row r="633" spans="1:18" x14ac:dyDescent="0.25">
      <c r="A633">
        <v>2013</v>
      </c>
      <c r="B633">
        <v>7</v>
      </c>
      <c r="C633">
        <v>2</v>
      </c>
      <c r="D633" t="str">
        <f t="shared" si="9"/>
        <v>DC201307-sem2</v>
      </c>
      <c r="E633" s="1">
        <v>41461</v>
      </c>
      <c r="F633" s="1">
        <v>41467</v>
      </c>
      <c r="G633" s="5">
        <v>109.05</v>
      </c>
      <c r="H633" s="5">
        <v>108.21</v>
      </c>
      <c r="I633" s="5">
        <v>102.84</v>
      </c>
      <c r="J633" s="5">
        <v>109.05</v>
      </c>
      <c r="K633" s="5">
        <v>107.49</v>
      </c>
      <c r="L633" s="5">
        <v>14.13</v>
      </c>
      <c r="M633" s="5">
        <v>109.05</v>
      </c>
      <c r="N633" s="5">
        <v>108.21</v>
      </c>
      <c r="O633" s="5">
        <v>102.84</v>
      </c>
      <c r="P633" s="5">
        <v>109.05</v>
      </c>
      <c r="Q633" s="5">
        <v>108.21</v>
      </c>
      <c r="R633" s="5">
        <v>102.84</v>
      </c>
    </row>
    <row r="634" spans="1:18" x14ac:dyDescent="0.25">
      <c r="A634">
        <v>2013</v>
      </c>
      <c r="B634">
        <v>7</v>
      </c>
      <c r="C634">
        <v>3</v>
      </c>
      <c r="D634" t="str">
        <f t="shared" si="9"/>
        <v>DC201307-sem3</v>
      </c>
      <c r="E634" s="1">
        <v>41468</v>
      </c>
      <c r="F634" s="1">
        <v>41474</v>
      </c>
      <c r="G634" s="5">
        <v>126.77</v>
      </c>
      <c r="H634" s="5">
        <v>125.33</v>
      </c>
      <c r="I634" s="5">
        <v>120.51</v>
      </c>
      <c r="J634" s="5">
        <v>102.64</v>
      </c>
      <c r="K634" s="5">
        <v>101.31</v>
      </c>
      <c r="L634" s="5">
        <v>97.7</v>
      </c>
      <c r="M634" s="5">
        <v>126.77</v>
      </c>
      <c r="N634" s="5">
        <v>125.33</v>
      </c>
      <c r="O634" s="5">
        <v>120.51</v>
      </c>
      <c r="P634" s="5">
        <v>126.77</v>
      </c>
      <c r="Q634" s="5">
        <v>125.33</v>
      </c>
      <c r="R634" s="5">
        <v>120.51</v>
      </c>
    </row>
    <row r="635" spans="1:18" x14ac:dyDescent="0.25">
      <c r="A635">
        <v>2013</v>
      </c>
      <c r="B635">
        <v>7</v>
      </c>
      <c r="C635">
        <v>4</v>
      </c>
      <c r="D635" t="str">
        <f t="shared" si="9"/>
        <v>DC201307-sem4</v>
      </c>
      <c r="E635" s="1">
        <v>41475</v>
      </c>
      <c r="F635" s="1">
        <v>41481</v>
      </c>
      <c r="G635" s="5">
        <v>131.53</v>
      </c>
      <c r="H635" s="5">
        <v>129.19999999999999</v>
      </c>
      <c r="I635" s="5">
        <v>125.7</v>
      </c>
      <c r="J635" s="5">
        <v>131.53</v>
      </c>
      <c r="K635" s="5">
        <v>129.19999999999999</v>
      </c>
      <c r="L635" s="5">
        <v>125.7</v>
      </c>
      <c r="M635" s="5">
        <v>131.53</v>
      </c>
      <c r="N635" s="5">
        <v>129.19999999999999</v>
      </c>
      <c r="O635" s="5">
        <v>125.7</v>
      </c>
      <c r="P635" s="5">
        <v>131.53</v>
      </c>
      <c r="Q635" s="5">
        <v>129.19999999999999</v>
      </c>
      <c r="R635" s="5">
        <v>125.7</v>
      </c>
    </row>
    <row r="636" spans="1:18" x14ac:dyDescent="0.25">
      <c r="A636">
        <v>2013</v>
      </c>
      <c r="B636">
        <v>8</v>
      </c>
      <c r="C636">
        <v>1</v>
      </c>
      <c r="D636" t="str">
        <f t="shared" si="9"/>
        <v>DC201308-sem1</v>
      </c>
      <c r="E636" s="1">
        <v>41482</v>
      </c>
      <c r="F636" s="1">
        <v>41488</v>
      </c>
      <c r="G636" s="5">
        <v>155.55000000000001</v>
      </c>
      <c r="H636" s="5">
        <v>153.54</v>
      </c>
      <c r="I636" s="5">
        <v>151.57</v>
      </c>
      <c r="J636" s="5">
        <v>155.55000000000001</v>
      </c>
      <c r="K636" s="5">
        <v>153.54</v>
      </c>
      <c r="L636" s="5">
        <v>151.57</v>
      </c>
      <c r="M636" s="5">
        <v>155.55000000000001</v>
      </c>
      <c r="N636" s="5">
        <v>153.54</v>
      </c>
      <c r="O636" s="5">
        <v>151.57</v>
      </c>
      <c r="P636" s="5">
        <v>155.55000000000001</v>
      </c>
      <c r="Q636" s="5">
        <v>153.54</v>
      </c>
      <c r="R636" s="5">
        <v>151.57</v>
      </c>
    </row>
    <row r="637" spans="1:18" x14ac:dyDescent="0.25">
      <c r="A637">
        <v>2013</v>
      </c>
      <c r="B637">
        <v>8</v>
      </c>
      <c r="C637">
        <v>2</v>
      </c>
      <c r="D637" t="str">
        <f t="shared" si="9"/>
        <v>DC201308-sem2</v>
      </c>
      <c r="E637" s="1">
        <v>41489</v>
      </c>
      <c r="F637" s="1">
        <v>41495</v>
      </c>
      <c r="G637" s="5">
        <v>168.39</v>
      </c>
      <c r="H637" s="5">
        <v>165.84</v>
      </c>
      <c r="I637" s="5">
        <v>164.62</v>
      </c>
      <c r="J637" s="5">
        <v>168.39</v>
      </c>
      <c r="K637" s="5">
        <v>165.84</v>
      </c>
      <c r="L637" s="5">
        <v>164.62</v>
      </c>
      <c r="M637" s="5">
        <v>168.39</v>
      </c>
      <c r="N637" s="5">
        <v>165.84</v>
      </c>
      <c r="O637" s="5">
        <v>164.62</v>
      </c>
      <c r="P637" s="5">
        <v>168.39</v>
      </c>
      <c r="Q637" s="5">
        <v>165.84</v>
      </c>
      <c r="R637" s="5">
        <v>164.62</v>
      </c>
    </row>
    <row r="638" spans="1:18" x14ac:dyDescent="0.25">
      <c r="A638">
        <v>2013</v>
      </c>
      <c r="B638">
        <v>8</v>
      </c>
      <c r="C638">
        <v>3</v>
      </c>
      <c r="D638" t="str">
        <f t="shared" si="9"/>
        <v>DC201308-sem3</v>
      </c>
      <c r="E638" s="1">
        <v>41496</v>
      </c>
      <c r="F638" s="1">
        <v>41502</v>
      </c>
      <c r="G638" s="5">
        <v>151.6</v>
      </c>
      <c r="H638" s="5">
        <v>148.80000000000001</v>
      </c>
      <c r="I638" s="5">
        <v>143.77000000000001</v>
      </c>
      <c r="J638" s="5">
        <v>143.77000000000001</v>
      </c>
      <c r="K638" s="5">
        <v>143.77000000000001</v>
      </c>
      <c r="L638" s="5">
        <v>14.13</v>
      </c>
      <c r="M638" s="5">
        <v>151.6</v>
      </c>
      <c r="N638" s="5">
        <v>148.80000000000001</v>
      </c>
      <c r="O638" s="5">
        <v>148.80000000000001</v>
      </c>
      <c r="P638" s="5">
        <v>151.6</v>
      </c>
      <c r="Q638" s="5">
        <v>148.80000000000001</v>
      </c>
      <c r="R638" s="5">
        <v>143.77000000000001</v>
      </c>
    </row>
    <row r="639" spans="1:18" x14ac:dyDescent="0.25">
      <c r="A639">
        <v>2013</v>
      </c>
      <c r="B639">
        <v>8</v>
      </c>
      <c r="C639">
        <v>4</v>
      </c>
      <c r="D639" t="str">
        <f t="shared" si="9"/>
        <v>DC201308-sem4</v>
      </c>
      <c r="E639" s="1">
        <v>41503</v>
      </c>
      <c r="F639" s="1">
        <v>41509</v>
      </c>
      <c r="G639" s="5">
        <v>176.91</v>
      </c>
      <c r="H639" s="5">
        <v>174.06</v>
      </c>
      <c r="I639" s="5">
        <v>169.16</v>
      </c>
      <c r="J639" s="5">
        <v>169.16</v>
      </c>
      <c r="K639" s="5">
        <v>169.16</v>
      </c>
      <c r="L639" s="5">
        <v>151.27000000000001</v>
      </c>
      <c r="M639" s="5">
        <v>176.91</v>
      </c>
      <c r="N639" s="5">
        <v>174.06</v>
      </c>
      <c r="O639" s="5">
        <v>174.06</v>
      </c>
      <c r="P639" s="5">
        <v>176.91</v>
      </c>
      <c r="Q639" s="5">
        <v>174.06</v>
      </c>
      <c r="R639" s="5">
        <v>169.16</v>
      </c>
    </row>
    <row r="640" spans="1:18" x14ac:dyDescent="0.25">
      <c r="A640">
        <v>2013</v>
      </c>
      <c r="B640">
        <v>8</v>
      </c>
      <c r="C640">
        <v>5</v>
      </c>
      <c r="D640" t="str">
        <f t="shared" si="9"/>
        <v>DC201308-sem5</v>
      </c>
      <c r="E640" s="1">
        <v>41510</v>
      </c>
      <c r="F640" s="1">
        <v>41516</v>
      </c>
      <c r="G640" s="5">
        <v>161.43</v>
      </c>
      <c r="H640" s="5">
        <v>159.26</v>
      </c>
      <c r="I640" s="5">
        <v>153.22999999999999</v>
      </c>
      <c r="J640" s="5">
        <v>153.22999999999999</v>
      </c>
      <c r="K640" s="5">
        <v>153.22999999999999</v>
      </c>
      <c r="L640" s="5">
        <v>116.29</v>
      </c>
      <c r="M640" s="5">
        <v>161.43</v>
      </c>
      <c r="N640" s="5">
        <v>159.26</v>
      </c>
      <c r="O640" s="5">
        <v>159.26</v>
      </c>
      <c r="P640" s="5">
        <v>161.43</v>
      </c>
      <c r="Q640" s="5">
        <v>159.26</v>
      </c>
      <c r="R640" s="5">
        <v>153.22999999999999</v>
      </c>
    </row>
    <row r="641" spans="1:18" x14ac:dyDescent="0.25">
      <c r="A641">
        <v>2013</v>
      </c>
      <c r="B641">
        <v>9</v>
      </c>
      <c r="C641">
        <v>1</v>
      </c>
      <c r="D641" t="str">
        <f t="shared" si="9"/>
        <v>DC201309-sem1</v>
      </c>
      <c r="E641" s="1">
        <v>41517</v>
      </c>
      <c r="F641" s="1">
        <v>41523</v>
      </c>
      <c r="G641" s="5">
        <v>263.68</v>
      </c>
      <c r="H641" s="5">
        <v>259.04000000000002</v>
      </c>
      <c r="I641" s="5">
        <v>255.16</v>
      </c>
      <c r="J641" s="5">
        <v>255.16</v>
      </c>
      <c r="K641" s="5">
        <v>255.16</v>
      </c>
      <c r="L641" s="5">
        <v>244.48</v>
      </c>
      <c r="M641" s="5">
        <v>263.68</v>
      </c>
      <c r="N641" s="5">
        <v>259.04000000000002</v>
      </c>
      <c r="O641" s="5">
        <v>255.16</v>
      </c>
      <c r="P641" s="5">
        <v>263.68</v>
      </c>
      <c r="Q641" s="5">
        <v>259.04000000000002</v>
      </c>
      <c r="R641" s="5">
        <v>255.16</v>
      </c>
    </row>
    <row r="642" spans="1:18" x14ac:dyDescent="0.25">
      <c r="A642">
        <v>2013</v>
      </c>
      <c r="B642">
        <v>9</v>
      </c>
      <c r="C642">
        <v>2</v>
      </c>
      <c r="D642" t="str">
        <f t="shared" si="9"/>
        <v>DC201309-sem2</v>
      </c>
      <c r="E642" s="1">
        <v>41524</v>
      </c>
      <c r="F642" s="1">
        <v>41530</v>
      </c>
      <c r="G642" s="5">
        <v>276.13</v>
      </c>
      <c r="H642" s="5">
        <v>273.97000000000003</v>
      </c>
      <c r="I642" s="5">
        <v>264.93</v>
      </c>
      <c r="J642" s="5">
        <v>265.51</v>
      </c>
      <c r="K642" s="5">
        <v>264.93</v>
      </c>
      <c r="L642" s="5">
        <v>255.64</v>
      </c>
      <c r="M642" s="5">
        <v>276.13</v>
      </c>
      <c r="N642" s="5">
        <v>273.97000000000003</v>
      </c>
      <c r="O642" s="5">
        <v>264.93</v>
      </c>
      <c r="P642" s="5">
        <v>276.13</v>
      </c>
      <c r="Q642" s="5">
        <v>273.97000000000003</v>
      </c>
      <c r="R642" s="5">
        <v>264.93</v>
      </c>
    </row>
    <row r="643" spans="1:18" x14ac:dyDescent="0.25">
      <c r="A643">
        <v>2013</v>
      </c>
      <c r="B643">
        <v>9</v>
      </c>
      <c r="C643">
        <v>3</v>
      </c>
      <c r="D643" t="str">
        <f t="shared" ref="D643:D686" si="10">"DC"&amp;A643&amp;REPT("0",2-LEN(B643))&amp;B643&amp;"-sem"&amp;C643</f>
        <v>DC201309-sem3</v>
      </c>
      <c r="E643" s="1">
        <v>41531</v>
      </c>
      <c r="F643" s="1">
        <v>41537</v>
      </c>
      <c r="G643" s="5">
        <v>278.22000000000003</v>
      </c>
      <c r="H643" s="5">
        <v>276.54000000000002</v>
      </c>
      <c r="I643" s="5">
        <v>271.58</v>
      </c>
      <c r="J643" s="5">
        <v>278.22000000000003</v>
      </c>
      <c r="K643" s="5">
        <v>276.54000000000002</v>
      </c>
      <c r="L643" s="5">
        <v>271.58</v>
      </c>
      <c r="M643" s="5">
        <v>278.22000000000003</v>
      </c>
      <c r="N643" s="5">
        <v>276.54000000000002</v>
      </c>
      <c r="O643" s="5">
        <v>271.58</v>
      </c>
      <c r="P643" s="5">
        <v>278.22000000000003</v>
      </c>
      <c r="Q643" s="5">
        <v>276.54000000000002</v>
      </c>
      <c r="R643" s="5">
        <v>271.58</v>
      </c>
    </row>
    <row r="644" spans="1:18" x14ac:dyDescent="0.25">
      <c r="A644">
        <v>2013</v>
      </c>
      <c r="B644">
        <v>9</v>
      </c>
      <c r="C644">
        <v>4</v>
      </c>
      <c r="D644" t="str">
        <f t="shared" si="10"/>
        <v>DC201309-sem4</v>
      </c>
      <c r="E644" s="1">
        <v>41538</v>
      </c>
      <c r="F644" s="1">
        <v>41544</v>
      </c>
      <c r="G644" s="5">
        <v>271.87</v>
      </c>
      <c r="H644" s="5">
        <v>266.13</v>
      </c>
      <c r="I644" s="5">
        <v>250.1</v>
      </c>
      <c r="J644" s="5">
        <v>252.58</v>
      </c>
      <c r="K644" s="5">
        <v>250.1</v>
      </c>
      <c r="L644" s="5">
        <v>242.06</v>
      </c>
      <c r="M644" s="5">
        <v>272.51</v>
      </c>
      <c r="N644" s="5">
        <v>272.51</v>
      </c>
      <c r="O644" s="5">
        <v>272.51</v>
      </c>
      <c r="P644" s="5">
        <v>272.51</v>
      </c>
      <c r="Q644" s="5">
        <v>272.51</v>
      </c>
      <c r="R644" s="5">
        <v>272.51</v>
      </c>
    </row>
    <row r="645" spans="1:18" x14ac:dyDescent="0.25">
      <c r="A645">
        <v>2013</v>
      </c>
      <c r="B645">
        <v>10</v>
      </c>
      <c r="C645">
        <v>1</v>
      </c>
      <c r="D645" t="str">
        <f t="shared" si="10"/>
        <v>DC201310-sem1</v>
      </c>
      <c r="E645" s="1">
        <v>41545</v>
      </c>
      <c r="F645" s="1">
        <v>41551</v>
      </c>
      <c r="G645" s="5">
        <v>269.73</v>
      </c>
      <c r="H645" s="5">
        <v>268.06</v>
      </c>
      <c r="I645" s="5">
        <v>260.29000000000002</v>
      </c>
      <c r="J645" s="5">
        <v>260.29000000000002</v>
      </c>
      <c r="K645" s="5">
        <v>260.29000000000002</v>
      </c>
      <c r="L645" s="5">
        <v>27.33</v>
      </c>
      <c r="M645" s="5">
        <v>269.73</v>
      </c>
      <c r="N645" s="5">
        <v>268.06</v>
      </c>
      <c r="O645" s="5">
        <v>265.47000000000003</v>
      </c>
      <c r="P645" s="5">
        <v>269.73</v>
      </c>
      <c r="Q645" s="5">
        <v>268.06</v>
      </c>
      <c r="R645" s="5">
        <v>265.47000000000003</v>
      </c>
    </row>
    <row r="646" spans="1:18" x14ac:dyDescent="0.25">
      <c r="A646">
        <v>2013</v>
      </c>
      <c r="B646">
        <v>10</v>
      </c>
      <c r="C646">
        <v>2</v>
      </c>
      <c r="D646" t="str">
        <f t="shared" si="10"/>
        <v>DC201310-sem2</v>
      </c>
      <c r="E646" s="1">
        <v>41552</v>
      </c>
      <c r="F646" s="1">
        <v>41558</v>
      </c>
      <c r="G646" s="5">
        <v>254.35</v>
      </c>
      <c r="H646" s="5">
        <v>249.15</v>
      </c>
      <c r="I646" s="5">
        <v>227.93</v>
      </c>
      <c r="J646" s="5">
        <v>138.13</v>
      </c>
      <c r="K646" s="5">
        <v>138.13</v>
      </c>
      <c r="L646" s="5">
        <v>14.13</v>
      </c>
      <c r="M646" s="5">
        <v>254.35</v>
      </c>
      <c r="N646" s="5">
        <v>254.35</v>
      </c>
      <c r="O646" s="5">
        <v>255.44</v>
      </c>
      <c r="P646" s="5">
        <v>254.35</v>
      </c>
      <c r="Q646" s="5">
        <v>249.15</v>
      </c>
      <c r="R646" s="5">
        <v>227.93</v>
      </c>
    </row>
    <row r="647" spans="1:18" x14ac:dyDescent="0.25">
      <c r="A647">
        <v>2013</v>
      </c>
      <c r="B647">
        <v>10</v>
      </c>
      <c r="C647">
        <v>3</v>
      </c>
      <c r="D647" t="str">
        <f t="shared" si="10"/>
        <v>DC201310-sem3</v>
      </c>
      <c r="E647" s="1">
        <v>41559</v>
      </c>
      <c r="F647" s="1">
        <v>41565</v>
      </c>
      <c r="G647" s="5">
        <v>259.29000000000002</v>
      </c>
      <c r="H647" s="5">
        <v>254.33</v>
      </c>
      <c r="I647" s="5">
        <v>237.72</v>
      </c>
      <c r="J647" s="5">
        <v>237.72</v>
      </c>
      <c r="K647" s="5">
        <v>237.72</v>
      </c>
      <c r="L647" s="5">
        <v>232.99</v>
      </c>
      <c r="M647" s="5">
        <v>259.29000000000002</v>
      </c>
      <c r="N647" s="5">
        <v>254.33</v>
      </c>
      <c r="O647" s="5">
        <v>250.86</v>
      </c>
      <c r="P647" s="5">
        <v>259.29000000000002</v>
      </c>
      <c r="Q647" s="5">
        <v>254.33</v>
      </c>
      <c r="R647" s="5">
        <v>250.86</v>
      </c>
    </row>
    <row r="648" spans="1:18" x14ac:dyDescent="0.25">
      <c r="A648">
        <v>2013</v>
      </c>
      <c r="B648">
        <v>10</v>
      </c>
      <c r="C648">
        <v>4</v>
      </c>
      <c r="D648" t="str">
        <f t="shared" si="10"/>
        <v>DC201310-sem4</v>
      </c>
      <c r="E648" s="1">
        <v>41566</v>
      </c>
      <c r="F648" s="1">
        <v>41572</v>
      </c>
      <c r="G648" s="5">
        <v>255.87</v>
      </c>
      <c r="H648" s="5">
        <v>252.59</v>
      </c>
      <c r="I648" s="5">
        <v>242.2</v>
      </c>
      <c r="J648" s="5">
        <v>244.81</v>
      </c>
      <c r="K648" s="5">
        <v>244.81</v>
      </c>
      <c r="L648" s="5">
        <v>242.2</v>
      </c>
      <c r="M648" s="5">
        <v>270.87</v>
      </c>
      <c r="N648" s="5">
        <v>270.87</v>
      </c>
      <c r="O648" s="5">
        <v>270.87</v>
      </c>
      <c r="P648" s="5">
        <v>255.87</v>
      </c>
      <c r="Q648" s="5">
        <v>252.59</v>
      </c>
      <c r="R648" s="5">
        <v>242.2</v>
      </c>
    </row>
    <row r="649" spans="1:18" x14ac:dyDescent="0.25">
      <c r="A649">
        <v>2013</v>
      </c>
      <c r="B649">
        <v>11</v>
      </c>
      <c r="C649">
        <v>1</v>
      </c>
      <c r="D649" t="str">
        <f t="shared" si="10"/>
        <v>DC201311-sem1</v>
      </c>
      <c r="E649" s="1">
        <v>41573</v>
      </c>
      <c r="F649" s="1">
        <v>41579</v>
      </c>
      <c r="G649" s="5">
        <v>311.47000000000003</v>
      </c>
      <c r="H649" s="5">
        <v>311.47000000000003</v>
      </c>
      <c r="I649" s="5">
        <v>305.29000000000002</v>
      </c>
      <c r="J649" s="5">
        <v>311.47000000000003</v>
      </c>
      <c r="K649" s="5">
        <v>311.47000000000003</v>
      </c>
      <c r="L649" s="5">
        <v>305.29000000000002</v>
      </c>
      <c r="M649" s="5">
        <v>311.47000000000003</v>
      </c>
      <c r="N649" s="5">
        <v>311.47000000000003</v>
      </c>
      <c r="O649" s="5">
        <v>305.29000000000002</v>
      </c>
      <c r="P649" s="5">
        <v>311.47000000000003</v>
      </c>
      <c r="Q649" s="5">
        <v>311.47000000000003</v>
      </c>
      <c r="R649" s="5">
        <v>305.29000000000002</v>
      </c>
    </row>
    <row r="650" spans="1:18" x14ac:dyDescent="0.25">
      <c r="A650">
        <v>2013</v>
      </c>
      <c r="B650">
        <v>11</v>
      </c>
      <c r="C650">
        <v>2</v>
      </c>
      <c r="D650" t="str">
        <f t="shared" si="10"/>
        <v>DC201311-sem2</v>
      </c>
      <c r="E650" s="1">
        <v>41580</v>
      </c>
      <c r="F650" s="1">
        <v>41586</v>
      </c>
      <c r="G650" s="5">
        <v>326.08999999999997</v>
      </c>
      <c r="H650" s="5">
        <v>322.11</v>
      </c>
      <c r="I650" s="5">
        <v>308.11</v>
      </c>
      <c r="J650" s="5">
        <v>326.08999999999997</v>
      </c>
      <c r="K650" s="5">
        <v>322.11</v>
      </c>
      <c r="L650" s="5">
        <v>308.11</v>
      </c>
      <c r="M650" s="5">
        <v>326.08999999999997</v>
      </c>
      <c r="N650" s="5">
        <v>322.11</v>
      </c>
      <c r="O650" s="5">
        <v>308.11</v>
      </c>
      <c r="P650" s="5">
        <v>326.08999999999997</v>
      </c>
      <c r="Q650" s="5">
        <v>322.11</v>
      </c>
      <c r="R650" s="5">
        <v>308.11</v>
      </c>
    </row>
    <row r="651" spans="1:18" x14ac:dyDescent="0.25">
      <c r="A651">
        <v>2013</v>
      </c>
      <c r="B651">
        <v>11</v>
      </c>
      <c r="C651">
        <v>3</v>
      </c>
      <c r="D651" t="str">
        <f t="shared" si="10"/>
        <v>DC201311-sem3</v>
      </c>
      <c r="E651" s="1">
        <v>41587</v>
      </c>
      <c r="F651" s="1">
        <v>41593</v>
      </c>
      <c r="G651" s="5">
        <v>319.24</v>
      </c>
      <c r="H651" s="5">
        <v>319.24</v>
      </c>
      <c r="I651" s="5">
        <v>316.08999999999997</v>
      </c>
      <c r="J651" s="5">
        <v>319.24</v>
      </c>
      <c r="K651" s="5">
        <v>319.24</v>
      </c>
      <c r="L651" s="5">
        <v>316.08999999999997</v>
      </c>
      <c r="M651" s="5">
        <v>319.24</v>
      </c>
      <c r="N651" s="5">
        <v>319.24</v>
      </c>
      <c r="O651" s="5">
        <v>316.08999999999997</v>
      </c>
      <c r="P651" s="5">
        <v>319.24</v>
      </c>
      <c r="Q651" s="5">
        <v>319.24</v>
      </c>
      <c r="R651" s="5">
        <v>316.08999999999997</v>
      </c>
    </row>
    <row r="652" spans="1:18" x14ac:dyDescent="0.25">
      <c r="A652">
        <v>2013</v>
      </c>
      <c r="B652">
        <v>11</v>
      </c>
      <c r="C652">
        <v>4</v>
      </c>
      <c r="D652" t="str">
        <f t="shared" si="10"/>
        <v>DC201311-sem4</v>
      </c>
      <c r="E652" s="1">
        <v>41594</v>
      </c>
      <c r="F652" s="1">
        <v>41600</v>
      </c>
      <c r="G652" s="5">
        <v>340.44</v>
      </c>
      <c r="H652" s="5">
        <v>340.44</v>
      </c>
      <c r="I652" s="5">
        <v>329.82</v>
      </c>
      <c r="J652" s="5">
        <v>340.44</v>
      </c>
      <c r="K652" s="5">
        <v>340.44</v>
      </c>
      <c r="L652" s="5">
        <v>329.82</v>
      </c>
      <c r="M652" s="5">
        <v>340.44</v>
      </c>
      <c r="N652" s="5">
        <v>340.44</v>
      </c>
      <c r="O652" s="5">
        <v>329.82</v>
      </c>
      <c r="P652" s="5">
        <v>340.44</v>
      </c>
      <c r="Q652" s="5">
        <v>340.44</v>
      </c>
      <c r="R652" s="5">
        <v>329.82</v>
      </c>
    </row>
    <row r="653" spans="1:18" x14ac:dyDescent="0.25">
      <c r="A653">
        <v>2013</v>
      </c>
      <c r="B653">
        <v>11</v>
      </c>
      <c r="C653">
        <v>5</v>
      </c>
      <c r="D653" t="str">
        <f t="shared" si="10"/>
        <v>DC201311-sem5</v>
      </c>
      <c r="E653" s="1">
        <v>41601</v>
      </c>
      <c r="F653" s="1">
        <v>41607</v>
      </c>
      <c r="G653" s="5">
        <v>362.69</v>
      </c>
      <c r="H653" s="5">
        <v>362.69</v>
      </c>
      <c r="I653" s="5">
        <v>353.79</v>
      </c>
      <c r="J653" s="5">
        <v>362.69</v>
      </c>
      <c r="K653" s="5">
        <v>362.69</v>
      </c>
      <c r="L653" s="5">
        <v>353.79</v>
      </c>
      <c r="M653" s="5">
        <v>362.69</v>
      </c>
      <c r="N653" s="5">
        <v>362.69</v>
      </c>
      <c r="O653" s="5">
        <v>353.79</v>
      </c>
      <c r="P653" s="5">
        <v>362.69</v>
      </c>
      <c r="Q653" s="5">
        <v>362.69</v>
      </c>
      <c r="R653" s="5">
        <v>353.79</v>
      </c>
    </row>
    <row r="654" spans="1:18" x14ac:dyDescent="0.25">
      <c r="A654">
        <v>2013</v>
      </c>
      <c r="B654">
        <v>12</v>
      </c>
      <c r="C654">
        <v>1</v>
      </c>
      <c r="D654" t="str">
        <f t="shared" si="10"/>
        <v>DC201312-sem1</v>
      </c>
      <c r="E654" s="1">
        <v>41608</v>
      </c>
      <c r="F654" s="1">
        <v>41614</v>
      </c>
      <c r="G654" s="5">
        <v>313.81</v>
      </c>
      <c r="H654" s="5">
        <v>313.81</v>
      </c>
      <c r="I654" s="5">
        <v>302.27999999999997</v>
      </c>
      <c r="J654" s="5">
        <v>313.81</v>
      </c>
      <c r="K654" s="5">
        <v>313.81</v>
      </c>
      <c r="L654" s="5">
        <v>302.27999999999997</v>
      </c>
      <c r="M654" s="5">
        <v>313.81</v>
      </c>
      <c r="N654" s="5">
        <v>313.81</v>
      </c>
      <c r="O654" s="5">
        <v>302.27999999999997</v>
      </c>
      <c r="P654" s="5">
        <v>313.81</v>
      </c>
      <c r="Q654" s="5">
        <v>313.81</v>
      </c>
      <c r="R654" s="5">
        <v>302.27999999999997</v>
      </c>
    </row>
    <row r="655" spans="1:18" x14ac:dyDescent="0.25">
      <c r="A655">
        <v>2013</v>
      </c>
      <c r="B655">
        <v>12</v>
      </c>
      <c r="C655">
        <v>2</v>
      </c>
      <c r="D655" t="str">
        <f t="shared" si="10"/>
        <v>DC201312-sem2</v>
      </c>
      <c r="E655" s="1">
        <v>41615</v>
      </c>
      <c r="F655" s="1">
        <v>41621</v>
      </c>
      <c r="G655" s="5">
        <v>282.74</v>
      </c>
      <c r="H655" s="5">
        <v>282.74</v>
      </c>
      <c r="I655" s="5">
        <v>270.33</v>
      </c>
      <c r="J655" s="5">
        <v>282.74</v>
      </c>
      <c r="K655" s="5">
        <v>282.74</v>
      </c>
      <c r="L655" s="5">
        <v>270.33</v>
      </c>
      <c r="M655" s="5">
        <v>282.74</v>
      </c>
      <c r="N655" s="5">
        <v>282.74</v>
      </c>
      <c r="O655" s="5">
        <v>282.74</v>
      </c>
      <c r="P655" s="5">
        <v>282.74</v>
      </c>
      <c r="Q655" s="5">
        <v>282.74</v>
      </c>
      <c r="R655" s="5">
        <v>270.33</v>
      </c>
    </row>
    <row r="656" spans="1:18" x14ac:dyDescent="0.25">
      <c r="A656">
        <v>2013</v>
      </c>
      <c r="B656">
        <v>12</v>
      </c>
      <c r="C656">
        <v>3</v>
      </c>
      <c r="D656" t="str">
        <f t="shared" si="10"/>
        <v>DC201312-sem3</v>
      </c>
      <c r="E656" s="1">
        <v>41622</v>
      </c>
      <c r="F656" s="1">
        <v>41628</v>
      </c>
      <c r="G656" s="5">
        <v>310.55</v>
      </c>
      <c r="H656" s="5">
        <v>310.55</v>
      </c>
      <c r="I656" s="5">
        <v>303.81</v>
      </c>
      <c r="J656" s="5">
        <v>310.55</v>
      </c>
      <c r="K656" s="5">
        <v>310.55</v>
      </c>
      <c r="L656" s="5">
        <v>303.81</v>
      </c>
      <c r="M656" s="5">
        <v>310.55</v>
      </c>
      <c r="N656" s="5">
        <v>310.55</v>
      </c>
      <c r="O656" s="5">
        <v>307.2</v>
      </c>
      <c r="P656" s="5">
        <v>310.55</v>
      </c>
      <c r="Q656" s="5">
        <v>310.55</v>
      </c>
      <c r="R656" s="5">
        <v>303.81</v>
      </c>
    </row>
    <row r="657" spans="1:18" x14ac:dyDescent="0.25">
      <c r="A657">
        <v>2013</v>
      </c>
      <c r="B657">
        <v>12</v>
      </c>
      <c r="C657">
        <v>4</v>
      </c>
      <c r="D657" t="str">
        <f t="shared" si="10"/>
        <v>DC201312-sem4</v>
      </c>
      <c r="E657" s="1">
        <v>41629</v>
      </c>
      <c r="F657" s="1">
        <v>41635</v>
      </c>
      <c r="G657" s="5">
        <v>294.91000000000003</v>
      </c>
      <c r="H657" s="5">
        <v>294.54000000000002</v>
      </c>
      <c r="I657" s="5">
        <v>293.94</v>
      </c>
      <c r="J657" s="5">
        <v>294.91000000000003</v>
      </c>
      <c r="K657" s="5">
        <v>294.54000000000002</v>
      </c>
      <c r="L657" s="5">
        <v>293.94</v>
      </c>
      <c r="M657" s="5">
        <v>294.91000000000003</v>
      </c>
      <c r="N657" s="5">
        <v>294.54000000000002</v>
      </c>
      <c r="O657" s="5">
        <v>293.94</v>
      </c>
      <c r="P657" s="5">
        <v>294.91000000000003</v>
      </c>
      <c r="Q657" s="5">
        <v>294.54000000000002</v>
      </c>
      <c r="R657" s="5">
        <v>293.94</v>
      </c>
    </row>
    <row r="658" spans="1:18" x14ac:dyDescent="0.25">
      <c r="A658">
        <v>2014</v>
      </c>
      <c r="B658">
        <v>1</v>
      </c>
      <c r="C658">
        <v>1</v>
      </c>
      <c r="D658" t="str">
        <f t="shared" si="10"/>
        <v>DC201401-sem1</v>
      </c>
      <c r="E658" s="1">
        <v>41636</v>
      </c>
      <c r="F658" s="1">
        <v>41642</v>
      </c>
      <c r="G658" s="5">
        <v>249.92</v>
      </c>
      <c r="H658" s="5">
        <v>249.92</v>
      </c>
      <c r="I658" s="5">
        <v>249.92</v>
      </c>
      <c r="J658" s="5">
        <v>249.92</v>
      </c>
      <c r="K658" s="5">
        <v>249.92</v>
      </c>
      <c r="L658" s="5">
        <v>249.92</v>
      </c>
      <c r="M658" s="5">
        <v>249.92</v>
      </c>
      <c r="N658" s="5">
        <v>249.92</v>
      </c>
      <c r="O658" s="5">
        <v>249.92</v>
      </c>
      <c r="P658" s="5">
        <v>249.92</v>
      </c>
      <c r="Q658" s="5">
        <v>249.92</v>
      </c>
      <c r="R658" s="5">
        <v>249.92</v>
      </c>
    </row>
    <row r="659" spans="1:18" x14ac:dyDescent="0.25">
      <c r="A659">
        <v>2014</v>
      </c>
      <c r="B659">
        <v>1</v>
      </c>
      <c r="C659">
        <v>2</v>
      </c>
      <c r="D659" t="str">
        <f t="shared" si="10"/>
        <v>DC201401-sem2</v>
      </c>
      <c r="E659" s="1">
        <v>41643</v>
      </c>
      <c r="F659" s="1">
        <v>41649</v>
      </c>
      <c r="G659" s="5">
        <v>286.58</v>
      </c>
      <c r="H659" s="5">
        <v>286.58</v>
      </c>
      <c r="I659" s="5">
        <v>280.22000000000003</v>
      </c>
      <c r="J659" s="5">
        <v>286.58</v>
      </c>
      <c r="K659" s="5">
        <v>286.58</v>
      </c>
      <c r="L659" s="5">
        <v>280.22000000000003</v>
      </c>
      <c r="M659" s="5">
        <v>286.58</v>
      </c>
      <c r="N659" s="5">
        <v>286.58</v>
      </c>
      <c r="O659" s="5">
        <v>280.22000000000003</v>
      </c>
      <c r="P659" s="5">
        <v>286.58</v>
      </c>
      <c r="Q659" s="5">
        <v>286.58</v>
      </c>
      <c r="R659" s="5">
        <v>116.49</v>
      </c>
    </row>
    <row r="660" spans="1:18" x14ac:dyDescent="0.25">
      <c r="A660">
        <v>2014</v>
      </c>
      <c r="B660">
        <v>1</v>
      </c>
      <c r="C660">
        <v>3</v>
      </c>
      <c r="D660" t="str">
        <f t="shared" si="10"/>
        <v>DC201401-sem3</v>
      </c>
      <c r="E660" s="1">
        <v>41650</v>
      </c>
      <c r="F660" s="1">
        <v>41656</v>
      </c>
      <c r="G660" s="5">
        <v>391.8</v>
      </c>
      <c r="H660" s="5">
        <v>391.8</v>
      </c>
      <c r="I660" s="5">
        <v>384.02</v>
      </c>
      <c r="J660" s="5">
        <v>391.8</v>
      </c>
      <c r="K660" s="5">
        <v>391.8</v>
      </c>
      <c r="L660" s="5">
        <v>384.02</v>
      </c>
      <c r="M660" s="5">
        <v>391.8</v>
      </c>
      <c r="N660" s="5">
        <v>391.8</v>
      </c>
      <c r="O660" s="5">
        <v>391.8</v>
      </c>
      <c r="P660" s="5">
        <v>391.8</v>
      </c>
      <c r="Q660" s="5">
        <v>391.8</v>
      </c>
      <c r="R660" s="5">
        <v>384.02</v>
      </c>
    </row>
    <row r="661" spans="1:18" x14ac:dyDescent="0.25">
      <c r="A661">
        <v>2014</v>
      </c>
      <c r="B661">
        <v>1</v>
      </c>
      <c r="C661">
        <v>4</v>
      </c>
      <c r="D661" t="str">
        <f t="shared" si="10"/>
        <v>DC201401-sem4</v>
      </c>
      <c r="E661" s="1">
        <v>41657</v>
      </c>
      <c r="F661" s="1">
        <v>41663</v>
      </c>
      <c r="G661" s="5">
        <v>410.67</v>
      </c>
      <c r="H661" s="5">
        <v>410.67</v>
      </c>
      <c r="I661" s="5">
        <v>409.38</v>
      </c>
      <c r="J661" s="5">
        <v>410.67</v>
      </c>
      <c r="K661" s="5">
        <v>410.67</v>
      </c>
      <c r="L661" s="5">
        <v>409.38</v>
      </c>
      <c r="M661" s="5">
        <v>410.67</v>
      </c>
      <c r="N661" s="5">
        <v>410.67</v>
      </c>
      <c r="O661" s="5">
        <v>409.38</v>
      </c>
      <c r="P661" s="5">
        <v>410.67</v>
      </c>
      <c r="Q661" s="5">
        <v>410.67</v>
      </c>
      <c r="R661" s="5">
        <v>409.38</v>
      </c>
    </row>
    <row r="662" spans="1:18" x14ac:dyDescent="0.25">
      <c r="A662">
        <v>2014</v>
      </c>
      <c r="B662">
        <v>1</v>
      </c>
      <c r="C662">
        <v>5</v>
      </c>
      <c r="D662" t="str">
        <f t="shared" si="10"/>
        <v>DC201401-sem5</v>
      </c>
      <c r="E662" s="1">
        <v>41664</v>
      </c>
      <c r="F662" s="1">
        <v>41670</v>
      </c>
      <c r="G662" s="5">
        <v>486.59</v>
      </c>
      <c r="H662" s="5">
        <v>486.59</v>
      </c>
      <c r="I662" s="5">
        <v>480.64</v>
      </c>
      <c r="J662" s="5">
        <v>486.59</v>
      </c>
      <c r="K662" s="5">
        <v>486.59</v>
      </c>
      <c r="L662" s="5">
        <v>480.64</v>
      </c>
      <c r="M662" s="5">
        <v>486.59</v>
      </c>
      <c r="N662" s="5">
        <v>486.59</v>
      </c>
      <c r="O662" s="5">
        <v>486.59</v>
      </c>
      <c r="P662" s="5">
        <v>486.59</v>
      </c>
      <c r="Q662" s="5">
        <v>486.59</v>
      </c>
      <c r="R662" s="5">
        <v>480.64</v>
      </c>
    </row>
    <row r="663" spans="1:18" x14ac:dyDescent="0.25">
      <c r="A663">
        <v>2014</v>
      </c>
      <c r="B663">
        <v>2</v>
      </c>
      <c r="C663">
        <v>1</v>
      </c>
      <c r="D663" t="str">
        <f t="shared" si="10"/>
        <v>DC201402-sem1</v>
      </c>
      <c r="E663" s="1">
        <v>41671</v>
      </c>
      <c r="F663" s="1">
        <v>41677</v>
      </c>
      <c r="G663" s="5">
        <v>822.83</v>
      </c>
      <c r="H663" s="5">
        <v>822.83</v>
      </c>
      <c r="I663" s="5">
        <v>822.83</v>
      </c>
      <c r="J663" s="5">
        <v>822.83</v>
      </c>
      <c r="K663" s="5">
        <v>822.83</v>
      </c>
      <c r="L663" s="5">
        <v>822.83</v>
      </c>
      <c r="M663" s="5">
        <v>822.83</v>
      </c>
      <c r="N663" s="5">
        <v>822.83</v>
      </c>
      <c r="O663" s="5">
        <v>822.83</v>
      </c>
      <c r="P663" s="5">
        <v>822.83</v>
      </c>
      <c r="Q663" s="5">
        <v>822.83</v>
      </c>
      <c r="R663" s="5">
        <v>822.83</v>
      </c>
    </row>
    <row r="664" spans="1:18" x14ac:dyDescent="0.25">
      <c r="A664">
        <v>2014</v>
      </c>
      <c r="B664">
        <v>2</v>
      </c>
      <c r="C664">
        <v>2</v>
      </c>
      <c r="D664" t="str">
        <f t="shared" si="10"/>
        <v>DC201402-sem2</v>
      </c>
      <c r="E664" s="1">
        <v>41678</v>
      </c>
      <c r="F664" s="1">
        <v>41684</v>
      </c>
      <c r="G664" s="5">
        <v>822.83</v>
      </c>
      <c r="H664" s="5">
        <v>822.83</v>
      </c>
      <c r="I664" s="5">
        <v>822.83</v>
      </c>
      <c r="J664" s="5">
        <v>822.83</v>
      </c>
      <c r="K664" s="5">
        <v>822.83</v>
      </c>
      <c r="L664" s="5">
        <v>822.83</v>
      </c>
      <c r="M664" s="5">
        <v>744.88</v>
      </c>
      <c r="N664" s="5">
        <v>744.88</v>
      </c>
      <c r="O664" s="5">
        <v>732.99</v>
      </c>
      <c r="P664" s="5">
        <v>612.71</v>
      </c>
      <c r="Q664" s="5">
        <v>160.61000000000001</v>
      </c>
      <c r="R664" s="5">
        <v>152.08000000000001</v>
      </c>
    </row>
    <row r="665" spans="1:18" x14ac:dyDescent="0.25">
      <c r="A665">
        <v>2014</v>
      </c>
      <c r="B665">
        <v>2</v>
      </c>
      <c r="C665">
        <v>3</v>
      </c>
      <c r="D665" t="str">
        <f t="shared" si="10"/>
        <v>DC201402-sem3</v>
      </c>
      <c r="E665" s="1">
        <v>41685</v>
      </c>
      <c r="F665" s="1">
        <v>41691</v>
      </c>
      <c r="G665" s="5">
        <v>822.83</v>
      </c>
      <c r="H665" s="5">
        <v>822.83</v>
      </c>
      <c r="I665" s="5">
        <v>822.83</v>
      </c>
      <c r="J665" s="5">
        <v>822.83</v>
      </c>
      <c r="K665" s="5">
        <v>822.83</v>
      </c>
      <c r="L665" s="5">
        <v>822.83</v>
      </c>
      <c r="M665" s="5">
        <v>732.99</v>
      </c>
      <c r="N665" s="5">
        <v>732.99</v>
      </c>
      <c r="O665" s="5">
        <v>725.22</v>
      </c>
      <c r="P665" s="5">
        <v>612.71</v>
      </c>
      <c r="Q665" s="5">
        <v>612.71</v>
      </c>
      <c r="R665" s="5">
        <v>506.33</v>
      </c>
    </row>
    <row r="666" spans="1:18" x14ac:dyDescent="0.25">
      <c r="A666">
        <v>2014</v>
      </c>
      <c r="B666">
        <v>2</v>
      </c>
      <c r="C666">
        <v>4</v>
      </c>
      <c r="D666" t="str">
        <f t="shared" si="10"/>
        <v>DC201402-sem4</v>
      </c>
      <c r="E666" s="1">
        <v>41692</v>
      </c>
      <c r="F666" s="1">
        <v>41698</v>
      </c>
      <c r="G666" s="5">
        <v>822.83</v>
      </c>
      <c r="H666" s="5">
        <v>822.83</v>
      </c>
      <c r="I666" s="5">
        <v>822.83</v>
      </c>
      <c r="J666" s="5">
        <v>822.83</v>
      </c>
      <c r="K666" s="5">
        <v>822.83</v>
      </c>
      <c r="L666" s="5">
        <v>822.83</v>
      </c>
      <c r="M666" s="5">
        <v>732.99</v>
      </c>
      <c r="N666" s="5">
        <v>732.99</v>
      </c>
      <c r="O666" s="5">
        <v>725.22</v>
      </c>
      <c r="P666" s="5">
        <v>612.71</v>
      </c>
      <c r="Q666" s="5">
        <v>160.61000000000001</v>
      </c>
      <c r="R666" s="5">
        <v>152.08000000000001</v>
      </c>
    </row>
    <row r="667" spans="1:18" x14ac:dyDescent="0.25">
      <c r="A667">
        <v>2014</v>
      </c>
      <c r="B667">
        <v>3</v>
      </c>
      <c r="C667">
        <v>1</v>
      </c>
      <c r="D667" t="str">
        <f t="shared" si="10"/>
        <v>DC201403-sem1</v>
      </c>
      <c r="E667" s="1">
        <v>41699</v>
      </c>
      <c r="F667" s="1">
        <v>41705</v>
      </c>
      <c r="G667" s="5">
        <v>822.83</v>
      </c>
      <c r="H667" s="5">
        <v>822.83</v>
      </c>
      <c r="I667" s="5">
        <v>822.83</v>
      </c>
      <c r="J667" s="5">
        <v>822.83</v>
      </c>
      <c r="K667" s="5">
        <v>822.83</v>
      </c>
      <c r="L667" s="5">
        <v>822.83</v>
      </c>
      <c r="M667" s="5">
        <v>634.86</v>
      </c>
      <c r="N667" s="5">
        <v>625.25</v>
      </c>
      <c r="O667" s="5">
        <v>625.25</v>
      </c>
      <c r="P667" s="5">
        <v>634.86</v>
      </c>
      <c r="Q667" s="5">
        <v>612.71</v>
      </c>
      <c r="R667" s="5">
        <v>119.8</v>
      </c>
    </row>
    <row r="668" spans="1:18" x14ac:dyDescent="0.25">
      <c r="A668">
        <v>2014</v>
      </c>
      <c r="B668">
        <v>3</v>
      </c>
      <c r="C668">
        <v>2</v>
      </c>
      <c r="D668" t="str">
        <f t="shared" si="10"/>
        <v>DC201403-sem2</v>
      </c>
      <c r="E668" s="1">
        <v>41706</v>
      </c>
      <c r="F668" s="1">
        <v>41712</v>
      </c>
      <c r="G668" s="5">
        <v>822.83</v>
      </c>
      <c r="H668" s="5">
        <v>822.83</v>
      </c>
      <c r="I668" s="5">
        <v>822.83</v>
      </c>
      <c r="J668" s="5">
        <v>822.83</v>
      </c>
      <c r="K668" s="5">
        <v>822.83</v>
      </c>
      <c r="L668" s="5">
        <v>822.83</v>
      </c>
      <c r="M668" s="5">
        <v>725.25</v>
      </c>
      <c r="N668" s="5">
        <v>725.25</v>
      </c>
      <c r="O668" s="5">
        <v>725.25</v>
      </c>
      <c r="P668" s="5">
        <v>725.25</v>
      </c>
      <c r="Q668" s="5">
        <v>725.25</v>
      </c>
      <c r="R668" s="5">
        <v>612.71</v>
      </c>
    </row>
    <row r="669" spans="1:18" x14ac:dyDescent="0.25">
      <c r="A669">
        <v>2014</v>
      </c>
      <c r="B669">
        <v>3</v>
      </c>
      <c r="C669">
        <v>3</v>
      </c>
      <c r="D669" t="str">
        <f t="shared" si="10"/>
        <v>DC201403-sem3</v>
      </c>
      <c r="E669" s="1">
        <v>41713</v>
      </c>
      <c r="F669" s="1">
        <v>41719</v>
      </c>
      <c r="G669" s="5">
        <v>822.83</v>
      </c>
      <c r="H669" s="5">
        <v>822.83</v>
      </c>
      <c r="I669" s="5">
        <v>822.83</v>
      </c>
      <c r="J669" s="5">
        <v>822.83</v>
      </c>
      <c r="K669" s="5">
        <v>822.83</v>
      </c>
      <c r="L669" s="5">
        <v>822.83</v>
      </c>
      <c r="M669" s="5">
        <v>822.83</v>
      </c>
      <c r="N669" s="5">
        <v>822.83</v>
      </c>
      <c r="O669" s="5">
        <v>822.83</v>
      </c>
      <c r="P669" s="5">
        <v>822.83</v>
      </c>
      <c r="Q669" s="5">
        <v>822.83</v>
      </c>
      <c r="R669" s="5">
        <v>822.83</v>
      </c>
    </row>
    <row r="670" spans="1:18" x14ac:dyDescent="0.25">
      <c r="A670">
        <v>2014</v>
      </c>
      <c r="B670">
        <v>3</v>
      </c>
      <c r="C670">
        <v>4</v>
      </c>
      <c r="D670" t="str">
        <f t="shared" si="10"/>
        <v>DC201403-sem4</v>
      </c>
      <c r="E670" s="1">
        <v>41720</v>
      </c>
      <c r="F670" s="1">
        <v>41726</v>
      </c>
      <c r="G670" s="5">
        <v>822.83</v>
      </c>
      <c r="H670" s="5">
        <v>822.83</v>
      </c>
      <c r="I670" s="5">
        <v>822.83</v>
      </c>
      <c r="J670" s="5">
        <v>822.83</v>
      </c>
      <c r="K670" s="5">
        <v>822.83</v>
      </c>
      <c r="L670" s="5">
        <v>822.83</v>
      </c>
      <c r="M670" s="5">
        <v>822.83</v>
      </c>
      <c r="N670" s="5">
        <v>822.83</v>
      </c>
      <c r="O670" s="5">
        <v>822.83</v>
      </c>
      <c r="P670" s="5">
        <v>822.83</v>
      </c>
      <c r="Q670" s="5">
        <v>822.83</v>
      </c>
      <c r="R670" s="5">
        <v>822.83</v>
      </c>
    </row>
    <row r="671" spans="1:18" x14ac:dyDescent="0.25">
      <c r="A671">
        <v>2014</v>
      </c>
      <c r="B671">
        <v>4</v>
      </c>
      <c r="C671">
        <v>1</v>
      </c>
      <c r="D671" t="str">
        <f t="shared" si="10"/>
        <v>DC201404-sem1</v>
      </c>
      <c r="E671" s="1">
        <v>41727</v>
      </c>
      <c r="F671" s="1">
        <v>41733</v>
      </c>
      <c r="G671" s="5">
        <v>822.83</v>
      </c>
      <c r="H671" s="5">
        <v>822.83</v>
      </c>
      <c r="I671" s="5">
        <v>822.83</v>
      </c>
      <c r="J671" s="5">
        <v>822.83</v>
      </c>
      <c r="K671" s="5">
        <v>822.83</v>
      </c>
      <c r="L671" s="5">
        <v>822.83</v>
      </c>
      <c r="M671" s="5">
        <v>822.83</v>
      </c>
      <c r="N671" s="5">
        <v>822.83</v>
      </c>
      <c r="O671" s="5">
        <v>822.83</v>
      </c>
      <c r="P671" s="5">
        <v>822.83</v>
      </c>
      <c r="Q671" s="5">
        <v>822.83</v>
      </c>
      <c r="R671" s="5">
        <v>822.83</v>
      </c>
    </row>
    <row r="672" spans="1:18" x14ac:dyDescent="0.25">
      <c r="A672">
        <v>2014</v>
      </c>
      <c r="B672">
        <v>4</v>
      </c>
      <c r="C672">
        <v>2</v>
      </c>
      <c r="D672" t="str">
        <f t="shared" si="10"/>
        <v>DC201404-sem2</v>
      </c>
      <c r="E672" s="1">
        <v>41734</v>
      </c>
      <c r="F672" s="1">
        <v>41740</v>
      </c>
      <c r="G672" s="5">
        <v>822.83</v>
      </c>
      <c r="H672" s="5">
        <v>822.83</v>
      </c>
      <c r="I672" s="5">
        <v>822.83</v>
      </c>
      <c r="J672" s="5">
        <v>822.83</v>
      </c>
      <c r="K672" s="5">
        <v>822.83</v>
      </c>
      <c r="L672" s="5">
        <v>822.83</v>
      </c>
      <c r="M672" s="5">
        <v>822.83</v>
      </c>
      <c r="N672" s="5">
        <v>822.83</v>
      </c>
      <c r="O672" s="5">
        <v>821.65</v>
      </c>
      <c r="P672" s="5">
        <v>822.83</v>
      </c>
      <c r="Q672" s="5">
        <v>822.83</v>
      </c>
      <c r="R672" s="5">
        <v>637.03</v>
      </c>
    </row>
    <row r="673" spans="1:18" x14ac:dyDescent="0.25">
      <c r="A673">
        <v>2014</v>
      </c>
      <c r="B673">
        <v>4</v>
      </c>
      <c r="C673">
        <v>3</v>
      </c>
      <c r="D673" t="str">
        <f t="shared" si="10"/>
        <v>DC201404-sem3</v>
      </c>
      <c r="E673" s="1">
        <v>41741</v>
      </c>
      <c r="F673" s="1">
        <v>41747</v>
      </c>
      <c r="G673" s="5">
        <v>822.83</v>
      </c>
      <c r="H673" s="5">
        <v>822.83</v>
      </c>
      <c r="I673" s="5">
        <v>822.83</v>
      </c>
      <c r="J673" s="5">
        <v>822.83</v>
      </c>
      <c r="K673" s="5">
        <v>822.83</v>
      </c>
      <c r="L673" s="5">
        <v>822.83</v>
      </c>
      <c r="M673" s="5">
        <v>771.31</v>
      </c>
      <c r="N673" s="5">
        <v>750.1</v>
      </c>
      <c r="O673" s="5">
        <v>750.1</v>
      </c>
      <c r="P673" s="5">
        <v>771.31</v>
      </c>
      <c r="Q673" s="5">
        <v>750.1</v>
      </c>
      <c r="R673" s="5">
        <v>619.64</v>
      </c>
    </row>
    <row r="674" spans="1:18" x14ac:dyDescent="0.25">
      <c r="A674">
        <v>2014</v>
      </c>
      <c r="B674">
        <v>4</v>
      </c>
      <c r="C674">
        <v>4</v>
      </c>
      <c r="D674" t="str">
        <f t="shared" si="10"/>
        <v>DC201404-sem4</v>
      </c>
      <c r="E674" s="1">
        <v>41748</v>
      </c>
      <c r="F674" s="1">
        <v>41754</v>
      </c>
      <c r="G674" s="5">
        <v>822.83</v>
      </c>
      <c r="H674" s="5">
        <v>822.83</v>
      </c>
      <c r="I674" s="5">
        <v>822.83</v>
      </c>
      <c r="J674" s="5">
        <v>822.83</v>
      </c>
      <c r="K674" s="5">
        <v>822.83</v>
      </c>
      <c r="L674" s="5">
        <v>822.83</v>
      </c>
      <c r="M674" s="5">
        <v>714.81</v>
      </c>
      <c r="N674" s="5">
        <v>697.82</v>
      </c>
      <c r="O674" s="5">
        <v>689.95</v>
      </c>
      <c r="P674" s="5">
        <v>714.81</v>
      </c>
      <c r="Q674" s="5">
        <v>697.82</v>
      </c>
      <c r="R674" s="5">
        <v>619.64</v>
      </c>
    </row>
    <row r="675" spans="1:18" x14ac:dyDescent="0.25">
      <c r="A675">
        <v>2014</v>
      </c>
      <c r="B675">
        <v>5</v>
      </c>
      <c r="C675">
        <v>1</v>
      </c>
      <c r="D675" t="str">
        <f t="shared" si="10"/>
        <v>DC201405-sem1</v>
      </c>
      <c r="E675" s="1">
        <v>41755</v>
      </c>
      <c r="F675" s="1">
        <v>41761</v>
      </c>
      <c r="G675" s="5">
        <v>822.83</v>
      </c>
      <c r="H675" s="5">
        <v>822.83</v>
      </c>
      <c r="I675" s="5">
        <v>822.83</v>
      </c>
      <c r="J675" s="5">
        <v>822.83</v>
      </c>
      <c r="K675" s="5">
        <v>822.83</v>
      </c>
      <c r="L675" s="5">
        <v>822.83</v>
      </c>
      <c r="M675" s="5">
        <v>646.14</v>
      </c>
      <c r="N675" s="5">
        <v>632.61</v>
      </c>
      <c r="O675" s="5">
        <v>619.91</v>
      </c>
      <c r="P675" s="5">
        <v>619.64</v>
      </c>
      <c r="Q675" s="5">
        <v>194.35</v>
      </c>
      <c r="R675" s="5">
        <v>160.61000000000001</v>
      </c>
    </row>
    <row r="676" spans="1:18" x14ac:dyDescent="0.25">
      <c r="A676">
        <v>2014</v>
      </c>
      <c r="B676">
        <v>5</v>
      </c>
      <c r="C676">
        <v>2</v>
      </c>
      <c r="D676" t="str">
        <f t="shared" si="10"/>
        <v>DC201405-sem2</v>
      </c>
      <c r="E676" s="1">
        <v>41762</v>
      </c>
      <c r="F676" s="1">
        <v>41768</v>
      </c>
      <c r="G676" s="5">
        <v>810.89</v>
      </c>
      <c r="H676" s="5">
        <v>800.1</v>
      </c>
      <c r="I676" s="5">
        <v>777.23</v>
      </c>
      <c r="J676" s="5">
        <v>810.89</v>
      </c>
      <c r="K676" s="5">
        <v>800.1</v>
      </c>
      <c r="L676" s="5">
        <v>777.23</v>
      </c>
      <c r="M676" s="5">
        <v>697.82</v>
      </c>
      <c r="N676" s="5">
        <v>697.82</v>
      </c>
      <c r="O676" s="5">
        <v>697.82</v>
      </c>
      <c r="P676" s="5">
        <v>619.64</v>
      </c>
      <c r="Q676" s="5">
        <v>192.55</v>
      </c>
      <c r="R676" s="5">
        <v>160.61000000000001</v>
      </c>
    </row>
    <row r="677" spans="1:18" x14ac:dyDescent="0.25">
      <c r="A677">
        <v>2014</v>
      </c>
      <c r="B677">
        <v>5</v>
      </c>
      <c r="C677">
        <v>3</v>
      </c>
      <c r="D677" t="str">
        <f t="shared" si="10"/>
        <v>DC201405-sem3</v>
      </c>
      <c r="E677" s="1">
        <v>41769</v>
      </c>
      <c r="F677" s="1">
        <v>41775</v>
      </c>
      <c r="G677" s="5">
        <v>822.83</v>
      </c>
      <c r="H677" s="5">
        <v>822.83</v>
      </c>
      <c r="I677" s="5">
        <v>822.83</v>
      </c>
      <c r="J677" s="5">
        <v>822.83</v>
      </c>
      <c r="K677" s="5">
        <v>822.83</v>
      </c>
      <c r="L677" s="5">
        <v>822.83</v>
      </c>
      <c r="M677" s="5">
        <v>822.83</v>
      </c>
      <c r="N677" s="5">
        <v>822.83</v>
      </c>
      <c r="O677" s="5">
        <v>815.52</v>
      </c>
      <c r="P677" s="5">
        <v>160.61000000000001</v>
      </c>
      <c r="Q677" s="5">
        <v>160.61000000000001</v>
      </c>
      <c r="R677" s="5">
        <v>130.05000000000001</v>
      </c>
    </row>
    <row r="678" spans="1:18" x14ac:dyDescent="0.25">
      <c r="A678">
        <v>2014</v>
      </c>
      <c r="B678">
        <v>5</v>
      </c>
      <c r="C678">
        <v>4</v>
      </c>
      <c r="D678" t="str">
        <f t="shared" si="10"/>
        <v>DC201405-sem4</v>
      </c>
      <c r="E678" s="1">
        <v>41776</v>
      </c>
      <c r="F678" s="1">
        <v>41782</v>
      </c>
      <c r="G678" s="5">
        <v>822.83</v>
      </c>
      <c r="H678" s="5">
        <v>822.83</v>
      </c>
      <c r="I678" s="5">
        <v>822.83</v>
      </c>
      <c r="J678" s="5">
        <v>822.83</v>
      </c>
      <c r="K678" s="5">
        <v>822.83</v>
      </c>
      <c r="L678" s="5">
        <v>822.83</v>
      </c>
      <c r="M678" s="5">
        <v>822.83</v>
      </c>
      <c r="N678" s="5">
        <v>822.83</v>
      </c>
      <c r="O678" s="5">
        <v>822.83</v>
      </c>
      <c r="P678" s="5">
        <v>160.61000000000001</v>
      </c>
      <c r="Q678" s="5">
        <v>160.61000000000001</v>
      </c>
      <c r="R678" s="5">
        <v>124.94</v>
      </c>
    </row>
    <row r="679" spans="1:18" x14ac:dyDescent="0.25">
      <c r="A679">
        <v>2014</v>
      </c>
      <c r="B679">
        <v>5</v>
      </c>
      <c r="C679">
        <v>5</v>
      </c>
      <c r="D679" t="str">
        <f t="shared" si="10"/>
        <v>DC201405-sem5</v>
      </c>
      <c r="E679" s="1">
        <v>41783</v>
      </c>
      <c r="F679" s="1">
        <v>41789</v>
      </c>
      <c r="G679" s="5">
        <v>822.83</v>
      </c>
      <c r="H679" s="5">
        <v>822.83</v>
      </c>
      <c r="I679" s="5">
        <v>806.9</v>
      </c>
      <c r="J679" s="5">
        <v>822.83</v>
      </c>
      <c r="K679" s="5">
        <v>822.83</v>
      </c>
      <c r="L679" s="5">
        <v>806.9</v>
      </c>
      <c r="M679" s="5">
        <v>822.83</v>
      </c>
      <c r="N679" s="5">
        <v>822.83</v>
      </c>
      <c r="O679" s="5">
        <v>806.9</v>
      </c>
      <c r="P679" s="5">
        <v>822.83</v>
      </c>
      <c r="Q679" s="5">
        <v>822.83</v>
      </c>
      <c r="R679" s="5">
        <v>806.9</v>
      </c>
    </row>
    <row r="680" spans="1:18" x14ac:dyDescent="0.25">
      <c r="A680">
        <v>2014</v>
      </c>
      <c r="B680">
        <v>6</v>
      </c>
      <c r="C680">
        <v>1</v>
      </c>
      <c r="D680" t="str">
        <f t="shared" si="10"/>
        <v>DC201406-sem1</v>
      </c>
      <c r="E680" s="1">
        <v>41790</v>
      </c>
      <c r="F680" s="1">
        <v>41796</v>
      </c>
      <c r="G680" s="5">
        <v>597.66</v>
      </c>
      <c r="H680" s="5">
        <v>591.80999999999995</v>
      </c>
      <c r="I680" s="5">
        <v>551.09</v>
      </c>
      <c r="J680" s="5">
        <v>597.66</v>
      </c>
      <c r="K680" s="5">
        <v>591.80999999999995</v>
      </c>
      <c r="L680" s="5">
        <v>551.09</v>
      </c>
      <c r="M680" s="5">
        <v>595.23</v>
      </c>
      <c r="N680" s="5">
        <v>591.80999999999995</v>
      </c>
      <c r="O680" s="5">
        <v>551.09</v>
      </c>
      <c r="P680" s="5">
        <v>595.23</v>
      </c>
      <c r="Q680" s="5">
        <v>591.80999999999995</v>
      </c>
      <c r="R680" s="5">
        <v>551.09</v>
      </c>
    </row>
    <row r="681" spans="1:18" x14ac:dyDescent="0.25">
      <c r="A681">
        <v>2014</v>
      </c>
      <c r="B681">
        <v>6</v>
      </c>
      <c r="C681">
        <v>2</v>
      </c>
      <c r="D681" t="str">
        <f t="shared" si="10"/>
        <v>DC201406-sem2</v>
      </c>
      <c r="E681" s="1">
        <v>41797</v>
      </c>
      <c r="F681" s="1">
        <v>41803</v>
      </c>
      <c r="G681" s="5">
        <f>0*357.54+336.95</f>
        <v>336.95</v>
      </c>
      <c r="H681" s="5">
        <f>0*351.69+333.8</f>
        <v>333.8</v>
      </c>
      <c r="I681" s="5">
        <f>0*258.85+237.76</f>
        <v>237.76</v>
      </c>
      <c r="J681" s="5">
        <f>0*278.77+1*272.25</f>
        <v>272.25</v>
      </c>
      <c r="K681" s="5">
        <f>0*259.59+1*252.99</f>
        <v>252.99</v>
      </c>
      <c r="L681" s="5">
        <f>0*145.71+1*154.57</f>
        <v>154.57</v>
      </c>
      <c r="M681" s="5">
        <f>0*357.54+336.95</f>
        <v>336.95</v>
      </c>
      <c r="N681" s="5">
        <f>0*351.69+333.8</f>
        <v>333.8</v>
      </c>
      <c r="O681" s="5">
        <f>0*258.85+237.76</f>
        <v>237.76</v>
      </c>
      <c r="P681" s="5">
        <f>0*357.54+336.95</f>
        <v>336.95</v>
      </c>
      <c r="Q681" s="5">
        <f>0*351.69+333.8</f>
        <v>333.8</v>
      </c>
      <c r="R681" s="5">
        <f>0*258.85+237.76</f>
        <v>237.76</v>
      </c>
    </row>
    <row r="682" spans="1:18" x14ac:dyDescent="0.25">
      <c r="A682">
        <v>2014</v>
      </c>
      <c r="B682">
        <v>6</v>
      </c>
      <c r="C682">
        <v>3</v>
      </c>
      <c r="D682" t="str">
        <f t="shared" si="10"/>
        <v>DC201406-sem3</v>
      </c>
      <c r="E682" s="1">
        <v>41804</v>
      </c>
      <c r="F682" s="1">
        <v>41810</v>
      </c>
      <c r="G682" s="5">
        <v>427.41</v>
      </c>
      <c r="H682" s="5">
        <v>420.29</v>
      </c>
      <c r="I682" s="5">
        <v>335.59</v>
      </c>
      <c r="J682" s="5">
        <v>15.62</v>
      </c>
      <c r="K682" s="5">
        <v>15.62</v>
      </c>
      <c r="L682" s="5">
        <v>15.62</v>
      </c>
      <c r="M682" s="5">
        <v>427.41</v>
      </c>
      <c r="N682" s="5">
        <v>420.29</v>
      </c>
      <c r="O682" s="5">
        <v>335.59</v>
      </c>
      <c r="P682" s="5">
        <v>427.41</v>
      </c>
      <c r="Q682" s="5">
        <v>420.29</v>
      </c>
      <c r="R682" s="5">
        <v>335.59</v>
      </c>
    </row>
    <row r="683" spans="1:18" x14ac:dyDescent="0.25">
      <c r="A683">
        <v>2014</v>
      </c>
      <c r="B683">
        <v>6</v>
      </c>
      <c r="C683">
        <v>4</v>
      </c>
      <c r="D683" t="str">
        <f t="shared" si="10"/>
        <v>DC201406-sem4</v>
      </c>
      <c r="E683" s="1">
        <v>41811</v>
      </c>
      <c r="F683" s="1">
        <v>41817</v>
      </c>
      <c r="G683" s="5">
        <v>511.89</v>
      </c>
      <c r="H683" s="5">
        <v>503.7</v>
      </c>
      <c r="I683" s="5">
        <v>314.63</v>
      </c>
      <c r="J683" s="5">
        <v>176.67</v>
      </c>
      <c r="K683" s="5">
        <v>176.67</v>
      </c>
      <c r="L683" s="5">
        <f>0*92.43+105.28</f>
        <v>105.28</v>
      </c>
      <c r="M683" s="5">
        <v>511.89</v>
      </c>
      <c r="N683" s="5">
        <v>503.7</v>
      </c>
      <c r="O683" s="5">
        <v>314.63</v>
      </c>
      <c r="P683" s="5">
        <v>511.89</v>
      </c>
      <c r="Q683" s="5">
        <v>503.7</v>
      </c>
      <c r="R683" s="5">
        <v>314.63</v>
      </c>
    </row>
    <row r="684" spans="1:18" x14ac:dyDescent="0.25">
      <c r="A684">
        <v>2014</v>
      </c>
      <c r="B684">
        <v>7</v>
      </c>
      <c r="C684">
        <v>1</v>
      </c>
      <c r="D684" t="str">
        <f t="shared" si="10"/>
        <v>DC201407-sem1</v>
      </c>
      <c r="E684" s="1">
        <v>41818</v>
      </c>
      <c r="F684" s="1">
        <v>41824</v>
      </c>
      <c r="G684" s="5">
        <v>400.74</v>
      </c>
      <c r="H684" s="5">
        <v>398.95</v>
      </c>
      <c r="I684" s="5">
        <v>314.63</v>
      </c>
      <c r="J684" s="5">
        <v>15.62</v>
      </c>
      <c r="K684" s="5">
        <v>15.62</v>
      </c>
      <c r="L684" s="5">
        <v>15.62</v>
      </c>
      <c r="M684" s="5">
        <v>400.74</v>
      </c>
      <c r="N684" s="5">
        <v>398.95</v>
      </c>
      <c r="O684" s="5">
        <v>314.63</v>
      </c>
      <c r="P684" s="5">
        <v>400.74</v>
      </c>
      <c r="Q684" s="5">
        <v>398.95</v>
      </c>
      <c r="R684" s="5">
        <v>314.63</v>
      </c>
    </row>
    <row r="685" spans="1:18" x14ac:dyDescent="0.25">
      <c r="A685">
        <v>2014</v>
      </c>
      <c r="B685">
        <v>7</v>
      </c>
      <c r="C685">
        <v>2</v>
      </c>
      <c r="D685" t="str">
        <f t="shared" si="10"/>
        <v>DC201407-sem2</v>
      </c>
      <c r="E685" s="1">
        <v>41825</v>
      </c>
      <c r="F685" s="1">
        <v>41831</v>
      </c>
      <c r="G685" s="5">
        <v>564.61</v>
      </c>
      <c r="H685" s="5">
        <v>551.09</v>
      </c>
      <c r="I685" s="5">
        <v>538</v>
      </c>
      <c r="J685" s="5">
        <v>551.09</v>
      </c>
      <c r="K685" s="5">
        <v>551.09</v>
      </c>
      <c r="L685" s="5">
        <v>15.62</v>
      </c>
      <c r="M685" s="5">
        <v>564.61</v>
      </c>
      <c r="N685" s="5">
        <v>551.09</v>
      </c>
      <c r="O685" s="5">
        <v>538</v>
      </c>
      <c r="P685" s="5">
        <v>564.61</v>
      </c>
      <c r="Q685" s="5">
        <v>551.09</v>
      </c>
      <c r="R685" s="5">
        <v>538</v>
      </c>
    </row>
    <row r="686" spans="1:18" x14ac:dyDescent="0.25">
      <c r="A686">
        <v>2014</v>
      </c>
      <c r="B686">
        <v>7</v>
      </c>
      <c r="C686">
        <v>3</v>
      </c>
      <c r="D686" t="str">
        <f t="shared" si="10"/>
        <v>DC201407-sem3</v>
      </c>
      <c r="E686" s="1">
        <v>41832</v>
      </c>
      <c r="F686" s="1">
        <v>41838</v>
      </c>
      <c r="G686" s="5">
        <v>683.52</v>
      </c>
      <c r="H686" s="5">
        <v>674.33</v>
      </c>
      <c r="I686" s="5">
        <v>618.78</v>
      </c>
      <c r="J686" s="5">
        <v>674.33</v>
      </c>
      <c r="K686" s="5">
        <v>674.33</v>
      </c>
      <c r="L686" s="5">
        <v>618.78</v>
      </c>
      <c r="M686" s="5">
        <v>683.52</v>
      </c>
      <c r="N686" s="5">
        <v>674.33</v>
      </c>
      <c r="O686" s="5">
        <v>618.78</v>
      </c>
      <c r="P686" s="5">
        <v>683.52</v>
      </c>
      <c r="Q686" s="5">
        <v>674.33</v>
      </c>
      <c r="R686" s="5">
        <v>618.78</v>
      </c>
    </row>
    <row r="687" spans="1:18" x14ac:dyDescent="0.25">
      <c r="A687">
        <v>2014</v>
      </c>
      <c r="B687">
        <v>7</v>
      </c>
      <c r="C687">
        <v>4</v>
      </c>
      <c r="D687" t="s">
        <v>18</v>
      </c>
      <c r="E687" s="1">
        <v>41839</v>
      </c>
      <c r="F687" s="1">
        <v>41845</v>
      </c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</row>
    <row r="688" spans="1:18" x14ac:dyDescent="0.25">
      <c r="A688">
        <v>2014</v>
      </c>
      <c r="B688">
        <v>8</v>
      </c>
      <c r="C688">
        <v>1</v>
      </c>
      <c r="D688" t="s">
        <v>19</v>
      </c>
      <c r="E688" s="1">
        <v>41846</v>
      </c>
      <c r="F688" s="1">
        <v>41852</v>
      </c>
    </row>
    <row r="689" spans="1:6" x14ac:dyDescent="0.25">
      <c r="A689">
        <v>2014</v>
      </c>
      <c r="B689">
        <v>8</v>
      </c>
      <c r="C689">
        <v>2</v>
      </c>
      <c r="D689" t="s">
        <v>20</v>
      </c>
      <c r="E689" s="1">
        <v>41853</v>
      </c>
      <c r="F689" s="1">
        <v>41859</v>
      </c>
    </row>
    <row r="690" spans="1:6" x14ac:dyDescent="0.25">
      <c r="A690">
        <v>2014</v>
      </c>
      <c r="B690">
        <v>8</v>
      </c>
      <c r="C690">
        <v>3</v>
      </c>
      <c r="D690" t="s">
        <v>21</v>
      </c>
      <c r="E690" s="1">
        <v>41860</v>
      </c>
      <c r="F690" s="1">
        <v>41866</v>
      </c>
    </row>
    <row r="691" spans="1:6" x14ac:dyDescent="0.25">
      <c r="A691">
        <v>2014</v>
      </c>
      <c r="B691">
        <v>8</v>
      </c>
      <c r="C691">
        <v>4</v>
      </c>
      <c r="D691" t="s">
        <v>22</v>
      </c>
      <c r="E691" s="1">
        <v>41867</v>
      </c>
      <c r="F691" s="1">
        <v>41873</v>
      </c>
    </row>
    <row r="692" spans="1:6" x14ac:dyDescent="0.25">
      <c r="A692">
        <v>2014</v>
      </c>
      <c r="B692">
        <v>8</v>
      </c>
      <c r="C692">
        <v>5</v>
      </c>
      <c r="D692" t="s">
        <v>23</v>
      </c>
      <c r="E692" s="1">
        <v>41874</v>
      </c>
      <c r="F692" s="1">
        <v>41880</v>
      </c>
    </row>
    <row r="693" spans="1:6" x14ac:dyDescent="0.25">
      <c r="A693">
        <v>2014</v>
      </c>
      <c r="B693">
        <v>9</v>
      </c>
      <c r="C693">
        <v>1</v>
      </c>
      <c r="D693" t="s">
        <v>24</v>
      </c>
      <c r="E693" s="7">
        <v>41881</v>
      </c>
      <c r="F693" s="7">
        <v>41887</v>
      </c>
    </row>
    <row r="694" spans="1:6" x14ac:dyDescent="0.25">
      <c r="A694">
        <v>2014</v>
      </c>
      <c r="B694">
        <v>9</v>
      </c>
      <c r="C694">
        <v>2</v>
      </c>
      <c r="D694" t="s">
        <v>25</v>
      </c>
      <c r="E694" s="7">
        <v>41888</v>
      </c>
      <c r="F694" s="7">
        <v>41894</v>
      </c>
    </row>
    <row r="695" spans="1:6" x14ac:dyDescent="0.25">
      <c r="A695">
        <v>2014</v>
      </c>
      <c r="B695">
        <v>9</v>
      </c>
      <c r="C695">
        <v>3</v>
      </c>
      <c r="D695" t="s">
        <v>26</v>
      </c>
      <c r="E695" s="7">
        <v>41895</v>
      </c>
      <c r="F695" s="7">
        <v>41901</v>
      </c>
    </row>
    <row r="696" spans="1:6" x14ac:dyDescent="0.25">
      <c r="A696">
        <v>2014</v>
      </c>
      <c r="B696">
        <v>9</v>
      </c>
      <c r="C696">
        <v>4</v>
      </c>
      <c r="D696" t="s">
        <v>27</v>
      </c>
      <c r="E696" s="7">
        <v>41902</v>
      </c>
      <c r="F696" s="7">
        <v>41908</v>
      </c>
    </row>
    <row r="697" spans="1:6" x14ac:dyDescent="0.25">
      <c r="A697">
        <v>2014</v>
      </c>
      <c r="B697">
        <v>10</v>
      </c>
      <c r="C697">
        <v>1</v>
      </c>
      <c r="D697" t="s">
        <v>28</v>
      </c>
      <c r="E697" s="1">
        <v>41909</v>
      </c>
      <c r="F697" s="1">
        <v>41915</v>
      </c>
    </row>
    <row r="698" spans="1:6" x14ac:dyDescent="0.25">
      <c r="A698">
        <v>2014</v>
      </c>
      <c r="B698">
        <v>10</v>
      </c>
      <c r="C698">
        <v>2</v>
      </c>
      <c r="D698" t="s">
        <v>29</v>
      </c>
      <c r="E698" s="1">
        <v>41916</v>
      </c>
      <c r="F698" s="1">
        <v>41922</v>
      </c>
    </row>
    <row r="699" spans="1:6" x14ac:dyDescent="0.25">
      <c r="A699">
        <v>2014</v>
      </c>
      <c r="B699">
        <v>10</v>
      </c>
      <c r="C699">
        <v>3</v>
      </c>
      <c r="D699" t="s">
        <v>30</v>
      </c>
      <c r="E699" s="1">
        <v>41923</v>
      </c>
      <c r="F699" s="1">
        <v>41929</v>
      </c>
    </row>
    <row r="700" spans="1:6" x14ac:dyDescent="0.25">
      <c r="A700">
        <v>2014</v>
      </c>
      <c r="B700">
        <v>10</v>
      </c>
      <c r="C700">
        <v>4</v>
      </c>
      <c r="D700" t="s">
        <v>31</v>
      </c>
      <c r="E700" s="1">
        <v>41930</v>
      </c>
      <c r="F700" s="1">
        <v>41936</v>
      </c>
    </row>
    <row r="701" spans="1:6" x14ac:dyDescent="0.25">
      <c r="A701">
        <v>2014</v>
      </c>
      <c r="B701">
        <v>10</v>
      </c>
      <c r="C701">
        <v>6</v>
      </c>
      <c r="D701" t="s">
        <v>32</v>
      </c>
      <c r="E701" s="1">
        <v>41937</v>
      </c>
      <c r="F701" s="1">
        <v>41943</v>
      </c>
    </row>
    <row r="702" spans="1:6" x14ac:dyDescent="0.25">
      <c r="A702">
        <v>2014</v>
      </c>
      <c r="B702">
        <v>11</v>
      </c>
      <c r="C702">
        <v>1</v>
      </c>
      <c r="D702" t="s">
        <v>33</v>
      </c>
      <c r="E702" s="1">
        <v>41944</v>
      </c>
      <c r="F702" s="1">
        <v>41950</v>
      </c>
    </row>
    <row r="703" spans="1:6" x14ac:dyDescent="0.25">
      <c r="A703">
        <v>2014</v>
      </c>
      <c r="B703">
        <v>11</v>
      </c>
      <c r="C703">
        <v>2</v>
      </c>
      <c r="D703" t="s">
        <v>34</v>
      </c>
      <c r="E703" s="1">
        <v>41951</v>
      </c>
      <c r="F703" s="1">
        <v>41957</v>
      </c>
    </row>
    <row r="704" spans="1:6" x14ac:dyDescent="0.25">
      <c r="A704">
        <v>2014</v>
      </c>
      <c r="B704">
        <v>11</v>
      </c>
      <c r="C704">
        <v>3</v>
      </c>
      <c r="D704" t="s">
        <v>35</v>
      </c>
      <c r="E704" s="1">
        <v>41958</v>
      </c>
      <c r="F704" s="1">
        <v>41964</v>
      </c>
    </row>
    <row r="705" spans="1:6" x14ac:dyDescent="0.25">
      <c r="A705">
        <v>2014</v>
      </c>
      <c r="B705">
        <v>11</v>
      </c>
      <c r="C705">
        <v>4</v>
      </c>
      <c r="D705" t="s">
        <v>36</v>
      </c>
      <c r="E705" s="1">
        <v>41965</v>
      </c>
      <c r="F705" s="1">
        <v>41971</v>
      </c>
    </row>
    <row r="706" spans="1:6" x14ac:dyDescent="0.25">
      <c r="A706">
        <v>2014</v>
      </c>
      <c r="B706">
        <v>12</v>
      </c>
      <c r="C706">
        <v>1</v>
      </c>
      <c r="D706" t="s">
        <v>37</v>
      </c>
      <c r="E706" s="1">
        <v>41972</v>
      </c>
      <c r="F706" s="1">
        <v>41978</v>
      </c>
    </row>
    <row r="707" spans="1:6" x14ac:dyDescent="0.25">
      <c r="A707">
        <v>2014</v>
      </c>
      <c r="B707">
        <v>12</v>
      </c>
      <c r="C707">
        <v>2</v>
      </c>
      <c r="D707" t="s">
        <v>38</v>
      </c>
      <c r="E707" s="1">
        <v>41979</v>
      </c>
      <c r="F707" s="1">
        <v>41985</v>
      </c>
    </row>
    <row r="708" spans="1:6" x14ac:dyDescent="0.25">
      <c r="A708">
        <v>2014</v>
      </c>
      <c r="B708">
        <v>12</v>
      </c>
      <c r="C708">
        <v>3</v>
      </c>
      <c r="D708" t="s">
        <v>39</v>
      </c>
      <c r="E708" s="1">
        <f>F707+1</f>
        <v>41986</v>
      </c>
      <c r="F708" s="1">
        <f>E708+6</f>
        <v>41992</v>
      </c>
    </row>
    <row r="709" spans="1:6" x14ac:dyDescent="0.25">
      <c r="A709">
        <v>2014</v>
      </c>
      <c r="B709">
        <v>12</v>
      </c>
      <c r="C709">
        <v>4</v>
      </c>
      <c r="D709" t="s">
        <v>40</v>
      </c>
      <c r="E709" s="1">
        <f t="shared" ref="E709" si="11">F708+1</f>
        <v>41993</v>
      </c>
      <c r="F709" s="1">
        <f t="shared" ref="F709" si="12">E709+6</f>
        <v>41999</v>
      </c>
    </row>
    <row r="710" spans="1:6" x14ac:dyDescent="0.25">
      <c r="A710">
        <v>2015</v>
      </c>
      <c r="B710">
        <v>1</v>
      </c>
      <c r="C710">
        <v>1</v>
      </c>
      <c r="D710" t="s">
        <v>41</v>
      </c>
      <c r="E710" s="1">
        <v>42000</v>
      </c>
      <c r="F710" s="1">
        <v>42006</v>
      </c>
    </row>
    <row r="711" spans="1:6" x14ac:dyDescent="0.25">
      <c r="A711">
        <v>2015</v>
      </c>
      <c r="B711">
        <v>1</v>
      </c>
      <c r="C711">
        <v>2</v>
      </c>
      <c r="D711" t="s">
        <v>42</v>
      </c>
      <c r="E711" s="1">
        <v>42007</v>
      </c>
      <c r="F711" s="1">
        <v>42013</v>
      </c>
    </row>
    <row r="712" spans="1:6" x14ac:dyDescent="0.25">
      <c r="A712">
        <v>2015</v>
      </c>
      <c r="B712">
        <v>1</v>
      </c>
      <c r="C712">
        <v>3</v>
      </c>
      <c r="D712" t="s">
        <v>43</v>
      </c>
      <c r="E712" s="1">
        <v>42014</v>
      </c>
      <c r="F712" s="1">
        <v>42020</v>
      </c>
    </row>
    <row r="713" spans="1:6" x14ac:dyDescent="0.25">
      <c r="A713">
        <v>2015</v>
      </c>
      <c r="B713">
        <v>1</v>
      </c>
      <c r="C713">
        <v>4</v>
      </c>
      <c r="D713" t="s">
        <v>44</v>
      </c>
      <c r="E713" s="1">
        <v>42021</v>
      </c>
      <c r="F713" s="1">
        <v>42027</v>
      </c>
    </row>
    <row r="714" spans="1:6" x14ac:dyDescent="0.25">
      <c r="A714">
        <v>2015</v>
      </c>
      <c r="B714">
        <v>1</v>
      </c>
      <c r="C714">
        <v>5</v>
      </c>
      <c r="D714" t="s">
        <v>45</v>
      </c>
      <c r="E714" s="1">
        <v>42028</v>
      </c>
      <c r="F714" s="1">
        <v>42034</v>
      </c>
    </row>
    <row r="715" spans="1:6" x14ac:dyDescent="0.25">
      <c r="A715">
        <v>2015</v>
      </c>
      <c r="B715">
        <v>2</v>
      </c>
      <c r="C715">
        <v>1</v>
      </c>
      <c r="D715" t="s">
        <v>46</v>
      </c>
      <c r="E715" s="1">
        <v>42035</v>
      </c>
      <c r="F715" s="1">
        <v>42041</v>
      </c>
    </row>
    <row r="716" spans="1:6" x14ac:dyDescent="0.25">
      <c r="A716">
        <v>2015</v>
      </c>
      <c r="B716">
        <v>2</v>
      </c>
      <c r="C716">
        <v>2</v>
      </c>
      <c r="D716" t="s">
        <v>47</v>
      </c>
      <c r="E716" s="1">
        <v>42042</v>
      </c>
      <c r="F716" s="1">
        <v>42048</v>
      </c>
    </row>
    <row r="717" spans="1:6" x14ac:dyDescent="0.25">
      <c r="A717">
        <v>2015</v>
      </c>
      <c r="B717">
        <v>2</v>
      </c>
      <c r="C717">
        <v>3</v>
      </c>
      <c r="D717" t="s">
        <v>48</v>
      </c>
      <c r="E717" s="1">
        <v>42049</v>
      </c>
      <c r="F717" s="1">
        <v>42055</v>
      </c>
    </row>
    <row r="718" spans="1:6" x14ac:dyDescent="0.25">
      <c r="A718">
        <v>2015</v>
      </c>
      <c r="B718">
        <v>2</v>
      </c>
      <c r="C718">
        <v>4</v>
      </c>
      <c r="D718" t="s">
        <v>51</v>
      </c>
      <c r="E718" s="1">
        <v>42056</v>
      </c>
      <c r="F718" s="1">
        <v>42062</v>
      </c>
    </row>
    <row r="719" spans="1:6" x14ac:dyDescent="0.25">
      <c r="A719">
        <v>2015</v>
      </c>
      <c r="B719">
        <v>3</v>
      </c>
      <c r="C719">
        <v>1</v>
      </c>
      <c r="D719" t="s">
        <v>49</v>
      </c>
      <c r="E719" s="1">
        <v>42063</v>
      </c>
      <c r="F719" s="1">
        <v>42069</v>
      </c>
    </row>
    <row r="720" spans="1:6" x14ac:dyDescent="0.25">
      <c r="A720">
        <v>2015</v>
      </c>
      <c r="B720">
        <v>3</v>
      </c>
      <c r="C720">
        <v>2</v>
      </c>
      <c r="D720" t="s">
        <v>50</v>
      </c>
      <c r="E720" s="1">
        <v>42070</v>
      </c>
      <c r="F720" s="1">
        <v>42076</v>
      </c>
    </row>
    <row r="721" spans="1:6" x14ac:dyDescent="0.25">
      <c r="A721">
        <v>2015</v>
      </c>
      <c r="B721">
        <v>3</v>
      </c>
      <c r="C721">
        <v>3</v>
      </c>
      <c r="D721" t="s">
        <v>52</v>
      </c>
      <c r="E721" s="1">
        <v>42077</v>
      </c>
      <c r="F721" s="1">
        <v>42083</v>
      </c>
    </row>
    <row r="722" spans="1:6" x14ac:dyDescent="0.25">
      <c r="A722">
        <v>2015</v>
      </c>
      <c r="B722">
        <v>3</v>
      </c>
      <c r="C722">
        <v>4</v>
      </c>
      <c r="D722" t="s">
        <v>53</v>
      </c>
      <c r="E722" s="1">
        <v>42084</v>
      </c>
      <c r="F722" s="1">
        <v>42090</v>
      </c>
    </row>
    <row r="723" spans="1:6" x14ac:dyDescent="0.25">
      <c r="A723">
        <v>2015</v>
      </c>
      <c r="B723">
        <v>4</v>
      </c>
      <c r="C723">
        <v>1</v>
      </c>
      <c r="D723" t="s">
        <v>54</v>
      </c>
      <c r="E723" s="1">
        <v>42091</v>
      </c>
      <c r="F723" s="1">
        <v>42097</v>
      </c>
    </row>
    <row r="724" spans="1:6" x14ac:dyDescent="0.25">
      <c r="A724">
        <v>2015</v>
      </c>
      <c r="B724">
        <v>4</v>
      </c>
      <c r="C724">
        <v>2</v>
      </c>
      <c r="D724" t="s">
        <v>55</v>
      </c>
      <c r="E724" s="1">
        <v>42098</v>
      </c>
      <c r="F724" s="1">
        <v>42104</v>
      </c>
    </row>
    <row r="725" spans="1:6" x14ac:dyDescent="0.25">
      <c r="A725">
        <v>2015</v>
      </c>
      <c r="B725">
        <v>4</v>
      </c>
      <c r="C725">
        <v>3</v>
      </c>
      <c r="D725" t="s">
        <v>56</v>
      </c>
      <c r="E725" s="1">
        <v>42105</v>
      </c>
      <c r="F725" s="1">
        <v>42111</v>
      </c>
    </row>
    <row r="726" spans="1:6" x14ac:dyDescent="0.25">
      <c r="A726">
        <v>2015</v>
      </c>
      <c r="B726">
        <v>4</v>
      </c>
      <c r="C726">
        <v>4</v>
      </c>
      <c r="D726" t="s">
        <v>57</v>
      </c>
      <c r="E726" s="1">
        <v>42112</v>
      </c>
      <c r="F726" s="1">
        <v>42118</v>
      </c>
    </row>
    <row r="727" spans="1:6" x14ac:dyDescent="0.25">
      <c r="A727">
        <v>2015</v>
      </c>
      <c r="B727">
        <v>4</v>
      </c>
      <c r="C727">
        <v>5</v>
      </c>
      <c r="D727" t="s">
        <v>58</v>
      </c>
      <c r="E727" s="1">
        <v>42119</v>
      </c>
      <c r="F727" s="1">
        <v>42125</v>
      </c>
    </row>
    <row r="728" spans="1:6" x14ac:dyDescent="0.25">
      <c r="A728">
        <v>2015</v>
      </c>
      <c r="B728">
        <v>5</v>
      </c>
      <c r="C728">
        <v>1</v>
      </c>
      <c r="D728" t="s">
        <v>59</v>
      </c>
      <c r="E728" s="1">
        <v>42126</v>
      </c>
      <c r="F728" s="1">
        <v>42132</v>
      </c>
    </row>
    <row r="729" spans="1:6" x14ac:dyDescent="0.25">
      <c r="A729">
        <v>2015</v>
      </c>
      <c r="B729">
        <v>5</v>
      </c>
      <c r="C729">
        <v>2</v>
      </c>
      <c r="D729" t="s">
        <v>55</v>
      </c>
      <c r="E729" s="1">
        <v>42133</v>
      </c>
      <c r="F729" s="1">
        <v>42139</v>
      </c>
    </row>
    <row r="730" spans="1:6" x14ac:dyDescent="0.25">
      <c r="A730">
        <v>2015</v>
      </c>
      <c r="B730">
        <v>5</v>
      </c>
      <c r="C730">
        <v>3</v>
      </c>
      <c r="D730" t="s">
        <v>56</v>
      </c>
      <c r="E730" s="1">
        <v>42140</v>
      </c>
      <c r="F730" s="1">
        <v>42146</v>
      </c>
    </row>
    <row r="731" spans="1:6" x14ac:dyDescent="0.25">
      <c r="A731">
        <v>2015</v>
      </c>
      <c r="B731">
        <v>5</v>
      </c>
      <c r="C731">
        <v>4</v>
      </c>
      <c r="D731" t="s">
        <v>57</v>
      </c>
      <c r="E731" s="1">
        <v>42147</v>
      </c>
      <c r="F731" s="1">
        <v>42153</v>
      </c>
    </row>
    <row r="732" spans="1:6" x14ac:dyDescent="0.25">
      <c r="A732">
        <v>2015</v>
      </c>
      <c r="B732">
        <v>6</v>
      </c>
      <c r="C732">
        <v>1</v>
      </c>
      <c r="D732" t="s">
        <v>60</v>
      </c>
      <c r="E732" s="1">
        <v>42154</v>
      </c>
      <c r="F732" s="1">
        <v>42160</v>
      </c>
    </row>
    <row r="733" spans="1:6" x14ac:dyDescent="0.25">
      <c r="A733">
        <v>2015</v>
      </c>
      <c r="B733">
        <v>6</v>
      </c>
      <c r="C733">
        <v>2</v>
      </c>
      <c r="D733" t="s">
        <v>61</v>
      </c>
      <c r="E733" s="1">
        <f>+F732+1</f>
        <v>42161</v>
      </c>
      <c r="F733" s="1">
        <f>+E733+6</f>
        <v>42167</v>
      </c>
    </row>
    <row r="734" spans="1:6" x14ac:dyDescent="0.25">
      <c r="A734">
        <v>2015</v>
      </c>
      <c r="B734">
        <v>6</v>
      </c>
      <c r="C734">
        <v>3</v>
      </c>
      <c r="D734" t="s">
        <v>62</v>
      </c>
      <c r="E734" s="1">
        <f t="shared" ref="E734:E741" si="13">+F733+1</f>
        <v>42168</v>
      </c>
      <c r="F734" s="1">
        <f t="shared" ref="F734:F741" si="14">+E734+6</f>
        <v>42174</v>
      </c>
    </row>
    <row r="735" spans="1:6" x14ac:dyDescent="0.25">
      <c r="A735">
        <v>2015</v>
      </c>
      <c r="B735">
        <v>6</v>
      </c>
      <c r="C735">
        <v>4</v>
      </c>
      <c r="D735" t="s">
        <v>63</v>
      </c>
      <c r="E735" s="1">
        <f t="shared" si="13"/>
        <v>42175</v>
      </c>
      <c r="F735" s="1">
        <f t="shared" si="14"/>
        <v>42181</v>
      </c>
    </row>
    <row r="736" spans="1:6" x14ac:dyDescent="0.25">
      <c r="A736">
        <v>2015</v>
      </c>
      <c r="B736">
        <v>7</v>
      </c>
      <c r="C736">
        <v>1</v>
      </c>
      <c r="D736" t="s">
        <v>64</v>
      </c>
      <c r="E736" s="1">
        <f t="shared" si="13"/>
        <v>42182</v>
      </c>
      <c r="F736" s="1">
        <f t="shared" si="14"/>
        <v>42188</v>
      </c>
    </row>
    <row r="737" spans="1:6" x14ac:dyDescent="0.25">
      <c r="A737">
        <v>2015</v>
      </c>
      <c r="B737">
        <v>7</v>
      </c>
      <c r="C737">
        <v>2</v>
      </c>
      <c r="D737" t="s">
        <v>65</v>
      </c>
      <c r="E737" s="1">
        <f t="shared" si="13"/>
        <v>42189</v>
      </c>
      <c r="F737" s="1">
        <f t="shared" si="14"/>
        <v>42195</v>
      </c>
    </row>
    <row r="738" spans="1:6" x14ac:dyDescent="0.25">
      <c r="A738">
        <v>2015</v>
      </c>
      <c r="B738">
        <v>7</v>
      </c>
      <c r="C738">
        <v>3</v>
      </c>
      <c r="D738" t="s">
        <v>66</v>
      </c>
      <c r="E738" s="1">
        <f t="shared" si="13"/>
        <v>42196</v>
      </c>
      <c r="F738" s="1">
        <f t="shared" si="14"/>
        <v>42202</v>
      </c>
    </row>
    <row r="739" spans="1:6" x14ac:dyDescent="0.25">
      <c r="A739">
        <v>2015</v>
      </c>
      <c r="B739">
        <v>7</v>
      </c>
      <c r="C739">
        <v>4</v>
      </c>
      <c r="D739" t="s">
        <v>67</v>
      </c>
      <c r="E739" s="1">
        <f t="shared" si="13"/>
        <v>42203</v>
      </c>
      <c r="F739" s="1">
        <f t="shared" si="14"/>
        <v>42209</v>
      </c>
    </row>
    <row r="740" spans="1:6" x14ac:dyDescent="0.25">
      <c r="A740">
        <v>2015</v>
      </c>
      <c r="B740">
        <v>7</v>
      </c>
      <c r="C740">
        <v>5</v>
      </c>
      <c r="D740" t="s">
        <v>68</v>
      </c>
      <c r="E740" s="1">
        <f t="shared" si="13"/>
        <v>42210</v>
      </c>
      <c r="F740" s="1">
        <f t="shared" si="14"/>
        <v>42216</v>
      </c>
    </row>
    <row r="741" spans="1:6" x14ac:dyDescent="0.25">
      <c r="A741">
        <v>2015</v>
      </c>
      <c r="B741">
        <v>1</v>
      </c>
      <c r="C741">
        <v>1</v>
      </c>
      <c r="D741" t="s">
        <v>69</v>
      </c>
      <c r="E741" s="1">
        <f t="shared" si="13"/>
        <v>42217</v>
      </c>
      <c r="F741" s="1">
        <f t="shared" si="14"/>
        <v>42223</v>
      </c>
    </row>
    <row r="742" spans="1:6" x14ac:dyDescent="0.25">
      <c r="E742" s="1"/>
      <c r="F742" s="1"/>
    </row>
    <row r="743" spans="1:6" x14ac:dyDescent="0.25">
      <c r="E743" s="1"/>
      <c r="F743" s="1"/>
    </row>
    <row r="744" spans="1:6" x14ac:dyDescent="0.25">
      <c r="E744" s="1"/>
      <c r="F74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BASE_Pot</vt:lpstr>
      <vt:lpstr>Sheet1</vt:lpstr>
      <vt:lpstr>Dados</vt:lpstr>
      <vt:lpstr>MP</vt:lpstr>
      <vt:lpstr>DP</vt:lpstr>
      <vt:lpstr>BASE-CCEE-bakp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2016-03-29T21:31:59Z</dcterms:modified>
</cp:coreProperties>
</file>